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dcdmtsasshare\SAS_FINADHOC\CBUFinance\Shaw_Migration\Altreyx\"/>
    </mc:Choice>
  </mc:AlternateContent>
  <xr:revisionPtr revIDLastSave="0" documentId="8_{026A9E81-CCC8-4BA4-8EC8-A93ADB9BC29B}" xr6:coauthVersionLast="47" xr6:coauthVersionMax="47" xr10:uidLastSave="{00000000-0000-0000-0000-000000000000}"/>
  <bookViews>
    <workbookView xWindow="-120" yWindow="-120" windowWidth="24240" windowHeight="13140" xr2:uid="{1D1BD426-8858-4629-9D51-688F4D3C8046}"/>
  </bookViews>
  <sheets>
    <sheet name="SV Extract_OP Revenue wo Equip" sheetId="1" r:id="rId1"/>
    <sheet name="Gross Margin Details" sheetId="3" r:id="rId2"/>
  </sheets>
  <externalReferences>
    <externalReference r:id="rId3"/>
  </externalReferences>
  <definedNames>
    <definedName name="_xlnm.Print_Titles" localSheetId="1">'Gross Margin Details'!$1:$6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C127" i="3"/>
  <c r="F127" i="3"/>
  <c r="E127" i="3"/>
  <c r="D127" i="3"/>
  <c r="D6" i="1"/>
  <c r="E6" i="1" s="1"/>
  <c r="M6" i="1"/>
  <c r="N6" i="1" s="1"/>
  <c r="J6" i="1"/>
  <c r="K6" i="1" s="1"/>
  <c r="G6" i="1"/>
  <c r="H6" i="1" s="1"/>
  <c r="F24" i="1"/>
  <c r="C25" i="1" l="1"/>
  <c r="F25" i="1"/>
  <c r="M21" i="1" l="1"/>
  <c r="N21" i="1" s="1"/>
  <c r="J21" i="1"/>
  <c r="K21" i="1" s="1"/>
  <c r="G21" i="1"/>
  <c r="H21" i="1" s="1"/>
  <c r="D21" i="1"/>
  <c r="E21" i="1" s="1"/>
  <c r="D23" i="1"/>
  <c r="E23" i="1" s="1"/>
  <c r="D22" i="1"/>
  <c r="E22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5" i="1"/>
  <c r="E5" i="1" s="1"/>
  <c r="D4" i="1"/>
  <c r="E4" i="1" s="1"/>
  <c r="D3" i="1"/>
  <c r="E3" i="1" s="1"/>
  <c r="C24" i="1"/>
  <c r="G23" i="1"/>
  <c r="H23" i="1" s="1"/>
  <c r="G22" i="1"/>
  <c r="H22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5" i="1"/>
  <c r="H5" i="1" s="1"/>
  <c r="G4" i="1"/>
  <c r="H4" i="1" s="1"/>
  <c r="G3" i="1"/>
  <c r="H3" i="1" s="1"/>
  <c r="M23" i="1"/>
  <c r="N23" i="1" s="1"/>
  <c r="M22" i="1"/>
  <c r="N22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5" i="1"/>
  <c r="M4" i="1"/>
  <c r="N4" i="1" s="1"/>
  <c r="M3" i="1"/>
  <c r="J22" i="1"/>
  <c r="K22" i="1" s="1"/>
  <c r="J5" i="1"/>
  <c r="K5" i="1" s="1"/>
  <c r="J7" i="1"/>
  <c r="K7" i="1" s="1"/>
  <c r="I24" i="1"/>
  <c r="J4" i="1"/>
  <c r="K4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3" i="1"/>
  <c r="K23" i="1" s="1"/>
  <c r="J3" i="1"/>
  <c r="K3" i="1" s="1"/>
  <c r="E24" i="1" l="1"/>
  <c r="H24" i="1"/>
  <c r="K24" i="1"/>
  <c r="G24" i="1"/>
  <c r="G25" i="1" s="1"/>
  <c r="L24" i="1"/>
  <c r="D24" i="1"/>
  <c r="D25" i="1" s="1"/>
  <c r="M24" i="1"/>
  <c r="M25" i="1" s="1"/>
  <c r="N3" i="1"/>
  <c r="J24" i="1"/>
  <c r="J25" i="1" s="1"/>
  <c r="N24" i="1" l="1"/>
  <c r="B124" i="3" l="1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F6" i="3"/>
  <c r="E6" i="3"/>
  <c r="D6" i="3"/>
  <c r="C6" i="3"/>
  <c r="L25" i="1" l="1"/>
  <c r="I25" i="1"/>
</calcChain>
</file>

<file path=xl/sharedStrings.xml><?xml version="1.0" encoding="utf-8"?>
<sst xmlns="http://schemas.openxmlformats.org/spreadsheetml/2006/main" count="64" uniqueCount="36">
  <si>
    <t>Freedom_GL</t>
  </si>
  <si>
    <t>Description</t>
  </si>
  <si>
    <t>Connection Fees</t>
  </si>
  <si>
    <t>Monthly Fees</t>
  </si>
  <si>
    <t>Credit Monthly Fees</t>
  </si>
  <si>
    <t>Monthly Discount Fees</t>
  </si>
  <si>
    <t>International</t>
  </si>
  <si>
    <t>National Long Distance</t>
  </si>
  <si>
    <t>Mobile Internet</t>
  </si>
  <si>
    <t>VAS</t>
  </si>
  <si>
    <t>VAS  Usage</t>
  </si>
  <si>
    <t>International Roaming</t>
  </si>
  <si>
    <t>Mobile Internet  Intl Roaming</t>
  </si>
  <si>
    <t>Domestic Roaming</t>
  </si>
  <si>
    <t>SMS  International Roaming</t>
  </si>
  <si>
    <t>Mobile Internet  Domestic Roaming</t>
  </si>
  <si>
    <t>SMS  Domestic Roaming</t>
  </si>
  <si>
    <t>Other Revenue</t>
  </si>
  <si>
    <t>Extended Warranty  Commissions Revenue</t>
  </si>
  <si>
    <t>911 Levy Revenue</t>
  </si>
  <si>
    <t>Above MRC Discounts</t>
  </si>
  <si>
    <t>Last Refresh: 5/5/2023 9:44:15 AM</t>
  </si>
  <si>
    <t>Shaw Finance</t>
  </si>
  <si>
    <t>WLS01 Financials</t>
  </si>
  <si>
    <t>W1 Wireless Brand - Shaw Mobile</t>
  </si>
  <si>
    <t>#Versions: Reporting - Current Forecast</t>
  </si>
  <si>
    <t>GL</t>
  </si>
  <si>
    <t>SV</t>
  </si>
  <si>
    <t>Subtotal</t>
  </si>
  <si>
    <t>Apple Care</t>
  </si>
  <si>
    <t>Phone Protection Revenue</t>
  </si>
  <si>
    <t>Variance</t>
  </si>
  <si>
    <t>Comment</t>
  </si>
  <si>
    <t>company 197 continuity</t>
  </si>
  <si>
    <t>deferred revenue</t>
  </si>
  <si>
    <t>Manual 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</si>
</sst>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09]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166" fontId="0" fillId="0" borderId="0" xfId="1" applyNumberFormat="1" applyFont="1"/>
    <xf numFmtId="167" fontId="2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justifyLastLine="1"/>
    </xf>
    <xf numFmtId="0" fontId="4" fillId="0" borderId="1" xfId="0" applyFont="1" applyBorder="1" applyAlignment="1">
      <alignment horizontal="left" justifyLastLine="1"/>
    </xf>
    <xf numFmtId="0" fontId="3" fillId="0" borderId="1" xfId="0" applyFont="1" applyBorder="1" applyAlignment="1">
      <alignment horizontal="left" indent="2" justifyLastLine="1"/>
    </xf>
    <xf numFmtId="164" fontId="3" fillId="0" borderId="0" xfId="0" applyNumberFormat="1" applyFont="1" applyAlignment="1">
      <alignment justifyLastLine="1"/>
    </xf>
    <xf numFmtId="0" fontId="4" fillId="0" borderId="1" xfId="0" applyFont="1" applyBorder="1" applyAlignment="1">
      <alignment horizontal="left" indent="1" justifyLastLine="1"/>
    </xf>
    <xf numFmtId="164" fontId="3" fillId="0" borderId="2" xfId="0" applyNumberFormat="1" applyFont="1" applyBorder="1" applyAlignment="1">
      <alignment justifyLastLine="1"/>
    </xf>
    <xf numFmtId="164" fontId="3" fillId="0" borderId="3" xfId="0" applyNumberFormat="1" applyFont="1" applyBorder="1" applyAlignment="1">
      <alignment justifyLastLine="1"/>
    </xf>
    <xf numFmtId="0" fontId="2" fillId="0" borderId="0" xfId="0" applyFont="1" applyAlignment="1">
      <alignment horizontal="center"/>
    </xf>
    <xf numFmtId="166" fontId="2" fillId="0" borderId="0" xfId="1" applyNumberFormat="1" applyFont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indent="2" justifyLastLine="1"/>
    </xf>
    <xf numFmtId="164" fontId="3" fillId="3" borderId="0" xfId="0" applyNumberFormat="1" applyFont="1" applyFill="1" applyAlignment="1">
      <alignment justifyLastLine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Fill="1" applyAlignment="1">
      <alignment horizontal="center"/>
    </xf>
    <xf numFmtId="0" fontId="3" fillId="0" borderId="1" xfId="0" applyFont="1" applyFill="1" applyBorder="1" applyAlignment="1">
      <alignment horizontal="left" indent="2" justifyLastLine="1"/>
    </xf>
    <xf numFmtId="164" fontId="3" fillId="0" borderId="0" xfId="0" applyNumberFormat="1" applyFont="1" applyFill="1" applyAlignment="1">
      <alignment justifyLastLine="1"/>
    </xf>
    <xf numFmtId="0" fontId="0" fillId="0" borderId="0" xfId="0" applyFill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166" fontId="2" fillId="0" borderId="4" xfId="1" applyNumberFormat="1" applyFont="1" applyBorder="1"/>
    <xf numFmtId="166" fontId="0" fillId="2" borderId="0" xfId="1" applyNumberFormat="1" applyFont="1" applyFill="1"/>
    <xf numFmtId="0" fontId="0" fillId="0" borderId="0" xfId="0" applyAlignment="1">
      <alignment vertical="center" wrapText="1"/>
    </xf>
    <xf numFmtId="167" fontId="2" fillId="4" borderId="0" xfId="1" applyNumberFormat="1" applyFont="1" applyFill="1" applyAlignment="1">
      <alignment horizontal="center"/>
    </xf>
    <xf numFmtId="166" fontId="0" fillId="4" borderId="0" xfId="1" applyNumberFormat="1" applyFont="1" applyFill="1"/>
    <xf numFmtId="166" fontId="2" fillId="4" borderId="4" xfId="1" applyNumberFormat="1" applyFont="1" applyFill="1" applyBorder="1"/>
    <xf numFmtId="166" fontId="2" fillId="5" borderId="0" xfId="1" applyNumberFormat="1" applyFont="1" applyFill="1" applyAlignment="1">
      <alignment horizontal="center"/>
    </xf>
    <xf numFmtId="166" fontId="0" fillId="5" borderId="0" xfId="1" applyNumberFormat="1" applyFont="1" applyFill="1"/>
    <xf numFmtId="166" fontId="2" fillId="5" borderId="4" xfId="1" applyNumberFormat="1" applyFont="1" applyFill="1" applyBorder="1"/>
    <xf numFmtId="166" fontId="2" fillId="6" borderId="0" xfId="1" applyNumberFormat="1" applyFont="1" applyFill="1" applyAlignment="1">
      <alignment horizontal="center"/>
    </xf>
    <xf numFmtId="166" fontId="0" fillId="6" borderId="0" xfId="1" applyNumberFormat="1" applyFont="1" applyFill="1"/>
    <xf numFmtId="166" fontId="2" fillId="6" borderId="4" xfId="1" applyNumberFormat="1" applyFont="1" applyFill="1" applyBorder="1"/>
    <xf numFmtId="164" fontId="2" fillId="3" borderId="4" xfId="0" applyNumberFormat="1" applyFont="1" applyFill="1" applyBorder="1"/>
    <xf numFmtId="0" fontId="0" fillId="0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jrb-my.sharepoint.com/personal/qi_liu_sjrb_ca/Documents/My%20Projects/2022%20-%202023/Shaw%20Mobile%20Post-Close/Shaw%20Mobile%20Op%20Revenue%20Summary_GL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 wo Service_ID"/>
      <sheetName val="Summary"/>
      <sheetName val="SM Oracle TB Data"/>
    </sheetNames>
    <sheetDataSet>
      <sheetData sheetId="0"/>
      <sheetData sheetId="1">
        <row r="54">
          <cell r="C54">
            <v>10006552.360000072</v>
          </cell>
          <cell r="N54">
            <v>9899354.3300001472</v>
          </cell>
          <cell r="Y54">
            <v>9854851.190000087</v>
          </cell>
          <cell r="AK54">
            <v>9777244.7400000989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B4BA-924E-4365-B9FB-B597F2A2A288}">
  <sheetPr>
    <pageSetUpPr fitToPage="1"/>
  </sheetPr>
  <dimension ref="A1:O2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8" sqref="B28"/>
    </sheetView>
  </sheetViews>
  <sheetFormatPr defaultRowHeight="15" x14ac:dyDescent="0.25"/>
  <cols>
    <col min="1" max="1" width="12.28515625" style="4" bestFit="1" customWidth="1"/>
    <col min="2" max="2" width="39.85546875" bestFit="1" customWidth="1"/>
    <col min="3" max="3" width="13.28515625" style="2" bestFit="1" customWidth="1"/>
    <col min="4" max="4" width="11.5703125" style="2" bestFit="1" customWidth="1"/>
    <col min="5" max="5" width="12.28515625" style="2" bestFit="1" customWidth="1"/>
    <col min="6" max="6" width="13.28515625" style="2" bestFit="1" customWidth="1"/>
    <col min="7" max="7" width="11.5703125" style="2" bestFit="1" customWidth="1"/>
    <col min="8" max="8" width="12.28515625" style="2" bestFit="1" customWidth="1"/>
    <col min="9" max="9" width="13.28515625" style="2" bestFit="1" customWidth="1"/>
    <col min="10" max="10" width="11.5703125" style="2" bestFit="1" customWidth="1"/>
    <col min="11" max="11" width="12.28515625" style="2" bestFit="1" customWidth="1"/>
    <col min="12" max="12" width="13.28515625" style="2" bestFit="1" customWidth="1"/>
    <col min="13" max="13" width="11.5703125" style="2" bestFit="1" customWidth="1"/>
    <col min="14" max="14" width="12.28515625" style="2" bestFit="1" customWidth="1"/>
    <col min="15" max="15" width="22.28515625" bestFit="1" customWidth="1"/>
  </cols>
  <sheetData>
    <row r="1" spans="1:15" s="12" customFormat="1" x14ac:dyDescent="0.25">
      <c r="C1" s="3">
        <v>44957</v>
      </c>
      <c r="D1" s="13"/>
      <c r="E1" s="13"/>
      <c r="F1" s="3">
        <v>44985</v>
      </c>
      <c r="G1" s="13"/>
      <c r="H1" s="13"/>
      <c r="I1" s="3">
        <v>45016</v>
      </c>
      <c r="J1" s="13"/>
      <c r="K1" s="13"/>
      <c r="L1" s="3">
        <v>45046</v>
      </c>
      <c r="M1" s="13"/>
      <c r="N1" s="13"/>
    </row>
    <row r="2" spans="1:15" x14ac:dyDescent="0.25">
      <c r="A2" s="1" t="s">
        <v>0</v>
      </c>
      <c r="B2" s="1" t="s">
        <v>1</v>
      </c>
      <c r="C2" s="28" t="s">
        <v>27</v>
      </c>
      <c r="D2" s="34" t="s">
        <v>26</v>
      </c>
      <c r="E2" s="31" t="s">
        <v>31</v>
      </c>
      <c r="F2" s="28" t="s">
        <v>27</v>
      </c>
      <c r="G2" s="34" t="s">
        <v>26</v>
      </c>
      <c r="H2" s="31" t="s">
        <v>31</v>
      </c>
      <c r="I2" s="28" t="s">
        <v>27</v>
      </c>
      <c r="J2" s="34" t="s">
        <v>26</v>
      </c>
      <c r="K2" s="31" t="s">
        <v>31</v>
      </c>
      <c r="L2" s="28" t="s">
        <v>27</v>
      </c>
      <c r="M2" s="34" t="s">
        <v>26</v>
      </c>
      <c r="N2" s="31" t="s">
        <v>31</v>
      </c>
      <c r="O2" t="s">
        <v>32</v>
      </c>
    </row>
    <row r="3" spans="1:15" x14ac:dyDescent="0.25">
      <c r="A3" s="4">
        <v>400200</v>
      </c>
      <c r="B3" t="s">
        <v>2</v>
      </c>
      <c r="C3" s="29">
        <v>410207.5</v>
      </c>
      <c r="D3" s="35">
        <f>VLOOKUP($A3,'Gross Margin Details'!$A:$F,3,FALSE)</f>
        <v>563525.02</v>
      </c>
      <c r="E3" s="32">
        <f t="shared" ref="E3:E23" si="0">D3-C3</f>
        <v>153317.52000000002</v>
      </c>
      <c r="F3" s="29">
        <v>374382.5</v>
      </c>
      <c r="G3" s="35">
        <f>VLOOKUP($A3,'Gross Margin Details'!$A:$F,4,FALSE)</f>
        <v>549904.92999999993</v>
      </c>
      <c r="H3" s="32">
        <f t="shared" ref="H3:H23" si="1">G3-F3</f>
        <v>175522.42999999993</v>
      </c>
      <c r="I3" s="29">
        <v>319992.5</v>
      </c>
      <c r="J3" s="35">
        <f>VLOOKUP($A3,'Gross Margin Details'!$A:$F,5,FALSE)</f>
        <v>514040</v>
      </c>
      <c r="K3" s="32">
        <f t="shared" ref="K3:K23" si="2">J3-I3</f>
        <v>194047.5</v>
      </c>
      <c r="L3" s="29">
        <v>216425</v>
      </c>
      <c r="M3" s="35">
        <f>VLOOKUP($A3,'Gross Margin Details'!$A:$F,6,FALSE)</f>
        <v>517207.74</v>
      </c>
      <c r="N3" s="32">
        <f>M3-L3</f>
        <v>300782.74</v>
      </c>
      <c r="O3" t="s">
        <v>33</v>
      </c>
    </row>
    <row r="4" spans="1:15" x14ac:dyDescent="0.25">
      <c r="A4" s="4">
        <v>400300</v>
      </c>
      <c r="B4" t="s">
        <v>3</v>
      </c>
      <c r="C4" s="29">
        <v>8205720.4900001204</v>
      </c>
      <c r="D4" s="35">
        <f>VLOOKUP($A4,'Gross Margin Details'!$A:$F,3,FALSE)</f>
        <v>8162712.5899999999</v>
      </c>
      <c r="E4" s="32">
        <f t="shared" si="0"/>
        <v>-43007.900000120513</v>
      </c>
      <c r="F4" s="29">
        <v>8346479.7399999704</v>
      </c>
      <c r="G4" s="35">
        <f>VLOOKUP($A4,'Gross Margin Details'!$A:$F,4,FALSE)</f>
        <v>7953849.0999999996</v>
      </c>
      <c r="H4" s="32">
        <f t="shared" si="1"/>
        <v>-392630.63999997079</v>
      </c>
      <c r="I4" s="29">
        <v>8416768.9700000305</v>
      </c>
      <c r="J4" s="35">
        <f>VLOOKUP($A4,'Gross Margin Details'!$A:$F,5,FALSE)</f>
        <v>8928200.8300000001</v>
      </c>
      <c r="K4" s="32">
        <f t="shared" si="2"/>
        <v>511431.8599999696</v>
      </c>
      <c r="L4" s="29">
        <v>8392945.1199999508</v>
      </c>
      <c r="M4" s="35">
        <f>VLOOKUP($A4,'Gross Margin Details'!$A:$F,6,FALSE)</f>
        <v>8286992.5800000001</v>
      </c>
      <c r="N4" s="32">
        <f t="shared" ref="N4:N23" si="3">M4-L4</f>
        <v>-105952.53999995068</v>
      </c>
      <c r="O4" t="s">
        <v>34</v>
      </c>
    </row>
    <row r="5" spans="1:15" x14ac:dyDescent="0.25">
      <c r="A5" s="4">
        <v>400303</v>
      </c>
      <c r="B5" s="27" t="s">
        <v>30</v>
      </c>
      <c r="C5" s="26"/>
      <c r="D5" s="35">
        <f>VLOOKUP($A5,'Gross Margin Details'!$A:$F,3,FALSE)</f>
        <v>90799.19</v>
      </c>
      <c r="E5" s="32">
        <f t="shared" si="0"/>
        <v>90799.19</v>
      </c>
      <c r="F5" s="26"/>
      <c r="G5" s="35">
        <f>VLOOKUP($A5,'Gross Margin Details'!$A:$F,4,FALSE)</f>
        <v>83034.679999999993</v>
      </c>
      <c r="H5" s="32">
        <f t="shared" si="1"/>
        <v>83034.679999999993</v>
      </c>
      <c r="I5" s="26"/>
      <c r="J5" s="35">
        <f>VLOOKUP($A5,'Gross Margin Details'!$A:$F,5,FALSE)</f>
        <v>102395.22</v>
      </c>
      <c r="K5" s="32">
        <f t="shared" si="2"/>
        <v>102395.22</v>
      </c>
      <c r="L5" s="26"/>
      <c r="M5" s="35">
        <f>VLOOKUP($A5,'Gross Margin Details'!$A:$F,6,FALSE)</f>
        <v>89667.28</v>
      </c>
      <c r="N5" s="32">
        <f>M5-L5</f>
        <v>89667.28</v>
      </c>
      <c r="O5" t="s">
        <v>35</v>
      </c>
    </row>
    <row r="6" spans="1:15" x14ac:dyDescent="0.25">
      <c r="A6" s="4">
        <v>400308</v>
      </c>
      <c r="B6" t="s">
        <v>20</v>
      </c>
      <c r="C6" s="29">
        <v>-19.96</v>
      </c>
      <c r="D6" s="35">
        <f>VLOOKUP($A6,'Gross Margin Details'!$A:$F,3,FALSE)</f>
        <v>-19.96</v>
      </c>
      <c r="E6" s="32">
        <f t="shared" si="0"/>
        <v>0</v>
      </c>
      <c r="F6" s="29"/>
      <c r="G6" s="35">
        <f>VLOOKUP($A6,'Gross Margin Details'!$A:$F,4,FALSE)</f>
        <v>-2.25</v>
      </c>
      <c r="H6" s="32">
        <f t="shared" si="1"/>
        <v>-2.25</v>
      </c>
      <c r="I6" s="29"/>
      <c r="J6" s="35">
        <f>VLOOKUP($A6,'Gross Margin Details'!$A:$F,5,FALSE)</f>
        <v>0</v>
      </c>
      <c r="K6" s="32">
        <f t="shared" si="2"/>
        <v>0</v>
      </c>
      <c r="L6" s="29"/>
      <c r="M6" s="35">
        <f>VLOOKUP($A6,'Gross Margin Details'!$A:$F,6,FALSE)</f>
        <v>0</v>
      </c>
      <c r="N6" s="32">
        <f t="shared" si="3"/>
        <v>0</v>
      </c>
    </row>
    <row r="7" spans="1:15" x14ac:dyDescent="0.25">
      <c r="A7" s="4">
        <v>400309</v>
      </c>
      <c r="B7" t="s">
        <v>4</v>
      </c>
      <c r="C7" s="29">
        <v>-231679.11999999601</v>
      </c>
      <c r="D7" s="35">
        <f>VLOOKUP($A7,'Gross Margin Details'!$A:$F,3,FALSE)</f>
        <v>-289795.36</v>
      </c>
      <c r="E7" s="32">
        <f t="shared" si="0"/>
        <v>-58116.240000003978</v>
      </c>
      <c r="F7" s="29">
        <v>-221869.529999997</v>
      </c>
      <c r="G7" s="35">
        <f>VLOOKUP($A7,'Gross Margin Details'!$A:$F,4,FALSE)</f>
        <v>-265553.36</v>
      </c>
      <c r="H7" s="32">
        <f t="shared" si="1"/>
        <v>-43683.830000002985</v>
      </c>
      <c r="I7" s="29">
        <v>-178453.39999999799</v>
      </c>
      <c r="J7" s="35">
        <f>VLOOKUP($A7,'Gross Margin Details'!$A:$F,5,FALSE)</f>
        <v>-216702.86</v>
      </c>
      <c r="K7" s="32">
        <f t="shared" si="2"/>
        <v>-38249.460000002</v>
      </c>
      <c r="L7" s="29">
        <v>-117316.04</v>
      </c>
      <c r="M7" s="35">
        <f>VLOOKUP($A7,'Gross Margin Details'!$A:$F,6,FALSE)</f>
        <v>-131889.81</v>
      </c>
      <c r="N7" s="32">
        <f t="shared" si="3"/>
        <v>-14573.770000000004</v>
      </c>
      <c r="O7" t="s">
        <v>34</v>
      </c>
    </row>
    <row r="8" spans="1:15" x14ac:dyDescent="0.25">
      <c r="A8" s="4">
        <v>400399</v>
      </c>
      <c r="B8" t="s">
        <v>5</v>
      </c>
      <c r="C8" s="29">
        <v>-124912.62</v>
      </c>
      <c r="D8" s="35">
        <f>VLOOKUP($A8,'Gross Margin Details'!$A:$F,3,FALSE)</f>
        <v>-120333.21</v>
      </c>
      <c r="E8" s="32">
        <f t="shared" si="0"/>
        <v>4579.4099999999889</v>
      </c>
      <c r="F8" s="29">
        <v>-130823.28</v>
      </c>
      <c r="G8" s="35">
        <f>VLOOKUP($A8,'Gross Margin Details'!$A:$F,4,FALSE)</f>
        <v>-130259.44</v>
      </c>
      <c r="H8" s="32">
        <f t="shared" si="1"/>
        <v>563.83999999999651</v>
      </c>
      <c r="I8" s="29">
        <v>-119540.49</v>
      </c>
      <c r="J8" s="35">
        <f>VLOOKUP($A8,'Gross Margin Details'!$A:$F,5,FALSE)</f>
        <v>-118908.75</v>
      </c>
      <c r="K8" s="32">
        <f t="shared" si="2"/>
        <v>631.74000000000524</v>
      </c>
      <c r="L8" s="29">
        <v>-127589.56</v>
      </c>
      <c r="M8" s="35">
        <f>VLOOKUP($A8,'Gross Margin Details'!$A:$F,6,FALSE)</f>
        <v>-126822.32</v>
      </c>
      <c r="N8" s="32">
        <f t="shared" si="3"/>
        <v>767.23999999999069</v>
      </c>
      <c r="O8" t="s">
        <v>34</v>
      </c>
    </row>
    <row r="9" spans="1:15" x14ac:dyDescent="0.25">
      <c r="A9" s="4">
        <v>401121</v>
      </c>
      <c r="B9" t="s">
        <v>6</v>
      </c>
      <c r="C9" s="29">
        <v>136859.61999998201</v>
      </c>
      <c r="D9" s="35">
        <f>VLOOKUP($A9,'Gross Margin Details'!$A:$F,3,FALSE)</f>
        <v>136859.62</v>
      </c>
      <c r="E9" s="32">
        <f t="shared" si="0"/>
        <v>1.7986167222261429E-8</v>
      </c>
      <c r="F9" s="29">
        <v>128170.389999986</v>
      </c>
      <c r="G9" s="35">
        <f>VLOOKUP($A9,'Gross Margin Details'!$A:$F,4,FALSE)</f>
        <v>128170.39</v>
      </c>
      <c r="H9" s="32">
        <f t="shared" si="1"/>
        <v>1.3998942449688911E-8</v>
      </c>
      <c r="I9" s="29">
        <v>115984.879999987</v>
      </c>
      <c r="J9" s="35">
        <f>VLOOKUP($A9,'Gross Margin Details'!$A:$F,5,FALSE)</f>
        <v>115984.88</v>
      </c>
      <c r="K9" s="32">
        <f t="shared" si="2"/>
        <v>1.3009412214159966E-8</v>
      </c>
      <c r="L9" s="29">
        <v>127048.339999986</v>
      </c>
      <c r="M9" s="35">
        <f>VLOOKUP($A9,'Gross Margin Details'!$A:$F,6,FALSE)</f>
        <v>127048.34</v>
      </c>
      <c r="N9" s="32">
        <f t="shared" si="3"/>
        <v>1.3998942449688911E-8</v>
      </c>
      <c r="O9" t="s">
        <v>34</v>
      </c>
    </row>
    <row r="10" spans="1:15" x14ac:dyDescent="0.25">
      <c r="A10" s="4">
        <v>401171</v>
      </c>
      <c r="B10" t="s">
        <v>7</v>
      </c>
      <c r="C10" s="29">
        <v>44194.870000000097</v>
      </c>
      <c r="D10" s="35">
        <f>VLOOKUP($A10,'Gross Margin Details'!$A:$F,3,FALSE)</f>
        <v>44171.199999999997</v>
      </c>
      <c r="E10" s="32">
        <f t="shared" si="0"/>
        <v>-23.670000000100117</v>
      </c>
      <c r="F10" s="29">
        <v>44811.06</v>
      </c>
      <c r="G10" s="35">
        <f>VLOOKUP($A10,'Gross Margin Details'!$A:$F,4,FALSE)</f>
        <v>42611</v>
      </c>
      <c r="H10" s="32">
        <f t="shared" si="1"/>
        <v>-2200.0599999999977</v>
      </c>
      <c r="I10" s="29">
        <v>45512.29</v>
      </c>
      <c r="J10" s="35">
        <f>VLOOKUP($A10,'Gross Margin Details'!$A:$F,5,FALSE)</f>
        <v>47217.93</v>
      </c>
      <c r="K10" s="32">
        <f t="shared" si="2"/>
        <v>1705.6399999999994</v>
      </c>
      <c r="L10" s="29">
        <v>45719.929999999898</v>
      </c>
      <c r="M10" s="35">
        <f>VLOOKUP($A10,'Gross Margin Details'!$A:$F,6,FALSE)</f>
        <v>45043.62</v>
      </c>
      <c r="N10" s="32">
        <f t="shared" si="3"/>
        <v>-676.30999999989581</v>
      </c>
      <c r="O10" t="s">
        <v>34</v>
      </c>
    </row>
    <row r="11" spans="1:15" x14ac:dyDescent="0.25">
      <c r="A11" s="4">
        <v>401200</v>
      </c>
      <c r="B11" t="s">
        <v>8</v>
      </c>
      <c r="C11" s="29">
        <v>194215.09</v>
      </c>
      <c r="D11" s="35">
        <f>VLOOKUP($A11,'Gross Margin Details'!$A:$F,3,FALSE)</f>
        <v>194076.97</v>
      </c>
      <c r="E11" s="32">
        <f t="shared" si="0"/>
        <v>-138.11999999999534</v>
      </c>
      <c r="F11" s="29">
        <v>196381.35</v>
      </c>
      <c r="G11" s="35">
        <f>VLOOKUP($A11,'Gross Margin Details'!$A:$F,4,FALSE)</f>
        <v>186723.74</v>
      </c>
      <c r="H11" s="32">
        <f t="shared" si="1"/>
        <v>-9657.6100000000151</v>
      </c>
      <c r="I11" s="29">
        <v>197724.76</v>
      </c>
      <c r="J11" s="35">
        <f>VLOOKUP($A11,'Gross Margin Details'!$A:$F,5,FALSE)</f>
        <v>205886</v>
      </c>
      <c r="K11" s="32">
        <f t="shared" si="2"/>
        <v>8161.2399999999907</v>
      </c>
      <c r="L11" s="29">
        <v>199786.02</v>
      </c>
      <c r="M11" s="35">
        <f>VLOOKUP($A11,'Gross Margin Details'!$A:$F,6,FALSE)</f>
        <v>195941.13</v>
      </c>
      <c r="N11" s="32">
        <f t="shared" si="3"/>
        <v>-3844.8899999999849</v>
      </c>
      <c r="O11" t="s">
        <v>34</v>
      </c>
    </row>
    <row r="12" spans="1:15" x14ac:dyDescent="0.25">
      <c r="A12" s="4">
        <v>401400</v>
      </c>
      <c r="B12" t="s">
        <v>9</v>
      </c>
      <c r="C12" s="29">
        <v>23676.5</v>
      </c>
      <c r="D12" s="35">
        <f>VLOOKUP($A12,'Gross Margin Details'!$A:$F,3,FALSE)</f>
        <v>23671.42</v>
      </c>
      <c r="E12" s="32">
        <f t="shared" si="0"/>
        <v>-5.0800000000017462</v>
      </c>
      <c r="F12" s="29">
        <v>24012.7</v>
      </c>
      <c r="G12" s="35">
        <f>VLOOKUP($A12,'Gross Margin Details'!$A:$F,4,FALSE)</f>
        <v>22795.42</v>
      </c>
      <c r="H12" s="32">
        <f t="shared" si="1"/>
        <v>-1217.2800000000025</v>
      </c>
      <c r="I12" s="29">
        <v>23814.54</v>
      </c>
      <c r="J12" s="35">
        <f>VLOOKUP($A12,'Gross Margin Details'!$A:$F,5,FALSE)</f>
        <v>24982.83</v>
      </c>
      <c r="K12" s="32">
        <f t="shared" si="2"/>
        <v>1168.2900000000009</v>
      </c>
      <c r="L12" s="29">
        <v>23861.29</v>
      </c>
      <c r="M12" s="35">
        <f>VLOOKUP($A12,'Gross Margin Details'!$A:$F,6,FALSE)</f>
        <v>23509.47</v>
      </c>
      <c r="N12" s="32">
        <f t="shared" si="3"/>
        <v>-351.81999999999971</v>
      </c>
      <c r="O12" t="s">
        <v>34</v>
      </c>
    </row>
    <row r="13" spans="1:15" x14ac:dyDescent="0.25">
      <c r="A13" s="4">
        <v>401411</v>
      </c>
      <c r="B13" t="s">
        <v>10</v>
      </c>
      <c r="C13" s="29">
        <v>12151.110000000301</v>
      </c>
      <c r="D13" s="35">
        <f>VLOOKUP($A13,'Gross Margin Details'!$A:$F,3,FALSE)</f>
        <v>12151.11</v>
      </c>
      <c r="E13" s="32">
        <f t="shared" si="0"/>
        <v>-3.0013325158506632E-10</v>
      </c>
      <c r="F13" s="29">
        <v>12017.0800000003</v>
      </c>
      <c r="G13" s="35">
        <f>VLOOKUP($A13,'Gross Margin Details'!$A:$F,4,FALSE)</f>
        <v>12017.08</v>
      </c>
      <c r="H13" s="32">
        <f t="shared" si="1"/>
        <v>-3.0013325158506632E-10</v>
      </c>
      <c r="I13" s="29">
        <v>11652.780000000301</v>
      </c>
      <c r="J13" s="35">
        <f>VLOOKUP($A13,'Gross Margin Details'!$A:$F,5,FALSE)</f>
        <v>11652.78</v>
      </c>
      <c r="K13" s="32">
        <f t="shared" si="2"/>
        <v>-3.0013325158506632E-10</v>
      </c>
      <c r="L13" s="29">
        <v>11163.06</v>
      </c>
      <c r="M13" s="35">
        <f>VLOOKUP($A13,'Gross Margin Details'!$A:$F,6,FALSE)</f>
        <v>11163.06</v>
      </c>
      <c r="N13" s="32">
        <f t="shared" si="3"/>
        <v>0</v>
      </c>
      <c r="O13" t="s">
        <v>34</v>
      </c>
    </row>
    <row r="14" spans="1:15" x14ac:dyDescent="0.25">
      <c r="A14" s="4">
        <v>404000</v>
      </c>
      <c r="B14" t="s">
        <v>11</v>
      </c>
      <c r="C14" s="29">
        <v>92456.5</v>
      </c>
      <c r="D14" s="35">
        <f>VLOOKUP($A14,'Gross Margin Details'!$A:$F,3,FALSE)</f>
        <v>92456.5</v>
      </c>
      <c r="E14" s="32">
        <f t="shared" si="0"/>
        <v>0</v>
      </c>
      <c r="F14" s="29">
        <v>80962.5</v>
      </c>
      <c r="G14" s="35">
        <f>VLOOKUP($A14,'Gross Margin Details'!$A:$F,4,FALSE)</f>
        <v>80962.5</v>
      </c>
      <c r="H14" s="32">
        <f t="shared" si="1"/>
        <v>0</v>
      </c>
      <c r="I14" s="29">
        <v>74776.5</v>
      </c>
      <c r="J14" s="35">
        <f>VLOOKUP($A14,'Gross Margin Details'!$A:$F,5,FALSE)</f>
        <v>74776.5</v>
      </c>
      <c r="K14" s="32">
        <f t="shared" si="2"/>
        <v>0</v>
      </c>
      <c r="L14" s="29">
        <v>83696.5</v>
      </c>
      <c r="M14" s="35">
        <f>VLOOKUP($A14,'Gross Margin Details'!$A:$F,6,FALSE)</f>
        <v>83696.5</v>
      </c>
      <c r="N14" s="32">
        <f t="shared" si="3"/>
        <v>0</v>
      </c>
      <c r="O14" t="s">
        <v>34</v>
      </c>
    </row>
    <row r="15" spans="1:15" x14ac:dyDescent="0.25">
      <c r="A15" s="4">
        <v>404200</v>
      </c>
      <c r="B15" t="s">
        <v>12</v>
      </c>
      <c r="C15" s="29">
        <v>563102.96999999497</v>
      </c>
      <c r="D15" s="35">
        <f>VLOOKUP($A15,'Gross Margin Details'!$A:$F,3,FALSE)</f>
        <v>553203.91</v>
      </c>
      <c r="E15" s="32">
        <f t="shared" si="0"/>
        <v>-9899.0599999949336</v>
      </c>
      <c r="F15" s="29">
        <v>535153.05999999004</v>
      </c>
      <c r="G15" s="35">
        <f>VLOOKUP($A15,'Gross Margin Details'!$A:$F,4,FALSE)</f>
        <v>504865.15</v>
      </c>
      <c r="H15" s="32">
        <f t="shared" si="1"/>
        <v>-30287.909999990021</v>
      </c>
      <c r="I15" s="29">
        <v>553322.48999999301</v>
      </c>
      <c r="J15" s="35">
        <f>VLOOKUP($A15,'Gross Margin Details'!$A:$F,5,FALSE)</f>
        <v>557860.79</v>
      </c>
      <c r="K15" s="32">
        <f t="shared" si="2"/>
        <v>4538.3000000070315</v>
      </c>
      <c r="L15" s="29">
        <v>658601.23000000103</v>
      </c>
      <c r="M15" s="35">
        <f>VLOOKUP($A15,'Gross Margin Details'!$A:$F,6,FALSE)</f>
        <v>653211.19999999995</v>
      </c>
      <c r="N15" s="32">
        <f t="shared" si="3"/>
        <v>-5390.0300000010757</v>
      </c>
      <c r="O15" t="s">
        <v>34</v>
      </c>
    </row>
    <row r="16" spans="1:15" x14ac:dyDescent="0.25">
      <c r="A16" s="4">
        <v>404500</v>
      </c>
      <c r="B16" t="s">
        <v>13</v>
      </c>
      <c r="C16" s="29">
        <v>5718.7699999999504</v>
      </c>
      <c r="D16" s="35">
        <f>VLOOKUP($A16,'Gross Margin Details'!$A:$F,3,FALSE)</f>
        <v>5718.77</v>
      </c>
      <c r="E16" s="32">
        <f t="shared" si="0"/>
        <v>5.0022208597511053E-11</v>
      </c>
      <c r="F16" s="29">
        <v>4798.7400000000098</v>
      </c>
      <c r="G16" s="35">
        <f>VLOOKUP($A16,'Gross Margin Details'!$A:$F,4,FALSE)</f>
        <v>4798.74</v>
      </c>
      <c r="H16" s="32">
        <f t="shared" si="1"/>
        <v>-1.0004441719502211E-11</v>
      </c>
      <c r="I16" s="29">
        <v>3814.52000000003</v>
      </c>
      <c r="J16" s="35">
        <f>VLOOKUP($A16,'Gross Margin Details'!$A:$F,5,FALSE)</f>
        <v>3814.52</v>
      </c>
      <c r="K16" s="32">
        <f t="shared" si="2"/>
        <v>-3.0013325158506632E-11</v>
      </c>
      <c r="L16" s="29">
        <v>4321.0300000000298</v>
      </c>
      <c r="M16" s="35">
        <f>VLOOKUP($A16,'Gross Margin Details'!$A:$F,6,FALSE)</f>
        <v>4321.03</v>
      </c>
      <c r="N16" s="32">
        <f t="shared" si="3"/>
        <v>-3.0013325158506632E-11</v>
      </c>
      <c r="O16" t="s">
        <v>34</v>
      </c>
    </row>
    <row r="17" spans="1:15" x14ac:dyDescent="0.25">
      <c r="A17" s="4">
        <v>404510</v>
      </c>
      <c r="B17" t="s">
        <v>14</v>
      </c>
      <c r="C17" s="29">
        <v>28566</v>
      </c>
      <c r="D17" s="35">
        <f>VLOOKUP($A17,'Gross Margin Details'!$A:$F,3,FALSE)</f>
        <v>28566</v>
      </c>
      <c r="E17" s="32">
        <f t="shared" si="0"/>
        <v>0</v>
      </c>
      <c r="F17" s="29">
        <v>20806.5</v>
      </c>
      <c r="G17" s="35">
        <f>VLOOKUP($A17,'Gross Margin Details'!$A:$F,4,FALSE)</f>
        <v>20806.5</v>
      </c>
      <c r="H17" s="32">
        <f t="shared" si="1"/>
        <v>0</v>
      </c>
      <c r="I17" s="29">
        <v>22468.5</v>
      </c>
      <c r="J17" s="35">
        <f>VLOOKUP($A17,'Gross Margin Details'!$A:$F,5,FALSE)</f>
        <v>22468.5</v>
      </c>
      <c r="K17" s="32">
        <f t="shared" si="2"/>
        <v>0</v>
      </c>
      <c r="L17" s="29">
        <v>29712.5</v>
      </c>
      <c r="M17" s="35">
        <f>VLOOKUP($A17,'Gross Margin Details'!$A:$F,6,FALSE)</f>
        <v>29712.5</v>
      </c>
      <c r="N17" s="32">
        <f t="shared" si="3"/>
        <v>0</v>
      </c>
      <c r="O17" t="s">
        <v>34</v>
      </c>
    </row>
    <row r="18" spans="1:15" x14ac:dyDescent="0.25">
      <c r="A18" s="4">
        <v>405210</v>
      </c>
      <c r="B18" t="s">
        <v>15</v>
      </c>
      <c r="C18" s="29">
        <v>320817.28999999998</v>
      </c>
      <c r="D18" s="35">
        <f>VLOOKUP($A18,'Gross Margin Details'!$A:$F,3,FALSE)</f>
        <v>320164.71999999997</v>
      </c>
      <c r="E18" s="32">
        <f t="shared" si="0"/>
        <v>-652.57000000000698</v>
      </c>
      <c r="F18" s="29">
        <v>343575.82</v>
      </c>
      <c r="G18" s="35">
        <f>VLOOKUP($A18,'Gross Margin Details'!$A:$F,4,FALSE)</f>
        <v>316483.13</v>
      </c>
      <c r="H18" s="32">
        <f t="shared" si="1"/>
        <v>-27092.690000000002</v>
      </c>
      <c r="I18" s="29">
        <v>313131.7</v>
      </c>
      <c r="J18" s="35">
        <f>VLOOKUP($A18,'Gross Margin Details'!$A:$F,5,FALSE)</f>
        <v>343114.58</v>
      </c>
      <c r="K18" s="32">
        <f t="shared" si="2"/>
        <v>29982.880000000005</v>
      </c>
      <c r="L18" s="29">
        <v>362748.56</v>
      </c>
      <c r="M18" s="35">
        <f>VLOOKUP($A18,'Gross Margin Details'!$A:$F,6,FALSE)</f>
        <v>335574.21</v>
      </c>
      <c r="N18" s="32">
        <f t="shared" si="3"/>
        <v>-27174.349999999977</v>
      </c>
      <c r="O18" t="s">
        <v>34</v>
      </c>
    </row>
    <row r="19" spans="1:15" x14ac:dyDescent="0.25">
      <c r="A19" s="4">
        <v>405500</v>
      </c>
      <c r="B19" t="s">
        <v>16</v>
      </c>
      <c r="C19" s="29">
        <v>223.25</v>
      </c>
      <c r="D19" s="35">
        <f>VLOOKUP($A19,'Gross Margin Details'!$A:$F,3,FALSE)</f>
        <v>223.25</v>
      </c>
      <c r="E19" s="32">
        <f t="shared" si="0"/>
        <v>0</v>
      </c>
      <c r="F19" s="29">
        <v>223.5</v>
      </c>
      <c r="G19" s="35">
        <f>VLOOKUP($A19,'Gross Margin Details'!$A:$F,4,FALSE)</f>
        <v>223.5</v>
      </c>
      <c r="H19" s="32">
        <f t="shared" si="1"/>
        <v>0</v>
      </c>
      <c r="I19" s="29">
        <v>154.75</v>
      </c>
      <c r="J19" s="35">
        <f>VLOOKUP($A19,'Gross Margin Details'!$A:$F,5,FALSE)</f>
        <v>154.75</v>
      </c>
      <c r="K19" s="32">
        <f t="shared" si="2"/>
        <v>0</v>
      </c>
      <c r="L19" s="29">
        <v>162.19999999999999</v>
      </c>
      <c r="M19" s="35">
        <f>VLOOKUP($A19,'Gross Margin Details'!$A:$F,6,FALSE)</f>
        <v>162.19999999999999</v>
      </c>
      <c r="N19" s="32">
        <f t="shared" si="3"/>
        <v>0</v>
      </c>
      <c r="O19" t="s">
        <v>34</v>
      </c>
    </row>
    <row r="20" spans="1:15" x14ac:dyDescent="0.25">
      <c r="A20" s="4">
        <v>406000</v>
      </c>
      <c r="B20" t="s">
        <v>17</v>
      </c>
      <c r="C20" s="29">
        <v>13931.5</v>
      </c>
      <c r="D20" s="35">
        <f>VLOOKUP($A20,'Gross Margin Details'!$A:$F,3,FALSE)</f>
        <v>-6259.18</v>
      </c>
      <c r="E20" s="32">
        <f t="shared" si="0"/>
        <v>-20190.68</v>
      </c>
      <c r="F20" s="29">
        <v>13349.02</v>
      </c>
      <c r="G20" s="35">
        <f>VLOOKUP($A20,'Gross Margin Details'!$A:$F,4,FALSE)</f>
        <v>11581.6</v>
      </c>
      <c r="H20" s="32">
        <f t="shared" si="1"/>
        <v>-1767.42</v>
      </c>
      <c r="I20" s="29">
        <v>13912.0200000001</v>
      </c>
      <c r="J20" s="35">
        <f>VLOOKUP($A20,'Gross Margin Details'!$A:$F,5,FALSE)</f>
        <v>12113.06</v>
      </c>
      <c r="K20" s="32">
        <f t="shared" si="2"/>
        <v>-1798.960000000101</v>
      </c>
      <c r="L20" s="29">
        <v>12277.4800000001</v>
      </c>
      <c r="M20" s="35">
        <f>VLOOKUP($A20,'Gross Margin Details'!$A:$F,6,FALSE)</f>
        <v>11873.22</v>
      </c>
      <c r="N20" s="32">
        <f t="shared" si="3"/>
        <v>-404.26000000010026</v>
      </c>
      <c r="O20" t="s">
        <v>34</v>
      </c>
    </row>
    <row r="21" spans="1:15" x14ac:dyDescent="0.25">
      <c r="A21" s="4">
        <v>406001</v>
      </c>
      <c r="B21" t="s">
        <v>18</v>
      </c>
      <c r="C21" s="29">
        <v>166188.78</v>
      </c>
      <c r="D21" s="26">
        <f>VLOOKUP($A21,'Gross Margin Details'!$A:$F,3,FALSE)</f>
        <v>0</v>
      </c>
      <c r="E21" s="32">
        <f t="shared" si="0"/>
        <v>-166188.78</v>
      </c>
      <c r="F21" s="29">
        <v>166033.34</v>
      </c>
      <c r="G21" s="26">
        <f>VLOOKUP($A21,'Gross Margin Details'!$A:$F,4,FALSE)</f>
        <v>0</v>
      </c>
      <c r="H21" s="32">
        <f t="shared" si="1"/>
        <v>-166033.34</v>
      </c>
      <c r="I21" s="29">
        <v>167528.47</v>
      </c>
      <c r="J21" s="26">
        <f>VLOOKUP($A21,'Gross Margin Details'!$A:$F,5,FALSE)</f>
        <v>0</v>
      </c>
      <c r="K21" s="32">
        <f t="shared" si="2"/>
        <v>-167528.47</v>
      </c>
      <c r="L21" s="29">
        <v>165537.1</v>
      </c>
      <c r="M21" s="26">
        <f>VLOOKUP($A21,'Gross Margin Details'!$A:$F,6,FALSE)</f>
        <v>0</v>
      </c>
      <c r="N21" s="32">
        <f t="shared" si="3"/>
        <v>-165537.1</v>
      </c>
      <c r="O21" t="s">
        <v>35</v>
      </c>
    </row>
    <row r="22" spans="1:15" x14ac:dyDescent="0.25">
      <c r="A22" s="4">
        <v>406003</v>
      </c>
      <c r="B22" t="s">
        <v>29</v>
      </c>
      <c r="C22" s="26"/>
      <c r="D22" s="35">
        <f>VLOOKUP($A22,'Gross Margin Details'!$A:$F,3,FALSE)</f>
        <v>122</v>
      </c>
      <c r="E22" s="32">
        <f t="shared" si="0"/>
        <v>122</v>
      </c>
      <c r="F22" s="26"/>
      <c r="G22" s="35">
        <f>VLOOKUP($A22,'Gross Margin Details'!$A:$F,4,FALSE)</f>
        <v>2566</v>
      </c>
      <c r="H22" s="32">
        <f t="shared" si="1"/>
        <v>2566</v>
      </c>
      <c r="I22" s="26"/>
      <c r="J22" s="35">
        <f>VLOOKUP($A22,'Gross Margin Details'!$A:$F,5,FALSE)</f>
        <v>4042</v>
      </c>
      <c r="K22" s="32">
        <f t="shared" si="2"/>
        <v>4042</v>
      </c>
      <c r="L22" s="26"/>
      <c r="M22" s="35">
        <f>VLOOKUP($A22,'Gross Margin Details'!$A:$F,6,FALSE)</f>
        <v>-479</v>
      </c>
      <c r="N22" s="32">
        <f t="shared" si="3"/>
        <v>-479</v>
      </c>
      <c r="O22" t="s">
        <v>35</v>
      </c>
    </row>
    <row r="23" spans="1:15" x14ac:dyDescent="0.25">
      <c r="A23" s="4">
        <v>406010</v>
      </c>
      <c r="B23" t="s">
        <v>19</v>
      </c>
      <c r="C23" s="29">
        <v>-84173.8</v>
      </c>
      <c r="D23" s="35">
        <f>VLOOKUP($A23,'Gross Margin Details'!$A:$F,3,FALSE)</f>
        <v>-67664.37</v>
      </c>
      <c r="E23" s="32">
        <f t="shared" si="0"/>
        <v>16509.430000000008</v>
      </c>
      <c r="F23" s="29">
        <v>-83613.299999861905</v>
      </c>
      <c r="G23" s="35">
        <f>VLOOKUP($A23,'Gross Margin Details'!$A:$F,4,FALSE)</f>
        <v>-67038.210000000006</v>
      </c>
      <c r="H23" s="32">
        <f t="shared" si="1"/>
        <v>16575.089999861899</v>
      </c>
      <c r="I23" s="29">
        <v>-83211.449999863195</v>
      </c>
      <c r="J23" s="35">
        <f>VLOOKUP($A23,'Gross Margin Details'!$A:$F,5,FALSE)</f>
        <v>-66509.45</v>
      </c>
      <c r="K23" s="32">
        <f t="shared" si="2"/>
        <v>16701.999999863197</v>
      </c>
      <c r="L23" s="29">
        <v>-82547.3999998652</v>
      </c>
      <c r="M23" s="35">
        <f>VLOOKUP($A23,'Gross Margin Details'!$A:$F,6,FALSE)</f>
        <v>-65733.959999999992</v>
      </c>
      <c r="N23" s="32">
        <f t="shared" si="3"/>
        <v>16813.439999865208</v>
      </c>
      <c r="O23" t="s">
        <v>35</v>
      </c>
    </row>
    <row r="24" spans="1:15" ht="15.75" thickBot="1" x14ac:dyDescent="0.3">
      <c r="A24" s="23" t="s">
        <v>28</v>
      </c>
      <c r="B24" s="24"/>
      <c r="C24" s="30">
        <f t="shared" ref="C24:N24" si="4">SUM(C3:C23)</f>
        <v>9777244.7400000971</v>
      </c>
      <c r="D24" s="36">
        <f t="shared" si="4"/>
        <v>9744350.1899999976</v>
      </c>
      <c r="E24" s="33">
        <f t="shared" si="4"/>
        <v>-32894.55000010175</v>
      </c>
      <c r="F24" s="30">
        <f t="shared" si="4"/>
        <v>9854851.190000087</v>
      </c>
      <c r="G24" s="36">
        <f t="shared" si="4"/>
        <v>9458540.1999999974</v>
      </c>
      <c r="H24" s="33">
        <f t="shared" si="4"/>
        <v>-396310.99000008829</v>
      </c>
      <c r="I24" s="30">
        <f t="shared" si="4"/>
        <v>9899354.3300001472</v>
      </c>
      <c r="J24" s="36">
        <f t="shared" si="4"/>
        <v>10566584.110000003</v>
      </c>
      <c r="K24" s="33">
        <f t="shared" si="4"/>
        <v>667229.77999985043</v>
      </c>
      <c r="L24" s="25">
        <f t="shared" si="4"/>
        <v>10006552.360000072</v>
      </c>
      <c r="M24" s="25">
        <f t="shared" si="4"/>
        <v>10090198.989999998</v>
      </c>
      <c r="N24" s="33">
        <f t="shared" si="4"/>
        <v>83646.629999927463</v>
      </c>
    </row>
    <row r="25" spans="1:15" ht="15.75" thickTop="1" x14ac:dyDescent="0.25">
      <c r="C25" s="2">
        <f>C24-[1]Summary!$AK$54</f>
        <v>0</v>
      </c>
      <c r="D25" s="2">
        <f>D24-'Gross Margin Details'!C127</f>
        <v>0</v>
      </c>
      <c r="F25" s="2">
        <f>F24-[1]Summary!$Y$54</f>
        <v>0</v>
      </c>
      <c r="G25" s="2">
        <f>G24-'Gross Margin Details'!D127</f>
        <v>0</v>
      </c>
      <c r="I25" s="2">
        <f>I24-[1]Summary!$N$54</f>
        <v>0</v>
      </c>
      <c r="J25" s="2">
        <f>J24-'Gross Margin Details'!E127</f>
        <v>0</v>
      </c>
      <c r="L25" s="2">
        <f>L24-[1]Summary!$C$54</f>
        <v>0</v>
      </c>
      <c r="M25" s="2">
        <f>M24-'Gross Margin Details'!F127</f>
        <v>0</v>
      </c>
    </row>
  </sheetData>
  <printOptions horizontalCentered="1"/>
  <pageMargins left="0.7" right="0.7" top="0.75" bottom="0.75" header="0.3" footer="0.3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38D0-597F-4509-9F21-519D2CDFCA6E}">
  <sheetPr>
    <pageSetUpPr fitToPage="1"/>
  </sheetPr>
  <dimension ref="A1:F128"/>
  <sheetViews>
    <sheetView zoomScaleNormal="100" workbookViewId="0">
      <pane xSplit="2" ySplit="6" topLeftCell="C7" activePane="bottomRight" state="frozen"/>
      <selection pane="topRight" activeCell="B1" sqref="B1"/>
      <selection pane="bottomLeft" activeCell="A7" sqref="A7"/>
      <selection pane="bottomRight" activeCell="F127" sqref="F127"/>
    </sheetView>
  </sheetViews>
  <sheetFormatPr defaultRowHeight="15" outlineLevelRow="1" x14ac:dyDescent="0.25"/>
  <cols>
    <col min="1" max="1" width="13.42578125" style="4" customWidth="1"/>
    <col min="2" max="2" width="59.140625" bestFit="1" customWidth="1"/>
    <col min="3" max="6" width="13.28515625" bestFit="1" customWidth="1"/>
  </cols>
  <sheetData>
    <row r="1" spans="1:6" x14ac:dyDescent="0.25">
      <c r="B1" s="5" t="s">
        <v>21</v>
      </c>
    </row>
    <row r="2" spans="1:6" x14ac:dyDescent="0.25">
      <c r="B2" s="5" t="s">
        <v>22</v>
      </c>
    </row>
    <row r="3" spans="1:6" x14ac:dyDescent="0.25">
      <c r="B3" s="5" t="s">
        <v>23</v>
      </c>
    </row>
    <row r="4" spans="1:6" x14ac:dyDescent="0.25">
      <c r="B4" s="5" t="s">
        <v>24</v>
      </c>
    </row>
    <row r="5" spans="1:6" x14ac:dyDescent="0.25">
      <c r="B5" s="5" t="s">
        <v>25</v>
      </c>
    </row>
    <row r="6" spans="1:6" x14ac:dyDescent="0.25">
      <c r="A6" s="1" t="s">
        <v>0</v>
      </c>
      <c r="C6" s="6" t="str">
        <f>CHOOSE(2, "5449260031", "Jan 23")</f>
        <v>Jan 23</v>
      </c>
      <c r="D6" s="6" t="str">
        <f>CHOOSE(2, "5449570028", "Feb 23")</f>
        <v>Feb 23</v>
      </c>
      <c r="E6" s="6" t="str">
        <f>CHOOSE(2, "5449850031", "Mar 23")</f>
        <v>Mar 23</v>
      </c>
      <c r="F6" s="6" t="str">
        <f>CHOOSE(2, "5450160030", "Apr 23")</f>
        <v>Apr 23</v>
      </c>
    </row>
    <row r="7" spans="1:6" ht="21.95" customHeight="1" x14ac:dyDescent="0.25">
      <c r="B7" s="6" t="str">
        <f>CHOOSE(2, "415000000058", "Wireless Revenue &amp; Variable Cost Details")</f>
        <v>Wireless Revenue &amp; Variable Cost Details</v>
      </c>
      <c r="C7" s="5"/>
      <c r="D7" s="5"/>
      <c r="E7" s="5"/>
      <c r="F7" s="5"/>
    </row>
    <row r="8" spans="1:6" ht="21.95" customHeight="1" x14ac:dyDescent="0.25">
      <c r="B8" s="6" t="str">
        <f>CHOOSE(2, "415000000147", "Service Revenue Details")</f>
        <v>Service Revenue Details</v>
      </c>
      <c r="C8" s="5"/>
      <c r="D8" s="5"/>
      <c r="E8" s="5"/>
      <c r="F8" s="5"/>
    </row>
    <row r="9" spans="1:6" x14ac:dyDescent="0.25">
      <c r="A9" s="14">
        <v>400300</v>
      </c>
      <c r="B9" s="15" t="str">
        <f>CHOOSE(2, "415000000060", "Postpaid - Base Plan MRC - Phone")</f>
        <v>Postpaid - Base Plan MRC - Phone</v>
      </c>
      <c r="C9" s="16">
        <v>8162712.5899999999</v>
      </c>
      <c r="D9" s="16">
        <v>7953849.0999999996</v>
      </c>
      <c r="E9" s="16">
        <v>8928200.8300000001</v>
      </c>
      <c r="F9" s="16">
        <v>8286992.5800000001</v>
      </c>
    </row>
    <row r="10" spans="1:6" hidden="1" outlineLevel="1" x14ac:dyDescent="0.25">
      <c r="B10" s="7" t="str">
        <f>CHOOSE(2, "415000000061", "Postpaid - Base Plan MRC - Tablets")</f>
        <v>Postpaid - Base Plan MRC - Tablets</v>
      </c>
      <c r="C10" s="8">
        <v>0</v>
      </c>
      <c r="D10" s="8">
        <v>0</v>
      </c>
      <c r="E10" s="8">
        <v>0</v>
      </c>
      <c r="F10" s="8">
        <v>0</v>
      </c>
    </row>
    <row r="11" spans="1:6" collapsed="1" x14ac:dyDescent="0.25">
      <c r="A11" s="14">
        <v>400309</v>
      </c>
      <c r="B11" s="15" t="str">
        <f>CHOOSE(2, "415000000062", "Postpaid - MRC Discounts")</f>
        <v>Postpaid - MRC Discounts</v>
      </c>
      <c r="C11" s="16">
        <v>-289795.36</v>
      </c>
      <c r="D11" s="16">
        <v>-265553.36</v>
      </c>
      <c r="E11" s="16">
        <v>-216702.86</v>
      </c>
      <c r="F11" s="16">
        <v>-131889.81</v>
      </c>
    </row>
    <row r="12" spans="1:6" x14ac:dyDescent="0.25">
      <c r="A12" s="14">
        <v>401171</v>
      </c>
      <c r="B12" s="15" t="str">
        <f>CHOOSE(2, "415000000063", "Postpaid - Add on - LD - Domestic - Voice")</f>
        <v>Postpaid - Add on - LD - Domestic - Voice</v>
      </c>
      <c r="C12" s="16">
        <v>44171.199999999997</v>
      </c>
      <c r="D12" s="16">
        <v>42611</v>
      </c>
      <c r="E12" s="16">
        <v>47217.93</v>
      </c>
      <c r="F12" s="16">
        <v>45043.62</v>
      </c>
    </row>
    <row r="13" spans="1:6" hidden="1" outlineLevel="1" x14ac:dyDescent="0.25">
      <c r="B13" s="7" t="str">
        <f>CHOOSE(2, "415000000064", "Postpaid - Add on - LD - International - Voice")</f>
        <v>Postpaid - Add on - LD - International - Voice</v>
      </c>
      <c r="C13" s="8">
        <v>0</v>
      </c>
      <c r="D13" s="8">
        <v>0</v>
      </c>
      <c r="E13" s="8">
        <v>0</v>
      </c>
      <c r="F13" s="8">
        <v>0</v>
      </c>
    </row>
    <row r="14" spans="1:6" collapsed="1" x14ac:dyDescent="0.25">
      <c r="A14" s="14">
        <v>401200</v>
      </c>
      <c r="B14" s="15" t="str">
        <f>CHOOSE(2, "415000000065", "Postpaid - Add on - Data  - Domestic - MB")</f>
        <v>Postpaid - Add on - Data  - Domestic - MB</v>
      </c>
      <c r="C14" s="16">
        <v>194076.97</v>
      </c>
      <c r="D14" s="16">
        <v>186723.74</v>
      </c>
      <c r="E14" s="16">
        <v>205886</v>
      </c>
      <c r="F14" s="16">
        <v>195941.13</v>
      </c>
    </row>
    <row r="15" spans="1:6" x14ac:dyDescent="0.25">
      <c r="A15" s="14">
        <v>401400</v>
      </c>
      <c r="B15" s="15" t="str">
        <f>CHOOSE(2, "415000000066", "Postpaid - Add on - VAS - Domestic - VAS")</f>
        <v>Postpaid - Add on - VAS - Domestic - VAS</v>
      </c>
      <c r="C15" s="16">
        <v>23671.42</v>
      </c>
      <c r="D15" s="16">
        <v>22795.42</v>
      </c>
      <c r="E15" s="16">
        <v>24982.83</v>
      </c>
      <c r="F15" s="16">
        <v>23509.47</v>
      </c>
    </row>
    <row r="16" spans="1:6" hidden="1" outlineLevel="1" x14ac:dyDescent="0.25">
      <c r="B16" s="7" t="str">
        <f>CHOOSE(2, "415000000067", "Postpaid - Add on - VAS - Domestic - SMS")</f>
        <v>Postpaid - Add on - VAS - Domestic - SMS</v>
      </c>
      <c r="C16" s="8">
        <v>0</v>
      </c>
      <c r="D16" s="8">
        <v>0</v>
      </c>
      <c r="E16" s="8">
        <v>0</v>
      </c>
      <c r="F16" s="8">
        <v>0</v>
      </c>
    </row>
    <row r="17" spans="1:6" hidden="1" outlineLevel="1" x14ac:dyDescent="0.25">
      <c r="B17" s="7" t="str">
        <f>CHOOSE(2, "415000000068", "Postpaid - Overage - LD - Domestic - Voice - Local")</f>
        <v>Postpaid - Overage - LD - Domestic - Voice - Local</v>
      </c>
      <c r="C17" s="8">
        <v>0</v>
      </c>
      <c r="D17" s="8">
        <v>0</v>
      </c>
      <c r="E17" s="8">
        <v>0</v>
      </c>
      <c r="F17" s="8">
        <v>0</v>
      </c>
    </row>
    <row r="18" spans="1:6" hidden="1" outlineLevel="1" x14ac:dyDescent="0.25">
      <c r="B18" s="7" t="str">
        <f>CHOOSE(2, "415000000069", "Postpaid - Overage - LD - Domestic - Voice - National LD")</f>
        <v>Postpaid - Overage - LD - Domestic - Voice - National LD</v>
      </c>
      <c r="C18" s="8">
        <v>0</v>
      </c>
      <c r="D18" s="8">
        <v>0</v>
      </c>
      <c r="E18" s="8">
        <v>0</v>
      </c>
      <c r="F18" s="8">
        <v>0</v>
      </c>
    </row>
    <row r="19" spans="1:6" collapsed="1" x14ac:dyDescent="0.25">
      <c r="A19" s="14">
        <v>401121</v>
      </c>
      <c r="B19" s="15" t="str">
        <f>CHOOSE(2, "415000000070", "Postpaid - Overage - LD - International - Voice - Intl.")</f>
        <v>Postpaid - Overage - LD - International - Voice - Intl.</v>
      </c>
      <c r="C19" s="16">
        <v>136859.62</v>
      </c>
      <c r="D19" s="16">
        <v>128170.39</v>
      </c>
      <c r="E19" s="16">
        <v>115984.88</v>
      </c>
      <c r="F19" s="16">
        <v>127048.34</v>
      </c>
    </row>
    <row r="20" spans="1:6" hidden="1" outlineLevel="1" x14ac:dyDescent="0.25">
      <c r="B20" s="7" t="str">
        <f>CHOOSE(2, "415000000071", "Postpaid - Overage - Data - Domestic - MB")</f>
        <v>Postpaid - Overage - Data - Domestic - MB</v>
      </c>
      <c r="C20" s="8">
        <v>0</v>
      </c>
      <c r="D20" s="8">
        <v>0</v>
      </c>
      <c r="E20" s="8">
        <v>0</v>
      </c>
      <c r="F20" s="8">
        <v>0</v>
      </c>
    </row>
    <row r="21" spans="1:6" collapsed="1" x14ac:dyDescent="0.25">
      <c r="A21" s="14">
        <v>401411</v>
      </c>
      <c r="B21" s="15" t="str">
        <f>CHOOSE(2, "415000000072", "Postpaid - Overage - VAS - Domestic - VAS")</f>
        <v>Postpaid - Overage - VAS - Domestic - VAS</v>
      </c>
      <c r="C21" s="16">
        <v>12151.11</v>
      </c>
      <c r="D21" s="16">
        <v>12017.08</v>
      </c>
      <c r="E21" s="16">
        <v>11652.78</v>
      </c>
      <c r="F21" s="16">
        <v>11163.06</v>
      </c>
    </row>
    <row r="22" spans="1:6" hidden="1" outlineLevel="1" x14ac:dyDescent="0.25">
      <c r="B22" s="7" t="str">
        <f>CHOOSE(2, "415000000073", "Postpaid - Overage - VAS - Domestic - SMS")</f>
        <v>Postpaid - Overage - VAS - Domestic - SMS</v>
      </c>
      <c r="C22" s="8">
        <v>0</v>
      </c>
      <c r="D22" s="8">
        <v>0</v>
      </c>
      <c r="E22" s="8">
        <v>0</v>
      </c>
      <c r="F22" s="8">
        <v>0</v>
      </c>
    </row>
    <row r="23" spans="1:6" hidden="1" outlineLevel="1" x14ac:dyDescent="0.25">
      <c r="B23" s="7" t="str">
        <f>CHOOSE(2, "415000000074", "Postpaid - Overage - VAS - International - SMS")</f>
        <v>Postpaid - Overage - VAS - International - SMS</v>
      </c>
      <c r="C23" s="8">
        <v>0</v>
      </c>
      <c r="D23" s="8">
        <v>0</v>
      </c>
      <c r="E23" s="8">
        <v>0</v>
      </c>
      <c r="F23" s="8">
        <v>0</v>
      </c>
    </row>
    <row r="24" spans="1:6" collapsed="1" x14ac:dyDescent="0.25">
      <c r="A24" s="14">
        <v>404000</v>
      </c>
      <c r="B24" s="15" t="str">
        <f>CHOOSE(2, "415000000075", "Postpaid - Overage - Roaming - International Roaming - Voice")</f>
        <v>Postpaid - Overage - Roaming - International Roaming - Voice</v>
      </c>
      <c r="C24" s="16">
        <v>92456.5</v>
      </c>
      <c r="D24" s="16">
        <v>80962.5</v>
      </c>
      <c r="E24" s="16">
        <v>74776.5</v>
      </c>
      <c r="F24" s="16">
        <v>83696.5</v>
      </c>
    </row>
    <row r="25" spans="1:6" x14ac:dyDescent="0.25">
      <c r="A25" s="14">
        <v>404200</v>
      </c>
      <c r="B25" s="15" t="str">
        <f>CHOOSE(2, "415000000076", "Postpaid - Overage - Roaming - International Roaming - MB")</f>
        <v>Postpaid - Overage - Roaming - International Roaming - MB</v>
      </c>
      <c r="C25" s="16">
        <v>553203.91</v>
      </c>
      <c r="D25" s="16">
        <v>504865.15</v>
      </c>
      <c r="E25" s="16">
        <v>557860.79</v>
      </c>
      <c r="F25" s="16">
        <v>653211.19999999995</v>
      </c>
    </row>
    <row r="26" spans="1:6" x14ac:dyDescent="0.25">
      <c r="A26" s="14">
        <v>404510</v>
      </c>
      <c r="B26" s="15" t="str">
        <f>CHOOSE(2, "415000000077", "Postpaid - Overage - Roaming - International Roaming - SMS")</f>
        <v>Postpaid - Overage - Roaming - International Roaming - SMS</v>
      </c>
      <c r="C26" s="16">
        <v>28566</v>
      </c>
      <c r="D26" s="16">
        <v>20806.5</v>
      </c>
      <c r="E26" s="16">
        <v>22468.5</v>
      </c>
      <c r="F26" s="16">
        <v>29712.5</v>
      </c>
    </row>
    <row r="27" spans="1:6" x14ac:dyDescent="0.25">
      <c r="A27" s="14">
        <v>404500</v>
      </c>
      <c r="B27" s="15" t="str">
        <f>CHOOSE(2, "415000000078", "Postpaid - Overage - Roaming - Domestic Roaming - Voice")</f>
        <v>Postpaid - Overage - Roaming - Domestic Roaming - Voice</v>
      </c>
      <c r="C27" s="16">
        <v>5718.77</v>
      </c>
      <c r="D27" s="16">
        <v>4798.74</v>
      </c>
      <c r="E27" s="16">
        <v>3814.52</v>
      </c>
      <c r="F27" s="16">
        <v>4321.03</v>
      </c>
    </row>
    <row r="28" spans="1:6" x14ac:dyDescent="0.25">
      <c r="A28" s="14">
        <v>405210</v>
      </c>
      <c r="B28" s="15" t="str">
        <f>CHOOSE(2, "415000000079", "Postpaid - Overage - Roaming - Domestic Roaming - MB")</f>
        <v>Postpaid - Overage - Roaming - Domestic Roaming - MB</v>
      </c>
      <c r="C28" s="16">
        <v>320164.71999999997</v>
      </c>
      <c r="D28" s="16">
        <v>316483.13</v>
      </c>
      <c r="E28" s="16">
        <v>343114.58</v>
      </c>
      <c r="F28" s="16">
        <v>335574.21</v>
      </c>
    </row>
    <row r="29" spans="1:6" x14ac:dyDescent="0.25">
      <c r="A29" s="14">
        <v>405500</v>
      </c>
      <c r="B29" s="15" t="str">
        <f>CHOOSE(2, "415000000080", "Postpaid - Overage - Roaming - Domestic Roaming - SMS")</f>
        <v>Postpaid - Overage - Roaming - Domestic Roaming - SMS</v>
      </c>
      <c r="C29" s="16">
        <v>223.25</v>
      </c>
      <c r="D29" s="16">
        <v>223.5</v>
      </c>
      <c r="E29" s="16">
        <v>154.75</v>
      </c>
      <c r="F29" s="16">
        <v>162.19999999999999</v>
      </c>
    </row>
    <row r="30" spans="1:6" hidden="1" outlineLevel="1" x14ac:dyDescent="0.25">
      <c r="B30" s="7" t="str">
        <f>CHOOSE(2, "415000000081", "Postpaid - Overage - Tablets - Data - Domestic - MB")</f>
        <v>Postpaid - Overage - Tablets - Data - Domestic - MB</v>
      </c>
      <c r="C30" s="8">
        <v>0</v>
      </c>
      <c r="D30" s="8">
        <v>0</v>
      </c>
      <c r="E30" s="8">
        <v>0</v>
      </c>
      <c r="F30" s="8">
        <v>0</v>
      </c>
    </row>
    <row r="31" spans="1:6" collapsed="1" x14ac:dyDescent="0.25">
      <c r="A31" s="17">
        <v>400200</v>
      </c>
      <c r="B31" s="15" t="str">
        <f>CHOOSE(2, "415000000082", "Postpaid - Other - Connection Fees")</f>
        <v>Postpaid - Other - Connection Fees</v>
      </c>
      <c r="C31" s="16">
        <v>563525.02</v>
      </c>
      <c r="D31" s="16">
        <v>549904.92999999993</v>
      </c>
      <c r="E31" s="16">
        <v>514040</v>
      </c>
      <c r="F31" s="16">
        <v>517207.74</v>
      </c>
    </row>
    <row r="32" spans="1:6" x14ac:dyDescent="0.25">
      <c r="A32" s="14">
        <v>400303</v>
      </c>
      <c r="B32" s="15" t="str">
        <f>CHOOSE(2, "415000000083", "Postpaid - Other - Phone Protection")</f>
        <v>Postpaid - Other - Phone Protection</v>
      </c>
      <c r="C32" s="16">
        <v>90799.19</v>
      </c>
      <c r="D32" s="16">
        <v>83034.679999999993</v>
      </c>
      <c r="E32" s="16">
        <v>102395.22</v>
      </c>
      <c r="F32" s="16">
        <v>89667.28</v>
      </c>
    </row>
    <row r="33" spans="1:6" x14ac:dyDescent="0.25">
      <c r="A33" s="17">
        <v>400308</v>
      </c>
      <c r="B33" s="15" t="str">
        <f>CHOOSE(2, "415000000084", "Postpaid - Credit &amp; Adjustment - Above MRC Disc.")</f>
        <v>Postpaid - Credit &amp; Adjustment - Above MRC Disc.</v>
      </c>
      <c r="C33" s="16">
        <v>-19.96</v>
      </c>
      <c r="D33" s="16">
        <v>-2.25</v>
      </c>
      <c r="E33" s="16">
        <v>0</v>
      </c>
      <c r="F33" s="16">
        <v>0</v>
      </c>
    </row>
    <row r="34" spans="1:6" x14ac:dyDescent="0.25">
      <c r="A34" s="14">
        <v>400399</v>
      </c>
      <c r="B34" s="15" t="str">
        <f>CHOOSE(2, "415000000085", "Postpaid - Credit &amp; Adjustment - Cust. Service Adj.")</f>
        <v>Postpaid - Credit &amp; Adjustment - Cust. Service Adj.</v>
      </c>
      <c r="C34" s="16">
        <v>-120333.21</v>
      </c>
      <c r="D34" s="16">
        <v>-130259.44</v>
      </c>
      <c r="E34" s="16">
        <v>-118908.75</v>
      </c>
      <c r="F34" s="16">
        <v>-126822.32</v>
      </c>
    </row>
    <row r="35" spans="1:6" hidden="1" outlineLevel="1" x14ac:dyDescent="0.25">
      <c r="B35" s="7" t="str">
        <f>CHOOSE(2, "415000000086", "Postpaid - Disc. Amort. Allocated to/from Wireline")</f>
        <v>Postpaid - Disc. Amort. Allocated to/from Wireline</v>
      </c>
      <c r="C35" s="8">
        <v>5065778.3899999997</v>
      </c>
      <c r="D35" s="8">
        <v>5062325.41</v>
      </c>
      <c r="E35" s="8">
        <v>5059109.75</v>
      </c>
      <c r="F35" s="8">
        <v>5046943.84</v>
      </c>
    </row>
    <row r="36" spans="1:6" hidden="1" outlineLevel="1" x14ac:dyDescent="0.25">
      <c r="B36" s="7" t="str">
        <f>CHOOSE(2, "415000000087", "Postpaid - Disc. Amort. Allocated to/from HS")</f>
        <v>Postpaid - Disc. Amort. Allocated to/from HS</v>
      </c>
      <c r="C36" s="8">
        <v>221207.7</v>
      </c>
      <c r="D36" s="8">
        <v>216357.84</v>
      </c>
      <c r="E36" s="8">
        <v>219428.06</v>
      </c>
      <c r="F36" s="8">
        <v>222446.49</v>
      </c>
    </row>
    <row r="37" spans="1:6" hidden="1" outlineLevel="1" x14ac:dyDescent="0.25">
      <c r="B37" s="9" t="str">
        <f>CHOOSE(2, "415000000059", "Service Revenue - Postpaid")</f>
        <v>Service Revenue - Postpaid</v>
      </c>
      <c r="C37" s="10">
        <v>15105137.829999994</v>
      </c>
      <c r="D37" s="10">
        <v>14790114.060000001</v>
      </c>
      <c r="E37" s="10">
        <v>15895476.310000001</v>
      </c>
      <c r="F37" s="10">
        <v>15413929.060000001</v>
      </c>
    </row>
    <row r="38" spans="1:6" ht="15.75" hidden="1" outlineLevel="1" thickBot="1" x14ac:dyDescent="0.3">
      <c r="B38" s="7" t="str">
        <f>CHOOSE(2, "415000000115", "Visitor Roaming")</f>
        <v>Visitor Roaming</v>
      </c>
      <c r="C38" s="8">
        <v>0</v>
      </c>
      <c r="D38" s="8">
        <v>0</v>
      </c>
      <c r="E38" s="8">
        <v>0</v>
      </c>
      <c r="F38" s="8">
        <v>0</v>
      </c>
    </row>
    <row r="39" spans="1:6" ht="16.5" hidden="1" outlineLevel="1" thickTop="1" thickBot="1" x14ac:dyDescent="0.3">
      <c r="B39" s="6" t="str">
        <f>CHOOSE(2, "415000000116", "Service Revenue - Total")</f>
        <v>Service Revenue - Total</v>
      </c>
      <c r="C39" s="11">
        <v>15105137.829999994</v>
      </c>
      <c r="D39" s="11">
        <v>14790114.060000001</v>
      </c>
      <c r="E39" s="11">
        <v>15895476.310000001</v>
      </c>
      <c r="F39" s="11">
        <v>15413929.060000001</v>
      </c>
    </row>
    <row r="40" spans="1:6" ht="21.95" hidden="1" customHeight="1" outlineLevel="1" collapsed="1" thickTop="1" x14ac:dyDescent="0.25">
      <c r="B40" s="6" t="str">
        <f>CHOOSE(2, "415000000148", "Equipment Revenue Details")</f>
        <v>Equipment Revenue Details</v>
      </c>
      <c r="C40" s="8"/>
      <c r="D40" s="8"/>
      <c r="E40" s="8"/>
      <c r="F40" s="8"/>
    </row>
    <row r="41" spans="1:6" hidden="1" outlineLevel="1" x14ac:dyDescent="0.25">
      <c r="B41" s="7" t="str">
        <f>CHOOSE(2, "415000000144", "Handset Revenue")</f>
        <v>Handset Revenue</v>
      </c>
      <c r="C41" s="8">
        <v>3049859.12</v>
      </c>
      <c r="D41" s="8">
        <v>3453078.1799999997</v>
      </c>
      <c r="E41" s="8">
        <v>2152665.98</v>
      </c>
      <c r="F41" s="8">
        <v>-749570.41999999993</v>
      </c>
    </row>
    <row r="42" spans="1:6" hidden="1" outlineLevel="1" x14ac:dyDescent="0.25">
      <c r="B42" s="7" t="str">
        <f>CHOOSE(2, "415000000240", "TradeUp BRV Revenue Reduction")</f>
        <v>TradeUp BRV Revenue Reduction</v>
      </c>
      <c r="C42" s="8">
        <v>0</v>
      </c>
      <c r="D42" s="8">
        <v>0</v>
      </c>
      <c r="E42" s="8">
        <v>0</v>
      </c>
      <c r="F42" s="8">
        <v>0</v>
      </c>
    </row>
    <row r="43" spans="1:6" hidden="1" outlineLevel="1" x14ac:dyDescent="0.25">
      <c r="B43" s="7" t="str">
        <f>CHOOSE(2, "415000000143", "Handset Revenue - Consignment")</f>
        <v>Handset Revenue - Consignment</v>
      </c>
      <c r="C43" s="8">
        <v>56459</v>
      </c>
      <c r="D43" s="8">
        <v>65254</v>
      </c>
      <c r="E43" s="8">
        <v>69191</v>
      </c>
      <c r="F43" s="8">
        <v>7068</v>
      </c>
    </row>
    <row r="44" spans="1:6" hidden="1" outlineLevel="1" x14ac:dyDescent="0.25">
      <c r="B44" s="7" t="str">
        <f>CHOOSE(2, "415000000142", "Handset Revenue - Connection Fee Equip")</f>
        <v>Handset Revenue - Connection Fee Equip</v>
      </c>
      <c r="C44" s="8">
        <v>0</v>
      </c>
      <c r="D44" s="8">
        <v>0</v>
      </c>
      <c r="E44" s="8">
        <v>0</v>
      </c>
      <c r="F44" s="8">
        <v>0</v>
      </c>
    </row>
    <row r="45" spans="1:6" hidden="1" outlineLevel="1" x14ac:dyDescent="0.25">
      <c r="B45" s="7" t="str">
        <f>CHOOSE(2, "415000000141", "Handset Revenue - Tab Discount")</f>
        <v>Handset Revenue - Tab Discount</v>
      </c>
      <c r="C45" s="8">
        <v>-640365.07999999996</v>
      </c>
      <c r="D45" s="8">
        <v>-569947.86</v>
      </c>
      <c r="E45" s="8">
        <v>-458635.02</v>
      </c>
      <c r="F45" s="8">
        <v>-65632.429999999993</v>
      </c>
    </row>
    <row r="46" spans="1:6" hidden="1" outlineLevel="1" x14ac:dyDescent="0.25">
      <c r="B46" s="7" t="str">
        <f>CHOOSE(2, "415000000140", "Handset Revenue - Tab Subsidy Dealer")</f>
        <v>Handset Revenue - Tab Subsidy Dealer</v>
      </c>
      <c r="C46" s="8">
        <v>0</v>
      </c>
      <c r="D46" s="8">
        <v>0</v>
      </c>
      <c r="E46" s="8">
        <v>0</v>
      </c>
      <c r="F46" s="8">
        <v>0</v>
      </c>
    </row>
    <row r="47" spans="1:6" hidden="1" outlineLevel="1" x14ac:dyDescent="0.25">
      <c r="B47" s="7" t="str">
        <f>CHOOSE(2, "415000000139", "Tab Cancellation Charges")</f>
        <v>Tab Cancellation Charges</v>
      </c>
      <c r="C47" s="8">
        <v>38323.69</v>
      </c>
      <c r="D47" s="8">
        <v>11116.14</v>
      </c>
      <c r="E47" s="8">
        <v>48165.17</v>
      </c>
      <c r="F47" s="8">
        <v>29123.64</v>
      </c>
    </row>
    <row r="48" spans="1:6" hidden="1" outlineLevel="1" x14ac:dyDescent="0.25">
      <c r="B48" s="7" t="str">
        <f>CHOOSE(2, "415000000138", "Other (Trade In Value Credit)")</f>
        <v>Other (Trade In Value Credit)</v>
      </c>
      <c r="C48" s="8">
        <v>23025.41</v>
      </c>
      <c r="D48" s="8">
        <v>7545.67</v>
      </c>
      <c r="E48" s="8">
        <v>6458.42</v>
      </c>
      <c r="F48" s="8">
        <v>1429.97</v>
      </c>
    </row>
    <row r="49" spans="1:6" hidden="1" outlineLevel="1" x14ac:dyDescent="0.25">
      <c r="B49" s="7" t="str">
        <f>CHOOSE(2, "415000000137", "Dealer / NR Margin")</f>
        <v>Dealer / NR Margin</v>
      </c>
      <c r="C49" s="8">
        <v>20908.689999999999</v>
      </c>
      <c r="D49" s="8">
        <v>-66314.81</v>
      </c>
      <c r="E49" s="8">
        <v>703.47</v>
      </c>
      <c r="F49" s="8">
        <v>90322.52</v>
      </c>
    </row>
    <row r="50" spans="1:6" hidden="1" outlineLevel="1" x14ac:dyDescent="0.25">
      <c r="B50" s="7" t="str">
        <f>CHOOSE(2, "415000000136", "Dealer / NR Margin - Dealer")</f>
        <v>Dealer / NR Margin - Dealer</v>
      </c>
      <c r="C50" s="8">
        <v>0</v>
      </c>
      <c r="D50" s="8">
        <v>0</v>
      </c>
      <c r="E50" s="8">
        <v>0</v>
      </c>
      <c r="F50" s="8">
        <v>0</v>
      </c>
    </row>
    <row r="51" spans="1:6" hidden="1" outlineLevel="1" x14ac:dyDescent="0.25">
      <c r="B51" s="7" t="str">
        <f>CHOOSE(2, "415000000135", "Handset Return Allowance")</f>
        <v>Handset Return Allowance</v>
      </c>
      <c r="C51" s="8">
        <v>-22605.43</v>
      </c>
      <c r="D51" s="8">
        <v>-20008.669999999998</v>
      </c>
      <c r="E51" s="8">
        <v>34988.04</v>
      </c>
      <c r="F51" s="8">
        <v>6282.18</v>
      </c>
    </row>
    <row r="52" spans="1:6" hidden="1" outlineLevel="1" x14ac:dyDescent="0.25">
      <c r="B52" s="7" t="str">
        <f>CHOOSE(2, "415000000134", "Handset Price Protection")</f>
        <v>Handset Price Protection</v>
      </c>
      <c r="C52" s="8">
        <v>73066</v>
      </c>
      <c r="D52" s="8">
        <v>10728.24</v>
      </c>
      <c r="E52" s="8">
        <v>-240</v>
      </c>
      <c r="F52" s="8">
        <v>360</v>
      </c>
    </row>
    <row r="53" spans="1:6" hidden="1" outlineLevel="1" x14ac:dyDescent="0.25">
      <c r="B53" s="7" t="str">
        <f>CHOOSE(2, "415000000133", "TAB Bad Debt")</f>
        <v>TAB Bad Debt</v>
      </c>
      <c r="C53" s="8">
        <v>0</v>
      </c>
      <c r="D53" s="8">
        <v>0</v>
      </c>
      <c r="E53" s="8">
        <v>0</v>
      </c>
      <c r="F53" s="8">
        <v>0</v>
      </c>
    </row>
    <row r="54" spans="1:6" hidden="1" outlineLevel="1" x14ac:dyDescent="0.25">
      <c r="B54" s="7" t="str">
        <f>CHOOSE(2, "415000000132", "Accessories Revenue")</f>
        <v>Accessories Revenue</v>
      </c>
      <c r="C54" s="8">
        <v>115062.14</v>
      </c>
      <c r="D54" s="8">
        <v>26970.080000000002</v>
      </c>
      <c r="E54" s="8">
        <v>94563.83</v>
      </c>
      <c r="F54" s="8">
        <v>30337.59</v>
      </c>
    </row>
    <row r="55" spans="1:6" ht="15.75" hidden="1" outlineLevel="1" thickBot="1" x14ac:dyDescent="0.3">
      <c r="B55" s="7" t="str">
        <f>CHOOSE(2, "415000000131", "Disc. Amort. Allocated to/from Wireline")</f>
        <v>Disc. Amort. Allocated to/from Wireline</v>
      </c>
      <c r="C55" s="8">
        <v>-324328.84999999998</v>
      </c>
      <c r="D55" s="8">
        <v>-242813.72</v>
      </c>
      <c r="E55" s="8">
        <v>-194466.86</v>
      </c>
      <c r="F55" s="8">
        <v>-113388.52</v>
      </c>
    </row>
    <row r="56" spans="1:6" ht="16.5" hidden="1" outlineLevel="1" thickTop="1" thickBot="1" x14ac:dyDescent="0.3">
      <c r="B56" s="6" t="str">
        <f>CHOOSE(2, "415000000130", "Equipment Revenue - Total")</f>
        <v>Equipment Revenue - Total</v>
      </c>
      <c r="C56" s="11">
        <v>2389404.69</v>
      </c>
      <c r="D56" s="11">
        <v>2675607.25</v>
      </c>
      <c r="E56" s="11">
        <v>1753394.0299999998</v>
      </c>
      <c r="F56" s="11">
        <v>-763667.46999999986</v>
      </c>
    </row>
    <row r="57" spans="1:6" ht="21.95" customHeight="1" collapsed="1" x14ac:dyDescent="0.25">
      <c r="B57" s="6" t="str">
        <f>CHOOSE(2, "415000000149", "Other Revenue Details")</f>
        <v>Other Revenue Details</v>
      </c>
      <c r="C57" s="8"/>
      <c r="D57" s="8"/>
      <c r="E57" s="8"/>
      <c r="F57" s="8"/>
    </row>
    <row r="58" spans="1:6" x14ac:dyDescent="0.25">
      <c r="A58" s="17">
        <v>406000</v>
      </c>
      <c r="B58" s="15" t="str">
        <f>CHOOSE(2, "415000000129", "Postpaid Late Pymt / Bill Pymt fee - Dealer")</f>
        <v>Postpaid Late Pymt / Bill Pymt fee - Dealer</v>
      </c>
      <c r="C58" s="16">
        <v>-6259.18</v>
      </c>
      <c r="D58" s="16">
        <v>11581.6</v>
      </c>
      <c r="E58" s="16">
        <v>12113.06</v>
      </c>
      <c r="F58" s="16">
        <v>11873.22</v>
      </c>
    </row>
    <row r="59" spans="1:6" hidden="1" outlineLevel="1" x14ac:dyDescent="0.25">
      <c r="B59" s="7" t="str">
        <f>CHOOSE(2, "415000000128", "Prepaid Late Pymt / Bill Pymt fee - Dealer")</f>
        <v>Prepaid Late Pymt / Bill Pymt fee - Dealer</v>
      </c>
      <c r="C59" s="8">
        <v>0</v>
      </c>
      <c r="D59" s="8">
        <v>0</v>
      </c>
      <c r="E59" s="8">
        <v>0</v>
      </c>
      <c r="F59" s="8">
        <v>0</v>
      </c>
    </row>
    <row r="60" spans="1:6" hidden="1" outlineLevel="1" x14ac:dyDescent="0.25">
      <c r="B60" s="7" t="str">
        <f>CHOOSE(2, "415000000127", "Bill Payment Fee - CS")</f>
        <v>Bill Payment Fee - CS</v>
      </c>
      <c r="C60" s="8">
        <v>19400</v>
      </c>
      <c r="D60" s="8">
        <v>1900</v>
      </c>
      <c r="E60" s="8">
        <v>2000</v>
      </c>
      <c r="F60" s="8">
        <v>600</v>
      </c>
    </row>
    <row r="61" spans="1:6" hidden="1" outlineLevel="1" x14ac:dyDescent="0.25">
      <c r="B61" s="7" t="str">
        <f>CHOOSE(2, "415000000126", "Device Extended Warranty Commission")</f>
        <v>Device Extended Warranty Commission</v>
      </c>
      <c r="C61" s="8">
        <v>0</v>
      </c>
      <c r="D61" s="8">
        <v>0</v>
      </c>
      <c r="E61" s="8">
        <v>0</v>
      </c>
      <c r="F61" s="8">
        <v>0</v>
      </c>
    </row>
    <row r="62" spans="1:6" collapsed="1" x14ac:dyDescent="0.25">
      <c r="A62" s="17">
        <v>406003</v>
      </c>
      <c r="B62" s="15" t="str">
        <f>CHOOSE(2, "415000000125", "Apple Care")</f>
        <v>Apple Care</v>
      </c>
      <c r="C62" s="16">
        <v>122</v>
      </c>
      <c r="D62" s="16">
        <v>2566</v>
      </c>
      <c r="E62" s="16">
        <v>4042</v>
      </c>
      <c r="F62" s="16">
        <v>-479</v>
      </c>
    </row>
    <row r="63" spans="1:6" hidden="1" outlineLevel="1" x14ac:dyDescent="0.25">
      <c r="B63" s="7" t="str">
        <f>CHOOSE(2, "415000000124", "Drop Ship Commission Rev")</f>
        <v>Drop Ship Commission Rev</v>
      </c>
      <c r="C63" s="8">
        <v>0</v>
      </c>
      <c r="D63" s="8">
        <v>0</v>
      </c>
      <c r="E63" s="8">
        <v>0</v>
      </c>
      <c r="F63" s="8">
        <v>0</v>
      </c>
    </row>
    <row r="64" spans="1:6" hidden="1" outlineLevel="1" x14ac:dyDescent="0.25">
      <c r="B64" s="7" t="str">
        <f>CHOOSE(2, "415000000123", "A2P Revenue")</f>
        <v>A2P Revenue</v>
      </c>
      <c r="C64" s="8">
        <v>0</v>
      </c>
      <c r="D64" s="8">
        <v>0</v>
      </c>
      <c r="E64" s="8">
        <v>0</v>
      </c>
      <c r="F64" s="8">
        <v>0</v>
      </c>
    </row>
    <row r="65" spans="1:6" hidden="1" outlineLevel="1" x14ac:dyDescent="0.25">
      <c r="B65" s="7" t="str">
        <f>CHOOSE(2, "415000000242", "Subscriptions")</f>
        <v>Subscriptions</v>
      </c>
      <c r="C65" s="8">
        <v>0</v>
      </c>
      <c r="D65" s="8">
        <v>0</v>
      </c>
      <c r="E65" s="8">
        <v>0</v>
      </c>
      <c r="F65" s="8">
        <v>0</v>
      </c>
    </row>
    <row r="66" spans="1:6" collapsed="1" x14ac:dyDescent="0.25">
      <c r="A66" s="17">
        <v>406010</v>
      </c>
      <c r="B66" s="15" t="str">
        <f>CHOOSE(2, "415000000122", "911 Levy Revenue")</f>
        <v>911 Levy Revenue</v>
      </c>
      <c r="C66" s="16">
        <v>-67664.37</v>
      </c>
      <c r="D66" s="16">
        <v>-67038.210000000006</v>
      </c>
      <c r="E66" s="16">
        <v>-66509.45</v>
      </c>
      <c r="F66" s="16">
        <v>-65733.959999999992</v>
      </c>
    </row>
    <row r="67" spans="1:6" hidden="1" outlineLevel="1" x14ac:dyDescent="0.25">
      <c r="B67" s="7" t="str">
        <f>CHOOSE(2, "415000000121", "FAST Dial Revenue")</f>
        <v>FAST Dial Revenue</v>
      </c>
      <c r="C67" s="8">
        <v>0</v>
      </c>
      <c r="D67" s="8">
        <v>0</v>
      </c>
      <c r="E67" s="8">
        <v>0</v>
      </c>
      <c r="F67" s="8">
        <v>0</v>
      </c>
    </row>
    <row r="68" spans="1:6" s="22" customFormat="1" hidden="1" outlineLevel="1" x14ac:dyDescent="0.25">
      <c r="A68" s="19">
        <v>406080</v>
      </c>
      <c r="B68" s="20" t="str">
        <f>CHOOSE(2, "415000000120", "Trade-in Commissions Revenue")</f>
        <v>Trade-in Commissions Revenue</v>
      </c>
      <c r="C68" s="21">
        <v>7157.52</v>
      </c>
      <c r="D68" s="21">
        <v>1509.14</v>
      </c>
      <c r="E68" s="21">
        <v>1291.68</v>
      </c>
      <c r="F68" s="21">
        <v>333.39</v>
      </c>
    </row>
    <row r="69" spans="1:6" ht="15.75" hidden="1" outlineLevel="1" thickBot="1" x14ac:dyDescent="0.3">
      <c r="B69" s="7" t="str">
        <f>CHOOSE(2, "415000000119", "Loaner Rent Revenue")</f>
        <v>Loaner Rent Revenue</v>
      </c>
      <c r="C69" s="8">
        <v>0</v>
      </c>
      <c r="D69" s="8">
        <v>0</v>
      </c>
      <c r="E69" s="8">
        <v>0</v>
      </c>
      <c r="F69" s="8">
        <v>0</v>
      </c>
    </row>
    <row r="70" spans="1:6" ht="16.5" hidden="1" outlineLevel="1" thickTop="1" thickBot="1" x14ac:dyDescent="0.3">
      <c r="B70" s="6" t="str">
        <f>CHOOSE(2, "415000000118", "Other Revenue - Total")</f>
        <v>Other Revenue - Total</v>
      </c>
      <c r="C70" s="11">
        <v>-47244.03</v>
      </c>
      <c r="D70" s="11">
        <v>-49481.470000000008</v>
      </c>
      <c r="E70" s="11">
        <v>-47062.71</v>
      </c>
      <c r="F70" s="11">
        <v>-53406.349999999991</v>
      </c>
    </row>
    <row r="71" spans="1:6" ht="21.95" hidden="1" customHeight="1" outlineLevel="1" thickTop="1" x14ac:dyDescent="0.25">
      <c r="B71" s="6" t="str">
        <f>CHOOSE(2, "415000000150", "Service Cost Details")</f>
        <v>Service Cost Details</v>
      </c>
      <c r="C71" s="8"/>
      <c r="D71" s="8"/>
      <c r="E71" s="8"/>
      <c r="F71" s="8"/>
    </row>
    <row r="72" spans="1:6" hidden="1" outlineLevel="1" x14ac:dyDescent="0.25">
      <c r="B72" s="7" t="str">
        <f>CHOOSE(2, "415000000151", "Domestic Roaming - Fixed Cost")</f>
        <v>Domestic Roaming - Fixed Cost</v>
      </c>
      <c r="C72" s="8">
        <v>-12350.37</v>
      </c>
      <c r="D72" s="8">
        <v>-12868.39</v>
      </c>
      <c r="E72" s="8">
        <v>-12816.529999999999</v>
      </c>
      <c r="F72" s="8">
        <v>-12539.76</v>
      </c>
    </row>
    <row r="73" spans="1:6" hidden="1" outlineLevel="1" x14ac:dyDescent="0.25">
      <c r="B73" s="7" t="str">
        <f>CHOOSE(2, "415000000152", "Domestic Roaming - Voice")</f>
        <v>Domestic Roaming - Voice</v>
      </c>
      <c r="C73" s="8">
        <v>-90497.01</v>
      </c>
      <c r="D73" s="8">
        <v>-81093.19</v>
      </c>
      <c r="E73" s="8">
        <v>-94332.01</v>
      </c>
      <c r="F73" s="8">
        <v>-92359.97</v>
      </c>
    </row>
    <row r="74" spans="1:6" hidden="1" outlineLevel="1" x14ac:dyDescent="0.25">
      <c r="B74" s="7" t="str">
        <f>CHOOSE(2, "415000000153", "Domestic Roaming - SMS")</f>
        <v>Domestic Roaming - SMS</v>
      </c>
      <c r="C74" s="8">
        <v>-10454.59</v>
      </c>
      <c r="D74" s="8">
        <v>-9851.0400000000009</v>
      </c>
      <c r="E74" s="8">
        <v>-11133.599999999999</v>
      </c>
      <c r="F74" s="8">
        <v>-11195.43</v>
      </c>
    </row>
    <row r="75" spans="1:6" hidden="1" outlineLevel="1" x14ac:dyDescent="0.25">
      <c r="B75" s="7" t="str">
        <f>CHOOSE(2, "415000000154", "Domestic Roaming - Data")</f>
        <v>Domestic Roaming - Data</v>
      </c>
      <c r="C75" s="8">
        <v>-654604.24</v>
      </c>
      <c r="D75" s="8">
        <v>-616192.43999999994</v>
      </c>
      <c r="E75" s="8">
        <v>-706096.20000000007</v>
      </c>
      <c r="F75" s="8">
        <v>-684759.27999999991</v>
      </c>
    </row>
    <row r="76" spans="1:6" hidden="1" outlineLevel="1" x14ac:dyDescent="0.25">
      <c r="B76" s="7" t="str">
        <f>CHOOSE(2, "415000000155", "International Roaming - US - Voice")</f>
        <v>International Roaming - US - Voice</v>
      </c>
      <c r="C76" s="8">
        <v>1330.74</v>
      </c>
      <c r="D76" s="8">
        <v>-3286.54</v>
      </c>
      <c r="E76" s="8">
        <v>97211.24</v>
      </c>
      <c r="F76" s="8">
        <v>-395.79</v>
      </c>
    </row>
    <row r="77" spans="1:6" hidden="1" outlineLevel="1" x14ac:dyDescent="0.25">
      <c r="B77" s="7" t="str">
        <f>CHOOSE(2, "415000000156", "International Roaming - US - SMS")</f>
        <v>International Roaming - US - SMS</v>
      </c>
      <c r="C77" s="8">
        <v>348.09</v>
      </c>
      <c r="D77" s="8">
        <v>-272.25</v>
      </c>
      <c r="E77" s="8">
        <v>-466.76</v>
      </c>
      <c r="F77" s="8">
        <v>-398</v>
      </c>
    </row>
    <row r="78" spans="1:6" hidden="1" outlineLevel="1" x14ac:dyDescent="0.25">
      <c r="B78" s="7" t="str">
        <f>CHOOSE(2, "415000000157", "International Roaming - US - Data")</f>
        <v>International Roaming - US - Data</v>
      </c>
      <c r="C78" s="8">
        <v>-62996.74</v>
      </c>
      <c r="D78" s="8">
        <v>-69769.16</v>
      </c>
      <c r="E78" s="8">
        <v>-83490.48</v>
      </c>
      <c r="F78" s="8">
        <v>-72997.2</v>
      </c>
    </row>
    <row r="79" spans="1:6" hidden="1" outlineLevel="1" x14ac:dyDescent="0.25">
      <c r="B79" s="7" t="str">
        <f>CHOOSE(2, "415000000158", "International Roaming - Fixed Cost")</f>
        <v>International Roaming - Fixed Cost</v>
      </c>
      <c r="C79" s="8">
        <v>-12101.03</v>
      </c>
      <c r="D79" s="8">
        <v>-13371.27</v>
      </c>
      <c r="E79" s="8">
        <v>-15435.56</v>
      </c>
      <c r="F79" s="8">
        <v>-13572.369999999999</v>
      </c>
    </row>
    <row r="80" spans="1:6" hidden="1" outlineLevel="1" x14ac:dyDescent="0.25">
      <c r="B80" s="7" t="str">
        <f>CHOOSE(2, "415000000159", "International Roaming - Voice")</f>
        <v>International Roaming - Voice</v>
      </c>
      <c r="C80" s="8">
        <v>-28134.75</v>
      </c>
      <c r="D80" s="8">
        <v>-19443.93</v>
      </c>
      <c r="E80" s="8">
        <v>-19857.990000000002</v>
      </c>
      <c r="F80" s="8">
        <v>-14303.68</v>
      </c>
    </row>
    <row r="81" spans="2:6" hidden="1" outlineLevel="1" x14ac:dyDescent="0.25">
      <c r="B81" s="7" t="str">
        <f>CHOOSE(2, "415000000160", "International Roaming - SMS")</f>
        <v>International Roaming - SMS</v>
      </c>
      <c r="C81" s="8">
        <v>-2546.37</v>
      </c>
      <c r="D81" s="8">
        <v>-1932.04</v>
      </c>
      <c r="E81" s="8">
        <v>-1820.09</v>
      </c>
      <c r="F81" s="8">
        <v>-1515.16</v>
      </c>
    </row>
    <row r="82" spans="2:6" hidden="1" outlineLevel="1" x14ac:dyDescent="0.25">
      <c r="B82" s="7" t="str">
        <f>CHOOSE(2, "415000000161", "International Roaming - Data")</f>
        <v>International Roaming - Data</v>
      </c>
      <c r="C82" s="8">
        <v>-22244.11</v>
      </c>
      <c r="D82" s="8">
        <v>-18313.82</v>
      </c>
      <c r="E82" s="8">
        <v>-21916.78</v>
      </c>
      <c r="F82" s="8">
        <v>-16585.12</v>
      </c>
    </row>
    <row r="83" spans="2:6" hidden="1" outlineLevel="1" x14ac:dyDescent="0.25">
      <c r="B83" s="7" t="str">
        <f>CHOOSE(2, "415000000162", "Domestic LD")</f>
        <v>Domestic LD</v>
      </c>
      <c r="C83" s="8">
        <v>-5924.36</v>
      </c>
      <c r="D83" s="8">
        <v>-3907.14</v>
      </c>
      <c r="E83" s="8">
        <v>-6674.09</v>
      </c>
      <c r="F83" s="8">
        <v>-5658.74</v>
      </c>
    </row>
    <row r="84" spans="2:6" hidden="1" outlineLevel="1" x14ac:dyDescent="0.25">
      <c r="B84" s="7" t="str">
        <f>CHOOSE(2, "415000000163", "Other International LD")</f>
        <v>Other International LD</v>
      </c>
      <c r="C84" s="8">
        <v>-3693.45</v>
      </c>
      <c r="D84" s="8">
        <v>-7262.58</v>
      </c>
      <c r="E84" s="8">
        <v>-3272.45</v>
      </c>
      <c r="F84" s="8">
        <v>-2806.18</v>
      </c>
    </row>
    <row r="85" spans="2:6" hidden="1" outlineLevel="1" x14ac:dyDescent="0.25">
      <c r="B85" s="7" t="str">
        <f>CHOOSE(2, "415000000164", "US LD")</f>
        <v>US LD</v>
      </c>
      <c r="C85" s="8">
        <v>0</v>
      </c>
      <c r="D85" s="8">
        <v>0</v>
      </c>
      <c r="E85" s="8">
        <v>0</v>
      </c>
      <c r="F85" s="8">
        <v>0</v>
      </c>
    </row>
    <row r="86" spans="2:6" hidden="1" outlineLevel="1" x14ac:dyDescent="0.25">
      <c r="B86" s="7" t="str">
        <f>CHOOSE(2, "415000000165", "Traffic Imbalance")</f>
        <v>Traffic Imbalance</v>
      </c>
      <c r="C86" s="8">
        <v>0</v>
      </c>
      <c r="D86" s="8">
        <v>0</v>
      </c>
      <c r="E86" s="8">
        <v>0</v>
      </c>
      <c r="F86" s="8">
        <v>0</v>
      </c>
    </row>
    <row r="87" spans="2:6" hidden="1" outlineLevel="1" x14ac:dyDescent="0.25">
      <c r="B87" s="7" t="str">
        <f>CHOOSE(2, "415000000166", "SMS Cost")</f>
        <v>SMS Cost</v>
      </c>
      <c r="C87" s="8">
        <v>-38770.04</v>
      </c>
      <c r="D87" s="8">
        <v>-52364.41</v>
      </c>
      <c r="E87" s="8">
        <v>-27463.35</v>
      </c>
      <c r="F87" s="8">
        <v>-26301.31</v>
      </c>
    </row>
    <row r="88" spans="2:6" hidden="1" outlineLevel="1" x14ac:dyDescent="0.25">
      <c r="B88" s="7" t="str">
        <f>CHOOSE(2, "415000000167", "Fixed Interconnect (Leased Lines)")</f>
        <v>Fixed Interconnect (Leased Lines)</v>
      </c>
      <c r="C88" s="8">
        <v>-54381.43</v>
      </c>
      <c r="D88" s="8">
        <v>-55969.31</v>
      </c>
      <c r="E88" s="8">
        <v>-58280.36</v>
      </c>
      <c r="F88" s="8">
        <v>-56551.3</v>
      </c>
    </row>
    <row r="89" spans="2:6" hidden="1" outlineLevel="1" x14ac:dyDescent="0.25">
      <c r="B89" s="7" t="str">
        <f>CHOOSE(2, "415000000168", "Interconnect Setup Fees (911)")</f>
        <v>Interconnect Setup Fees (911)</v>
      </c>
      <c r="C89" s="8">
        <v>-82584.210000000006</v>
      </c>
      <c r="D89" s="8">
        <v>-84796.97</v>
      </c>
      <c r="E89" s="8">
        <v>-82757.429999999993</v>
      </c>
      <c r="F89" s="8">
        <v>-84632.62</v>
      </c>
    </row>
    <row r="90" spans="2:6" hidden="1" outlineLevel="1" x14ac:dyDescent="0.25">
      <c r="B90" s="7" t="str">
        <f>CHOOSE(2, "415000000169", "Content &amp; VAS")</f>
        <v>Content &amp; VAS</v>
      </c>
      <c r="C90" s="8">
        <v>-3797.13</v>
      </c>
      <c r="D90" s="8">
        <v>-3684.98</v>
      </c>
      <c r="E90" s="8">
        <v>-4379.7700000000004</v>
      </c>
      <c r="F90" s="8">
        <v>-3747.48</v>
      </c>
    </row>
    <row r="91" spans="2:6" hidden="1" outlineLevel="1" x14ac:dyDescent="0.25">
      <c r="B91" s="7" t="str">
        <f>CHOOSE(2, "415000000170", "Blackberry Subscription")</f>
        <v>Blackberry Subscription</v>
      </c>
      <c r="C91" s="8">
        <v>0</v>
      </c>
      <c r="D91" s="8">
        <v>0</v>
      </c>
      <c r="E91" s="8">
        <v>0</v>
      </c>
      <c r="F91" s="8">
        <v>0</v>
      </c>
    </row>
    <row r="92" spans="2:6" hidden="1" outlineLevel="1" x14ac:dyDescent="0.25">
      <c r="B92" s="7" t="str">
        <f>CHOOSE(2, "415000000171", "Contribution Fees")</f>
        <v>Contribution Fees</v>
      </c>
      <c r="C92" s="8">
        <v>0</v>
      </c>
      <c r="D92" s="8">
        <v>0</v>
      </c>
      <c r="E92" s="8">
        <v>0</v>
      </c>
      <c r="F92" s="8">
        <v>0</v>
      </c>
    </row>
    <row r="93" spans="2:6" hidden="1" outlineLevel="1" x14ac:dyDescent="0.25">
      <c r="B93" s="7" t="str">
        <f>CHOOSE(2, "415000000172", "Other - Revenue Sharing")</f>
        <v>Other - Revenue Sharing</v>
      </c>
      <c r="C93" s="8">
        <v>0</v>
      </c>
      <c r="D93" s="8">
        <v>0</v>
      </c>
      <c r="E93" s="8">
        <v>0</v>
      </c>
      <c r="F93" s="8">
        <v>0</v>
      </c>
    </row>
    <row r="94" spans="2:6" ht="15.75" hidden="1" outlineLevel="1" thickBot="1" x14ac:dyDescent="0.3">
      <c r="B94" s="7" t="str">
        <f>CHOOSE(2, "415000000173", "Other - Costs for Mobile Number")</f>
        <v>Other - Costs for Mobile Number</v>
      </c>
      <c r="C94" s="8">
        <v>0</v>
      </c>
      <c r="D94" s="8">
        <v>0</v>
      </c>
      <c r="E94" s="8">
        <v>0</v>
      </c>
      <c r="F94" s="8">
        <v>0</v>
      </c>
    </row>
    <row r="95" spans="2:6" ht="16.5" hidden="1" outlineLevel="1" thickTop="1" thickBot="1" x14ac:dyDescent="0.3">
      <c r="B95" s="6" t="str">
        <f>CHOOSE(2, "415000000174", "Service Cost - Total")</f>
        <v>Service Cost - Total</v>
      </c>
      <c r="C95" s="11">
        <v>-1083401</v>
      </c>
      <c r="D95" s="11">
        <v>-1054379.46</v>
      </c>
      <c r="E95" s="11">
        <v>-1052982.21</v>
      </c>
      <c r="F95" s="11">
        <v>-1100319.3900000001</v>
      </c>
    </row>
    <row r="96" spans="2:6" ht="21.95" hidden="1" customHeight="1" outlineLevel="1" thickTop="1" x14ac:dyDescent="0.25">
      <c r="B96" s="6" t="str">
        <f>CHOOSE(2, "415000000202", "Equipment Cost Details")</f>
        <v>Equipment Cost Details</v>
      </c>
      <c r="C96" s="8"/>
      <c r="D96" s="8"/>
      <c r="E96" s="8"/>
      <c r="F96" s="8"/>
    </row>
    <row r="97" spans="2:6" hidden="1" outlineLevel="1" x14ac:dyDescent="0.25">
      <c r="B97" s="7" t="str">
        <f>CHOOSE(2, "415000000241", "TradeUp BRV Cost Reduction")</f>
        <v>TradeUp BRV Cost Reduction</v>
      </c>
      <c r="C97" s="8">
        <v>0</v>
      </c>
      <c r="D97" s="8">
        <v>0</v>
      </c>
      <c r="E97" s="8">
        <v>0</v>
      </c>
      <c r="F97" s="8">
        <v>0</v>
      </c>
    </row>
    <row r="98" spans="2:6" hidden="1" outlineLevel="1" x14ac:dyDescent="0.25">
      <c r="B98" s="7" t="str">
        <f>CHOOSE(2, "415000000201", "Handsets Sold - Dealer New")</f>
        <v>Handsets Sold - Dealer New</v>
      </c>
      <c r="C98" s="8">
        <v>215991.05</v>
      </c>
      <c r="D98" s="8">
        <v>-805956.37</v>
      </c>
      <c r="E98" s="8">
        <v>86876.35</v>
      </c>
      <c r="F98" s="8">
        <v>1125640.1100000001</v>
      </c>
    </row>
    <row r="99" spans="2:6" hidden="1" outlineLevel="1" x14ac:dyDescent="0.25">
      <c r="B99" s="7" t="str">
        <f>CHOOSE(2, "415000000200", "Handsets Sold - Dealer Margin New")</f>
        <v>Handsets Sold - Dealer Margin New</v>
      </c>
      <c r="C99" s="8">
        <v>0</v>
      </c>
      <c r="D99" s="8">
        <v>0</v>
      </c>
      <c r="E99" s="8">
        <v>0</v>
      </c>
      <c r="F99" s="8">
        <v>0</v>
      </c>
    </row>
    <row r="100" spans="2:6" hidden="1" outlineLevel="1" x14ac:dyDescent="0.25">
      <c r="B100" s="7" t="str">
        <f>CHOOSE(2, "415000000199", "Handsets Sold - Dealer Used")</f>
        <v>Handsets Sold - Dealer Used</v>
      </c>
      <c r="C100" s="8">
        <v>0</v>
      </c>
      <c r="D100" s="8">
        <v>0</v>
      </c>
      <c r="E100" s="8">
        <v>0</v>
      </c>
      <c r="F100" s="8">
        <v>0</v>
      </c>
    </row>
    <row r="101" spans="2:6" hidden="1" outlineLevel="1" x14ac:dyDescent="0.25">
      <c r="B101" s="7" t="str">
        <f>CHOOSE(2, "415000000198", "Handsets Sold - WM Consignment")</f>
        <v>Handsets Sold - WM Consignment</v>
      </c>
      <c r="C101" s="8">
        <v>-50722.94</v>
      </c>
      <c r="D101" s="8">
        <v>-59174.52</v>
      </c>
      <c r="E101" s="8">
        <v>-62607.99</v>
      </c>
      <c r="F101" s="8">
        <v>-4789.13</v>
      </c>
    </row>
    <row r="102" spans="2:6" hidden="1" outlineLevel="1" x14ac:dyDescent="0.25">
      <c r="B102" s="7" t="str">
        <f>CHOOSE(2, "415000000197", "Handsets Sold - Stores New / Used")</f>
        <v>Handsets Sold - Stores New / Used</v>
      </c>
      <c r="C102" s="8">
        <v>-2702004.63</v>
      </c>
      <c r="D102" s="8">
        <v>-1764833.42</v>
      </c>
      <c r="E102" s="8">
        <v>-1941660.28</v>
      </c>
      <c r="F102" s="8">
        <v>-241215.58</v>
      </c>
    </row>
    <row r="103" spans="2:6" hidden="1" outlineLevel="1" x14ac:dyDescent="0.25">
      <c r="B103" s="7" t="str">
        <f>CHOOSE(2, "415000000196", "Handsets Sold - CCD New")</f>
        <v>Handsets Sold - CCD New</v>
      </c>
      <c r="C103" s="8">
        <v>-97558.69</v>
      </c>
      <c r="D103" s="8">
        <v>-116549</v>
      </c>
      <c r="E103" s="8">
        <v>-109822.66</v>
      </c>
      <c r="F103" s="8">
        <v>0</v>
      </c>
    </row>
    <row r="104" spans="2:6" hidden="1" outlineLevel="1" x14ac:dyDescent="0.25">
      <c r="B104" s="7" t="str">
        <f>CHOOSE(2, "415000000195", "Handsets Returned - TRIAGE2BER Revalue")</f>
        <v>Handsets Returned - TRIAGE2BER Revalue</v>
      </c>
      <c r="C104" s="8">
        <v>0</v>
      </c>
      <c r="D104" s="8">
        <v>0</v>
      </c>
      <c r="E104" s="8">
        <v>0</v>
      </c>
      <c r="F104" s="8">
        <v>0</v>
      </c>
    </row>
    <row r="105" spans="2:6" hidden="1" outlineLevel="1" x14ac:dyDescent="0.25">
      <c r="B105" s="7" t="str">
        <f>CHOOSE(2, "415000000194", "Handsets Returned - TRIAGE2OEM Revalue")</f>
        <v>Handsets Returned - TRIAGE2OEM Revalue</v>
      </c>
      <c r="C105" s="8">
        <v>0</v>
      </c>
      <c r="D105" s="8">
        <v>0</v>
      </c>
      <c r="E105" s="8">
        <v>0</v>
      </c>
      <c r="F105" s="8">
        <v>0</v>
      </c>
    </row>
    <row r="106" spans="2:6" hidden="1" outlineLevel="1" x14ac:dyDescent="0.25">
      <c r="B106" s="7" t="str">
        <f>CHOOSE(2, "415000000193", "Handsets Returned - TRIAGE2LL Revalue")</f>
        <v>Handsets Returned - TRIAGE2LL Revalue</v>
      </c>
      <c r="C106" s="8">
        <v>0</v>
      </c>
      <c r="D106" s="8">
        <v>0</v>
      </c>
      <c r="E106" s="8">
        <v>0</v>
      </c>
      <c r="F106" s="8">
        <v>0</v>
      </c>
    </row>
    <row r="107" spans="2:6" hidden="1" outlineLevel="1" x14ac:dyDescent="0.25">
      <c r="B107" s="7" t="str">
        <f>CHOOSE(2, "415000000192", "Handsets Returned - TRIAGE2NEW Revalue")</f>
        <v>Handsets Returned - TRIAGE2NEW Revalue</v>
      </c>
      <c r="C107" s="8">
        <v>0</v>
      </c>
      <c r="D107" s="8">
        <v>0</v>
      </c>
      <c r="E107" s="8">
        <v>0</v>
      </c>
      <c r="F107" s="8">
        <v>0</v>
      </c>
    </row>
    <row r="108" spans="2:6" hidden="1" outlineLevel="1" x14ac:dyDescent="0.25">
      <c r="B108" s="7" t="str">
        <f>CHOOSE(2, "415000000191", "Handsets Returned - OEM2BER Revalue")</f>
        <v>Handsets Returned - OEM2BER Revalue</v>
      </c>
      <c r="C108" s="8">
        <v>0</v>
      </c>
      <c r="D108" s="8">
        <v>0</v>
      </c>
      <c r="E108" s="8">
        <v>0</v>
      </c>
      <c r="F108" s="8">
        <v>0</v>
      </c>
    </row>
    <row r="109" spans="2:6" hidden="1" outlineLevel="1" x14ac:dyDescent="0.25">
      <c r="B109" s="7" t="str">
        <f>CHOOSE(2, "415000000190", "Handsets Returned - LLEXCHANGE2LLSALE Revalue")</f>
        <v>Handsets Returned - LLEXCHANGE2LLSALE Revalue</v>
      </c>
      <c r="C109" s="8">
        <v>0</v>
      </c>
      <c r="D109" s="8">
        <v>0</v>
      </c>
      <c r="E109" s="8">
        <v>0</v>
      </c>
      <c r="F109" s="8">
        <v>0</v>
      </c>
    </row>
    <row r="110" spans="2:6" hidden="1" outlineLevel="1" x14ac:dyDescent="0.25">
      <c r="B110" s="7" t="str">
        <f>CHOOSE(2, "415000000189", "Handsets Returned - OEM2LL Revalue")</f>
        <v>Handsets Returned - OEM2LL Revalue</v>
      </c>
      <c r="C110" s="8">
        <v>0</v>
      </c>
      <c r="D110" s="8">
        <v>0</v>
      </c>
      <c r="E110" s="8">
        <v>0</v>
      </c>
      <c r="F110" s="8">
        <v>0</v>
      </c>
    </row>
    <row r="111" spans="2:6" hidden="1" outlineLevel="1" x14ac:dyDescent="0.25">
      <c r="B111" s="7" t="str">
        <f>CHOOSE(2, "415000000188", "Handsets Returned - Dealer 2 Traige Expense")</f>
        <v>Handsets Returned - Dealer 2 Traige Expense</v>
      </c>
      <c r="C111" s="8">
        <v>0</v>
      </c>
      <c r="D111" s="8">
        <v>0</v>
      </c>
      <c r="E111" s="8">
        <v>0</v>
      </c>
      <c r="F111" s="8">
        <v>0</v>
      </c>
    </row>
    <row r="112" spans="2:6" hidden="1" outlineLevel="1" x14ac:dyDescent="0.25">
      <c r="B112" s="7" t="str">
        <f>CHOOSE(2, "415000000187", "Handsets Returned - Store 2 Triage Expense")</f>
        <v>Handsets Returned - Store 2 Triage Expense</v>
      </c>
      <c r="C112" s="8">
        <v>0</v>
      </c>
      <c r="D112" s="8">
        <v>0</v>
      </c>
      <c r="E112" s="8">
        <v>0</v>
      </c>
      <c r="F112" s="8">
        <v>0</v>
      </c>
    </row>
    <row r="113" spans="1:6" hidden="1" outlineLevel="1" x14ac:dyDescent="0.25">
      <c r="B113" s="7" t="str">
        <f>CHOOSE(2, "415000000186", "OEM Credits")</f>
        <v>OEM Credits</v>
      </c>
      <c r="C113" s="8">
        <v>0</v>
      </c>
      <c r="D113" s="8">
        <v>0</v>
      </c>
      <c r="E113" s="8">
        <v>0</v>
      </c>
      <c r="F113" s="8">
        <v>-24070.880000000001</v>
      </c>
    </row>
    <row r="114" spans="1:6" hidden="1" outlineLevel="1" x14ac:dyDescent="0.25">
      <c r="B114" s="7" t="str">
        <f>CHOOSE(2, "415000000185", "Accessories Cost")</f>
        <v>Accessories Cost</v>
      </c>
      <c r="C114" s="8">
        <v>-34301.519999999997</v>
      </c>
      <c r="D114" s="8">
        <v>-28174.13</v>
      </c>
      <c r="E114" s="8">
        <v>-32204</v>
      </c>
      <c r="F114" s="8">
        <v>-3223.02</v>
      </c>
    </row>
    <row r="115" spans="1:6" hidden="1" outlineLevel="1" x14ac:dyDescent="0.25">
      <c r="B115" s="7" t="str">
        <f>CHOOSE(2, "415000000239", "Trade Up Monthly Enrollment Fee")</f>
        <v>Trade Up Monthly Enrollment Fee</v>
      </c>
      <c r="C115" s="8">
        <v>0</v>
      </c>
      <c r="D115" s="8">
        <v>0</v>
      </c>
      <c r="E115" s="8">
        <v>0</v>
      </c>
      <c r="F115" s="8">
        <v>0</v>
      </c>
    </row>
    <row r="116" spans="1:6" hidden="1" outlineLevel="1" x14ac:dyDescent="0.25">
      <c r="B116" s="7" t="str">
        <f>CHOOSE(2, "415000000184", "Other (Shipping &amp; FX Cost)")</f>
        <v>Other (Shipping &amp; FX Cost)</v>
      </c>
      <c r="C116" s="8">
        <v>0</v>
      </c>
      <c r="D116" s="8">
        <v>0</v>
      </c>
      <c r="E116" s="8">
        <v>0</v>
      </c>
      <c r="F116" s="8">
        <v>0</v>
      </c>
    </row>
    <row r="117" spans="1:6" hidden="1" outlineLevel="1" x14ac:dyDescent="0.25">
      <c r="B117" s="7" t="str">
        <f>CHOOSE(2, "415000000183", "Inventory Shrink / Reserve - Shrinkage")</f>
        <v>Inventory Shrink / Reserve - Shrinkage</v>
      </c>
      <c r="C117" s="8">
        <v>0</v>
      </c>
      <c r="D117" s="8">
        <v>0</v>
      </c>
      <c r="E117" s="8">
        <v>0</v>
      </c>
      <c r="F117" s="8">
        <v>0</v>
      </c>
    </row>
    <row r="118" spans="1:6" hidden="1" outlineLevel="1" x14ac:dyDescent="0.25">
      <c r="B118" s="7" t="str">
        <f>CHOOSE(2, "415000000182", "Inventory Shrink / Reserve - Shrinkage CN")</f>
        <v>Inventory Shrink / Reserve - Shrinkage CN</v>
      </c>
      <c r="C118" s="8">
        <v>0</v>
      </c>
      <c r="D118" s="8">
        <v>0</v>
      </c>
      <c r="E118" s="8">
        <v>0</v>
      </c>
      <c r="F118" s="8">
        <v>0</v>
      </c>
    </row>
    <row r="119" spans="1:6" hidden="1" outlineLevel="1" x14ac:dyDescent="0.25">
      <c r="B119" s="7" t="str">
        <f>CHOOSE(2, "415000000181", "Inventory Shrink / Reserve - Demo Write Off")</f>
        <v>Inventory Shrink / Reserve - Demo Write Off</v>
      </c>
      <c r="C119" s="8">
        <v>-5463</v>
      </c>
      <c r="D119" s="8">
        <v>0</v>
      </c>
      <c r="E119" s="8">
        <v>-607</v>
      </c>
      <c r="F119" s="8">
        <v>0</v>
      </c>
    </row>
    <row r="120" spans="1:6" hidden="1" outlineLevel="1" x14ac:dyDescent="0.25">
      <c r="B120" s="7" t="str">
        <f>CHOOSE(2, "415000000180", "Inventory Shrink / Reserve - Write Down")</f>
        <v>Inventory Shrink / Reserve - Write Down</v>
      </c>
      <c r="C120" s="8">
        <v>0</v>
      </c>
      <c r="D120" s="8">
        <v>0</v>
      </c>
      <c r="E120" s="8">
        <v>0</v>
      </c>
      <c r="F120" s="8">
        <v>0</v>
      </c>
    </row>
    <row r="121" spans="1:6" hidden="1" outlineLevel="1" x14ac:dyDescent="0.25">
      <c r="B121" s="7" t="str">
        <f>CHOOSE(2, "415000000179", "Inventory Shrink / Reserve - Other Adjustments")</f>
        <v>Inventory Shrink / Reserve - Other Adjustments</v>
      </c>
      <c r="C121" s="8">
        <v>0</v>
      </c>
      <c r="D121" s="8">
        <v>0</v>
      </c>
      <c r="E121" s="8">
        <v>0</v>
      </c>
      <c r="F121" s="8">
        <v>0</v>
      </c>
    </row>
    <row r="122" spans="1:6" hidden="1" outlineLevel="1" x14ac:dyDescent="0.25">
      <c r="B122" s="7" t="str">
        <f>CHOOSE(2, "415000000178", "Inventory Shrink / Reserve - Valuation Reserve Dealers")</f>
        <v>Inventory Shrink / Reserve - Valuation Reserve Dealers</v>
      </c>
      <c r="C122" s="8">
        <v>-30412.51</v>
      </c>
      <c r="D122" s="8">
        <v>-37.49</v>
      </c>
      <c r="E122" s="8">
        <v>-1136.3399999999999</v>
      </c>
      <c r="F122" s="8">
        <v>-30866.26</v>
      </c>
    </row>
    <row r="123" spans="1:6" ht="15.75" hidden="1" outlineLevel="1" thickBot="1" x14ac:dyDescent="0.3">
      <c r="B123" s="7" t="str">
        <f>CHOOSE(2, "415000000177", "Inventory Shrink / Reserve - Valuation Reserve Subsidy")</f>
        <v>Inventory Shrink / Reserve - Valuation Reserve Subsidy</v>
      </c>
      <c r="C123" s="8">
        <v>0</v>
      </c>
      <c r="D123" s="8">
        <v>0</v>
      </c>
      <c r="E123" s="8">
        <v>0</v>
      </c>
      <c r="F123" s="8">
        <v>0</v>
      </c>
    </row>
    <row r="124" spans="1:6" ht="16.5" hidden="1" outlineLevel="1" thickTop="1" thickBot="1" x14ac:dyDescent="0.3">
      <c r="B124" s="6" t="str">
        <f>CHOOSE(2, "415000000176", "Equipment Cost Total")</f>
        <v>Equipment Cost Total</v>
      </c>
      <c r="C124" s="11">
        <v>-2704472.2399999998</v>
      </c>
      <c r="D124" s="11">
        <v>-2774724.93</v>
      </c>
      <c r="E124" s="11">
        <v>-2061161.92</v>
      </c>
      <c r="F124" s="11">
        <v>821475.24000000022</v>
      </c>
    </row>
    <row r="125" spans="1:6" collapsed="1" x14ac:dyDescent="0.25">
      <c r="A125" s="14">
        <v>406001</v>
      </c>
      <c r="B125" s="18" t="s">
        <v>18</v>
      </c>
      <c r="C125" s="18"/>
      <c r="D125" s="18"/>
      <c r="E125" s="18"/>
      <c r="F125" s="18"/>
    </row>
    <row r="126" spans="1:6" s="22" customFormat="1" x14ac:dyDescent="0.25">
      <c r="A126" s="38"/>
    </row>
    <row r="127" spans="1:6" ht="15.75" thickBot="1" x14ac:dyDescent="0.3">
      <c r="C127" s="37">
        <f>SUM(C9,C11,C12,C14,C15,C19,C21,C24,C25,C26,C27,C28,C29,C31,C32,C33,C34,C58,C62,C66,C125)</f>
        <v>9744350.1899999976</v>
      </c>
      <c r="D127" s="37">
        <f>SUM(D9,D11,D12,D14,D15,D19,D21,D24,D25,D26,D27,D28,D29,D31,D32,D33,D34,D58,D62,D66,D125)</f>
        <v>9458540.1999999993</v>
      </c>
      <c r="E127" s="37">
        <f>SUM(E9,E11,E12,E14,E15,E19,E21,E24,E25,E26,E27,E28,E29,E31,E32,E33,E34,E58,E62,E66,E125)</f>
        <v>10566584.110000001</v>
      </c>
      <c r="F127" s="37">
        <f>SUM(F9,F11,F12,F14,F15,F19,F21,F24,F25,F26,F27,F28,F29,F31,F32,F33,F34,F58,F62,F66,F125)</f>
        <v>10090198.99</v>
      </c>
    </row>
    <row r="128" spans="1:6" ht="15.75" thickTop="1" x14ac:dyDescent="0.25"/>
  </sheetData>
  <printOptions horizontalCentered="1"/>
  <pageMargins left="0.7" right="0.7" top="0.75" bottom="0.75" header="0.3" footer="0.3"/>
  <pageSetup scale="8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B2C183E1B3D244910CCDEA5F56A193" ma:contentTypeVersion="0" ma:contentTypeDescription="Create a new document." ma:contentTypeScope="" ma:versionID="d3be1eb86bf0a91ccb5249e6ebbab69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1F5921-1EDB-4AA6-A742-E60BBACCA643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68FC7D7-4F42-4DA5-A953-C8415E3609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04F9A6-46B5-4380-A959-DF4883C73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SV Extract_OP Revenue wo Equip</vt:lpstr>
      <vt:lpstr>Gross Margin Details</vt:lpstr>
      <vt:lpstr>'Gross Margin Details'!Print_Titles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Liu</dc:creator>
  <cp:lastModifiedBy>Cathy Chen</cp:lastModifiedBy>
  <cp:lastPrinted>2023-05-05T21:49:45Z</cp:lastPrinted>
  <dcterms:created xsi:type="dcterms:W3CDTF">2023-05-05T17:21:53Z</dcterms:created>
  <dcterms:modified xsi:type="dcterms:W3CDTF">2023-05-24T20:04:03Z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0x010100A7B2C183E1B3D244910CCDEA5F56A193</vt:lpwstr>
  </property>
</Properties>
</file>