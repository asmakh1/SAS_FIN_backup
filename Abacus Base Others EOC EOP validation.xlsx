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BUFinance\Wendy W\Adhoc\Abacus\"/>
    </mc:Choice>
  </mc:AlternateContent>
  <xr:revisionPtr revIDLastSave="0" documentId="13_ncr:1_{7976162E-FB63-4AA1-B180-18D6079A8892}" xr6:coauthVersionLast="47" xr6:coauthVersionMax="47" xr10:uidLastSave="{00000000-0000-0000-0000-000000000000}"/>
  <bookViews>
    <workbookView xWindow="-110" yWindow="-110" windowWidth="19420" windowHeight="11620" activeTab="2" xr2:uid="{CEA96914-2711-4DA3-A8B6-4F623AF68588}"/>
  </bookViews>
  <sheets>
    <sheet name="Samples - EOP with EOC" sheetId="8" r:id="rId1"/>
    <sheet name="Sheet2" sheetId="2" r:id="rId2"/>
    <sheet name="Jul Summary" sheetId="10" r:id="rId3"/>
    <sheet name="06" sheetId="1" r:id="rId4"/>
    <sheet name="05" sheetId="3" r:id="rId5"/>
    <sheet name="04" sheetId="4" r:id="rId6"/>
    <sheet name="03" sheetId="5" r:id="rId7"/>
    <sheet name="02" sheetId="6" r:id="rId8"/>
    <sheet name="01" sheetId="7" r:id="rId9"/>
    <sheet name="07" sheetId="9" r:id="rId10"/>
  </sheets>
  <definedNames>
    <definedName name="_01">'01'!$A$1:$AO$217</definedName>
    <definedName name="_02">'02'!$A$1:$AO$204</definedName>
    <definedName name="_03">'03'!$A$1:$AO$218</definedName>
    <definedName name="_04">'04'!$A$1:$AO$210</definedName>
    <definedName name="_05">'05'!$A$1:$AO$218</definedName>
    <definedName name="_07">'07'!$A$1:$AO$190</definedName>
  </definedNames>
  <calcPr calcId="191029"/>
  <pivotCaches>
    <pivotCache cacheId="0" r:id="rId11"/>
    <pivotCache cacheId="5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0" l="1"/>
  <c r="F39" i="10"/>
  <c r="E39" i="10"/>
  <c r="D39" i="10"/>
  <c r="C39" i="10"/>
  <c r="C37" i="10" s="1"/>
  <c r="B39" i="10"/>
  <c r="F38" i="10"/>
  <c r="E38" i="10"/>
  <c r="E37" i="10" s="1"/>
  <c r="D38" i="10"/>
  <c r="D37" i="10" s="1"/>
  <c r="C38" i="10"/>
  <c r="B38" i="10"/>
  <c r="F35" i="10"/>
  <c r="E35" i="10"/>
  <c r="D35" i="10"/>
  <c r="C35" i="10"/>
  <c r="F33" i="10"/>
  <c r="E33" i="10"/>
  <c r="D33" i="10"/>
  <c r="C33" i="10"/>
  <c r="B33" i="10"/>
  <c r="F32" i="10"/>
  <c r="E32" i="10"/>
  <c r="D32" i="10"/>
  <c r="C32" i="10"/>
  <c r="B32" i="10"/>
  <c r="G32" i="2"/>
  <c r="H32" i="2"/>
  <c r="G33" i="2"/>
  <c r="H33" i="2"/>
  <c r="G34" i="2"/>
  <c r="G35" i="2"/>
  <c r="H35" i="2"/>
  <c r="H41" i="2" s="1"/>
  <c r="G38" i="2"/>
  <c r="G37" i="2" s="1"/>
  <c r="H38" i="2"/>
  <c r="H37" i="2" s="1"/>
  <c r="G39" i="2"/>
  <c r="H39" i="2"/>
  <c r="G41" i="2"/>
  <c r="C32" i="2"/>
  <c r="D32" i="2"/>
  <c r="E32" i="2"/>
  <c r="F32" i="2"/>
  <c r="C33" i="2"/>
  <c r="D33" i="2"/>
  <c r="E33" i="2"/>
  <c r="F33" i="2"/>
  <c r="C35" i="2"/>
  <c r="D35" i="2"/>
  <c r="E35" i="2"/>
  <c r="F35" i="2"/>
  <c r="C38" i="2"/>
  <c r="D38" i="2"/>
  <c r="E38" i="2"/>
  <c r="F38" i="2"/>
  <c r="C39" i="2"/>
  <c r="D39" i="2"/>
  <c r="E39" i="2"/>
  <c r="F39" i="2"/>
  <c r="B39" i="2"/>
  <c r="B38" i="2"/>
  <c r="B37" i="2" s="1"/>
  <c r="B35" i="2"/>
  <c r="B33" i="2"/>
  <c r="B32" i="2"/>
  <c r="I16" i="2"/>
  <c r="J14" i="2" s="1"/>
  <c r="B41" i="10" l="1"/>
  <c r="C41" i="10"/>
  <c r="F41" i="10"/>
  <c r="B34" i="10"/>
  <c r="C34" i="10"/>
  <c r="D34" i="10"/>
  <c r="E34" i="10"/>
  <c r="D41" i="10"/>
  <c r="E41" i="10"/>
  <c r="F34" i="10"/>
  <c r="F37" i="10"/>
  <c r="B37" i="10"/>
  <c r="F41" i="2"/>
  <c r="H34" i="2"/>
  <c r="D41" i="2"/>
  <c r="E41" i="2"/>
  <c r="C41" i="2"/>
  <c r="B41" i="2"/>
  <c r="C37" i="2"/>
  <c r="C34" i="2"/>
  <c r="F37" i="2"/>
  <c r="E37" i="2"/>
  <c r="F34" i="2"/>
  <c r="D37" i="2"/>
  <c r="E34" i="2"/>
  <c r="D34" i="2"/>
  <c r="B34" i="2"/>
</calcChain>
</file>

<file path=xl/sharedStrings.xml><?xml version="1.0" encoding="utf-8"?>
<sst xmlns="http://schemas.openxmlformats.org/spreadsheetml/2006/main" count="5907" uniqueCount="373">
  <si>
    <t>YEAR</t>
  </si>
  <si>
    <t>MONTH</t>
  </si>
  <si>
    <t>WEEK</t>
  </si>
  <si>
    <t>REPORT_DATE</t>
  </si>
  <si>
    <t>FRANCHISE_TP</t>
  </si>
  <si>
    <t>SEGMENT</t>
  </si>
  <si>
    <t>SUB_SEGMENT</t>
  </si>
  <si>
    <t>PRE_MSF</t>
  </si>
  <si>
    <t>POST_MSF</t>
  </si>
  <si>
    <t>NET_MSF</t>
  </si>
  <si>
    <t>PRE_NON_MSF</t>
  </si>
  <si>
    <t>POST_NON_MSF</t>
  </si>
  <si>
    <t>NET_NON_MSF</t>
  </si>
  <si>
    <t>PRE_DP</t>
  </si>
  <si>
    <t>POST_DP</t>
  </si>
  <si>
    <t>NET_DP</t>
  </si>
  <si>
    <t>PRE_PP_DISC</t>
  </si>
  <si>
    <t>POST_PP_DISC</t>
  </si>
  <si>
    <t>NET_PP_DISC</t>
  </si>
  <si>
    <t>PRE_NON_PP_DISC</t>
  </si>
  <si>
    <t>POST_NON_PP_DISC</t>
  </si>
  <si>
    <t>NET_NON_PP_DISC</t>
  </si>
  <si>
    <t>PRE_DP_DISC</t>
  </si>
  <si>
    <t>POST_DP_DISC</t>
  </si>
  <si>
    <t>NET_DP_DISC</t>
  </si>
  <si>
    <t>PRE_MRC</t>
  </si>
  <si>
    <t>POST_MRC</t>
  </si>
  <si>
    <t>NET_MRC</t>
  </si>
  <si>
    <t>PRE_FN_CREDIT_AMT</t>
  </si>
  <si>
    <t>POST_FN_CREDIT_AMT</t>
  </si>
  <si>
    <t>NET_FN_CREDIT_AMT</t>
  </si>
  <si>
    <t>PRE_IAS</t>
  </si>
  <si>
    <t>POST_IAS</t>
  </si>
  <si>
    <t>NET_IAS</t>
  </si>
  <si>
    <t>PRE_DD</t>
  </si>
  <si>
    <t>POST_DD</t>
  </si>
  <si>
    <t>NET_DD</t>
  </si>
  <si>
    <t>PRE_IFRS</t>
  </si>
  <si>
    <t>POST_IFRS</t>
  </si>
  <si>
    <t>NET_IFRS</t>
  </si>
  <si>
    <t>VOLUME</t>
  </si>
  <si>
    <t>Fido</t>
  </si>
  <si>
    <t>CBU</t>
  </si>
  <si>
    <t>Fido CBU</t>
  </si>
  <si>
    <t>Rogers</t>
  </si>
  <si>
    <t>Rogers CBU</t>
  </si>
  <si>
    <t>SOHO_IDV</t>
  </si>
  <si>
    <t>EBU</t>
  </si>
  <si>
    <t>Commercial</t>
  </si>
  <si>
    <t>Medium</t>
  </si>
  <si>
    <t>Small</t>
  </si>
  <si>
    <t>Strategic</t>
  </si>
  <si>
    <t>Sum of NET_IFRS</t>
  </si>
  <si>
    <t>Sum of NET_DD</t>
  </si>
  <si>
    <t>Sum of NET_IAS</t>
  </si>
  <si>
    <t>Sum of NET_FN_CREDIT_AMT</t>
  </si>
  <si>
    <t>Sum of NET_MRC</t>
  </si>
  <si>
    <t>Values</t>
  </si>
  <si>
    <t>EOC(EOP)</t>
  </si>
  <si>
    <t>Total IFRS</t>
  </si>
  <si>
    <t>cash</t>
  </si>
  <si>
    <t>HDW IFRS</t>
  </si>
  <si>
    <t>- &gt; gross</t>
  </si>
  <si>
    <t>- &gt; serv disc</t>
  </si>
  <si>
    <t>-&gt; ATL</t>
  </si>
  <si>
    <t>-&gt; DD</t>
  </si>
  <si>
    <t>Sum of NET_PP_DISC</t>
  </si>
  <si>
    <t>Sum of NET_NON_PP_DISC</t>
  </si>
  <si>
    <t>Sum of NET_DP_DISC</t>
  </si>
  <si>
    <t>Column Labels</t>
  </si>
  <si>
    <t>Grand Total</t>
  </si>
  <si>
    <t>(All)</t>
  </si>
  <si>
    <t>report_date</t>
  </si>
  <si>
    <t>TRX_SEQ_NO</t>
  </si>
  <si>
    <t>ROOT_BAN</t>
  </si>
  <si>
    <t>BAN</t>
  </si>
  <si>
    <t>SUBSCRIBER_NO</t>
  </si>
  <si>
    <t>PRODUCT_TYPE</t>
  </si>
  <si>
    <t>LINE_KEY</t>
  </si>
  <si>
    <t>INIT_ACTIVATION_DATE</t>
  </si>
  <si>
    <t>BAN_START_DATE</t>
  </si>
  <si>
    <t>PRICE_PLAN_SOC</t>
  </si>
  <si>
    <t>DATA_SOC</t>
  </si>
  <si>
    <t>SUBS_DATA_SOC_IND</t>
  </si>
  <si>
    <t>SUB_STATUS</t>
  </si>
  <si>
    <t>PPLAN_SERIES_TYPE</t>
  </si>
  <si>
    <t>SEGMENT_ID</t>
  </si>
  <si>
    <t>SEGMENT_HIST_SKEY</t>
  </si>
  <si>
    <t>PAYEE_IND</t>
  </si>
  <si>
    <t>EC_ID</t>
  </si>
  <si>
    <t>COMPANY_CODE</t>
  </si>
  <si>
    <t>IDV_CODE</t>
  </si>
  <si>
    <t>OSP</t>
  </si>
  <si>
    <t>NSP</t>
  </si>
  <si>
    <t>CREDIT_CLASS</t>
  </si>
  <si>
    <t>SUB_MARKET_CD</t>
  </si>
  <si>
    <t>ACTIVATING_DEALER_CODE</t>
  </si>
  <si>
    <t>LAST_ACTV_DEALER_CODE</t>
  </si>
  <si>
    <t>SOC_ACT_DEALER_CODE</t>
  </si>
  <si>
    <t>SRC_CHANNEL</t>
  </si>
  <si>
    <t>PORT_IND</t>
  </si>
  <si>
    <t>OPERATOR_ID</t>
  </si>
  <si>
    <t>SOC</t>
  </si>
  <si>
    <t>MONTHLY_RECURRING</t>
  </si>
  <si>
    <t>SOC_CLASSIFICATION</t>
  </si>
  <si>
    <t>SOC_EFFECTIVE_DATE</t>
  </si>
  <si>
    <t>SOC_EXPIRATION_DATE</t>
  </si>
  <si>
    <t>SOC_DURATION</t>
  </si>
  <si>
    <t>DISCOUNT_CODE</t>
  </si>
  <si>
    <t>DISCOUNT_DESC</t>
  </si>
  <si>
    <t>DISCOUNT_PRIORITY</t>
  </si>
  <si>
    <t>DISC_EFFECTIVE_DATE</t>
  </si>
  <si>
    <t>DISC_EXPIRATION_DATE</t>
  </si>
  <si>
    <t>DISC_QTY_TYPE</t>
  </si>
  <si>
    <t>DISC_DURATION</t>
  </si>
  <si>
    <t>EMPLOYEE_DISCOUNT_IND</t>
  </si>
  <si>
    <t>FEATURE_CATEGORY</t>
  </si>
  <si>
    <t>FEATURE_CODE</t>
  </si>
  <si>
    <t>FTR_REVENUE_CODE</t>
  </si>
  <si>
    <t>SOURCE</t>
  </si>
  <si>
    <t>PRIOD_CVRG_END_DATE</t>
  </si>
  <si>
    <t>PRIOD_CVRG_START_DATE</t>
  </si>
  <si>
    <t>ACTV_RSN_CODE</t>
  </si>
  <si>
    <t>TRANSACTION_CODE</t>
  </si>
  <si>
    <t>CHURN_CODE</t>
  </si>
  <si>
    <t>VOLUNTARY_CODE</t>
  </si>
  <si>
    <t>PRICE_PLAN_CHURN</t>
  </si>
  <si>
    <t>PRICE_PLAN_NON_CHURN</t>
  </si>
  <si>
    <t>SOC_CHURN</t>
  </si>
  <si>
    <t>SOC_NON_CHURN</t>
  </si>
  <si>
    <t>PRICE_PLAN_ACTIVATION</t>
  </si>
  <si>
    <t>DATA_SOC_ACTIVATION</t>
  </si>
  <si>
    <t>PRICE_PLAN_ACQUISITION</t>
  </si>
  <si>
    <t>DATA_SOC_ACQUISITION</t>
  </si>
  <si>
    <t>CTN_CHANGE_NET</t>
  </si>
  <si>
    <t>BAN_CHANGE_NET</t>
  </si>
  <si>
    <t>PRICE_PLAN_CHANGE_NET</t>
  </si>
  <si>
    <t>DATA_SOC_CHANGE_NET</t>
  </si>
  <si>
    <t>SEGMENT_CHANGE_NET</t>
  </si>
  <si>
    <t>ADJ_GROSS_ADDS</t>
  </si>
  <si>
    <t>CTN_NET_ADDS</t>
  </si>
  <si>
    <t>SOC_NET_ADDS</t>
  </si>
  <si>
    <t>CTN_GROSS_ADDS</t>
  </si>
  <si>
    <t>SOC_GROSS_ADDS</t>
  </si>
  <si>
    <t>DP_CHANGE_NET</t>
  </si>
  <si>
    <t>OTHER_SOC_CHANGE_NET</t>
  </si>
  <si>
    <t>SERVICE_DISCOUNT_CHANGE_NET</t>
  </si>
  <si>
    <t>RENEWAL_BASE_REV_FLG</t>
  </si>
  <si>
    <t>BASE_RATE_CHANGE_NET</t>
  </si>
  <si>
    <t>ORACLE_INSERT_TS</t>
  </si>
  <si>
    <t>ORACLE_UPDATE_TS</t>
  </si>
  <si>
    <t>.</t>
  </si>
  <si>
    <t>C</t>
  </si>
  <si>
    <t>02NOV2007:00:00:00</t>
  </si>
  <si>
    <t>07OCT2005:00:00:00</t>
  </si>
  <si>
    <t>XXNM0124T</t>
  </si>
  <si>
    <t>DSPSIA2EB</t>
  </si>
  <si>
    <t>Y</t>
  </si>
  <si>
    <t>A</t>
  </si>
  <si>
    <t>N</t>
  </si>
  <si>
    <t>L</t>
  </si>
  <si>
    <t>PQ</t>
  </si>
  <si>
    <t>F9YAB</t>
  </si>
  <si>
    <t>F9501</t>
  </si>
  <si>
    <t>RECURRING CHARGES</t>
  </si>
  <si>
    <t>RP004ME25</t>
  </si>
  <si>
    <t>Mobile Plan</t>
  </si>
  <si>
    <t>17JAN2024:00:00:00.000000</t>
  </si>
  <si>
    <t>20JUN2024:00:00:00.000000</t>
  </si>
  <si>
    <t>D</t>
  </si>
  <si>
    <t>R23F</t>
  </si>
  <si>
    <t>RC00J9</t>
  </si>
  <si>
    <t>R</t>
  </si>
  <si>
    <t>ADJ</t>
  </si>
  <si>
    <t>21JUN2024:00:00:00.000000</t>
  </si>
  <si>
    <t>22MAY2024:00:00:00.000000</t>
  </si>
  <si>
    <t>MSFPP</t>
  </si>
  <si>
    <t>CLOSING</t>
  </si>
  <si>
    <t>20JUN2024:00:00:00</t>
  </si>
  <si>
    <t>25JUL2024:16:43:20.529000</t>
  </si>
  <si>
    <t>RP002ME22</t>
  </si>
  <si>
    <t>06MAR2023:00:00:00.000000</t>
  </si>
  <si>
    <t>Base others</t>
  </si>
  <si>
    <t xml:space="preserve">Base detail </t>
  </si>
  <si>
    <t>PRE_PPLAN_SERIES_TYPE</t>
  </si>
  <si>
    <t>PRE_SUBS_DATA_SOC_IND</t>
  </si>
  <si>
    <t>POST_PPLAN_SERIES_TYPE</t>
  </si>
  <si>
    <t>POST_SUBS_DATA_SOC_IND</t>
  </si>
  <si>
    <t>CONNECTION_TYPE</t>
  </si>
  <si>
    <t>CONNECTION_TYPE_1</t>
  </si>
  <si>
    <t>PRE_SEGMENT_ID</t>
  </si>
  <si>
    <t>POST_SEGMENT_ID</t>
  </si>
  <si>
    <t>IDV_FLAG</t>
  </si>
  <si>
    <t>PRE_PREPAID_IND</t>
  </si>
  <si>
    <t>POST_PREPAID_IND</t>
  </si>
  <si>
    <t>PRE_PAYEE_IND</t>
  </si>
  <si>
    <t>POST_PAYEE_IND</t>
  </si>
  <si>
    <t>PRE_PP_EFFECTIVE_DATE</t>
  </si>
  <si>
    <t>PRE_PRICE_PLAN_SOC</t>
  </si>
  <si>
    <t>PRE_SOC_DESCRIPTION</t>
  </si>
  <si>
    <t>PRE_DATA_SOC</t>
  </si>
  <si>
    <t>POST_PP_EFFECTIVE_DATE</t>
  </si>
  <si>
    <t>POST_PRICE_PLAN_SOC</t>
  </si>
  <si>
    <t>POST_SOC_DESCRIPTION</t>
  </si>
  <si>
    <t>POST_DATA_SOC</t>
  </si>
  <si>
    <t>PRE_PP_IND</t>
  </si>
  <si>
    <t>PRE_PP_GRP</t>
  </si>
  <si>
    <t>POST_PP_IND</t>
  </si>
  <si>
    <t>POST_PP_GRP</t>
  </si>
  <si>
    <t>PRE_RATE_CARD</t>
  </si>
  <si>
    <t>POST_RATE_CARD</t>
  </si>
  <si>
    <t>PRE_SUB_MARKET_CD</t>
  </si>
  <si>
    <t>POST_SUB_MARKET_CD</t>
  </si>
  <si>
    <t>PRE_BILLING_ADR_PROV_CODE</t>
  </si>
  <si>
    <t>POST_BILLING_ADR_PROV_CODE</t>
  </si>
  <si>
    <t>BILLING_ADR_PROV_CODE</t>
  </si>
  <si>
    <t>REGION</t>
  </si>
  <si>
    <t>BILL_CYCLE</t>
  </si>
  <si>
    <t>SEGMENT_CHANGE_IND</t>
  </si>
  <si>
    <t>CTN_CHANGE_IND</t>
  </si>
  <si>
    <t>BAN_CHANGE_IND</t>
  </si>
  <si>
    <t>PRICE_PLAN_CHANGE_IND</t>
  </si>
  <si>
    <t>DATA_SOC_CHANGE_IND</t>
  </si>
  <si>
    <t>DP_CHANGE_IND</t>
  </si>
  <si>
    <t>OTHER_SRVC_CHANGE_IND</t>
  </si>
  <si>
    <t>SERVICE_DISCOUNT_CHANGE_IND</t>
  </si>
  <si>
    <t>FN_CREDIT_AMT_CHANGE_IND</t>
  </si>
  <si>
    <t>CONTRACT_CHANGE_IND</t>
  </si>
  <si>
    <t>FULL_MONTH_DD_CHANGE_IND</t>
  </si>
  <si>
    <t>CONTRACT_TERMINATION_IND</t>
  </si>
  <si>
    <t>EOC_IND</t>
  </si>
  <si>
    <t>EOC_IND_FNL</t>
  </si>
  <si>
    <t>BASE_RATE_CHANGE_IND</t>
  </si>
  <si>
    <t>PRE_AGREEMENT_TYPE</t>
  </si>
  <si>
    <t>PRE_AGREEMENT_START_DATE</t>
  </si>
  <si>
    <t>PRE_AGREEMENT_END_DATE</t>
  </si>
  <si>
    <t>PRE_TERM_IND</t>
  </si>
  <si>
    <t>POST_AGREEMENT_START_DATE</t>
  </si>
  <si>
    <t>POST_AGREEMENT_END_DATE</t>
  </si>
  <si>
    <t>POST_TERM_IND</t>
  </si>
  <si>
    <t>PRE_CONTRACT_ID</t>
  </si>
  <si>
    <t>PRE_VERSION_NO</t>
  </si>
  <si>
    <t>PRE_CONTRACT_TYPE</t>
  </si>
  <si>
    <t>PRE_CONTRACT_TIER</t>
  </si>
  <si>
    <t>PRE_CONTRACT_START_DATE</t>
  </si>
  <si>
    <t>PRE_CONTRACT_END_DATE</t>
  </si>
  <si>
    <t>PRE_TERMINATION_DATE</t>
  </si>
  <si>
    <t>POST_CONTRACT_ID</t>
  </si>
  <si>
    <t>POST_VERSION_NO</t>
  </si>
  <si>
    <t>POST_CONTRACT_TIER</t>
  </si>
  <si>
    <t>POST_CONTRACT_START_DATE</t>
  </si>
  <si>
    <t>POST_CONTRACT_END_DATE</t>
  </si>
  <si>
    <t>POST_TERMINATION_DATE</t>
  </si>
  <si>
    <t>LAST_CONTRACT_ID</t>
  </si>
  <si>
    <t>LAST_VERSION_NO</t>
  </si>
  <si>
    <t>LAST_CONTRACT_TIER</t>
  </si>
  <si>
    <t>LAST_CONTRACT_START_DATE</t>
  </si>
  <si>
    <t>LAST_CONTRACT_END_DATE</t>
  </si>
  <si>
    <t>LAST_TERMINATION_DATE</t>
  </si>
  <si>
    <t>PRE_MSF_FULL_MONTH</t>
  </si>
  <si>
    <t>POST_MSF_FULL_MONTH</t>
  </si>
  <si>
    <t>NET_MSF_FULL_MONTH</t>
  </si>
  <si>
    <t>PRE_OTHER_SRVC_FULL_MONTH</t>
  </si>
  <si>
    <t>POST_OTHER_SRVC_FULL_MONTH</t>
  </si>
  <si>
    <t>NET_OTHER_SRVC_FULL_MONTH</t>
  </si>
  <si>
    <t>PRE_MSF_DISC_FULL_MONTH</t>
  </si>
  <si>
    <t>POST_MSF_DISC_FULL_MONTH</t>
  </si>
  <si>
    <t>NET_MSF_DISC_FULL_MONTH</t>
  </si>
  <si>
    <t>PRE_OTHER_SRVC_DISC_FULL_MONTH</t>
  </si>
  <si>
    <t>POST_OTHER_SRVC_DISC_FULL_MON</t>
  </si>
  <si>
    <t>NET_OTHER_SRVC_DISC_FULL_MONTH</t>
  </si>
  <si>
    <t>PRE_DP_FULL_MONTH</t>
  </si>
  <si>
    <t>POST_DP_FULL_MONTH</t>
  </si>
  <si>
    <t>NET_DP_FULL_MONTH</t>
  </si>
  <si>
    <t>PRE_DP_DISC_FULL_MONTH</t>
  </si>
  <si>
    <t>POST_DP_DISC_FULL_MONTH</t>
  </si>
  <si>
    <t>NET_DP_DISC_FULL_MONTH</t>
  </si>
  <si>
    <t>PRE_TOTAL_SRVC_REV_FULL_MONTH</t>
  </si>
  <si>
    <t>POST_TOTAL_SRVC_REV_FULL_MONTH</t>
  </si>
  <si>
    <t>NET_TOTAL_SRVC_REV_FULL_MONTH</t>
  </si>
  <si>
    <t>PRE_TOTAL_IAS_FULL_MONTH</t>
  </si>
  <si>
    <t>POST_TOTAL_IAS_FULL_MONTH</t>
  </si>
  <si>
    <t>NET_TOTAL_IAS_FULL_MONTH</t>
  </si>
  <si>
    <t>PRE_FULL_MONTH_DRAWDOWN</t>
  </si>
  <si>
    <t>POST_FULL_MONTH_DRAWDOWN</t>
  </si>
  <si>
    <t>NET_FULL_MONTH_DRAWDOWN</t>
  </si>
  <si>
    <t>PRE_TOTAL_IFRS_FULL_MONTH</t>
  </si>
  <si>
    <t>POST_TOTAL_IFRS_FULL_MONTH</t>
  </si>
  <si>
    <t>NET_TOTAL_IFRS_FULL_MONTH</t>
  </si>
  <si>
    <t>PRE_PP_MSF</t>
  </si>
  <si>
    <t>POST_PP_MSF</t>
  </si>
  <si>
    <t>NET_PP_MSF</t>
  </si>
  <si>
    <t>PRE_NON_PP_MSF</t>
  </si>
  <si>
    <t>POST_NON_PP_MSF</t>
  </si>
  <si>
    <t>NET_NON_PP_MSF</t>
  </si>
  <si>
    <t>PRE_PP_DISCOUNT</t>
  </si>
  <si>
    <t>POST_PP_DISCOUNT</t>
  </si>
  <si>
    <t>NET_PP_DISCOUNT</t>
  </si>
  <si>
    <t>PRE_NON_PP_DISCOUNT</t>
  </si>
  <si>
    <t>POST_NON_PP_DISCOUNT</t>
  </si>
  <si>
    <t>NET_NON_PP_DISCOUNT</t>
  </si>
  <si>
    <t>PRE_DP_DISCOUNT</t>
  </si>
  <si>
    <t>POST_DP_DISCOUNT</t>
  </si>
  <si>
    <t>NET_DP_DISCOUNT</t>
  </si>
  <si>
    <t>PRE_EIP</t>
  </si>
  <si>
    <t>POST_EIP</t>
  </si>
  <si>
    <t>NET_EIP</t>
  </si>
  <si>
    <t>PRE_DRAWDOWN</t>
  </si>
  <si>
    <t>POST_DRAWDOWN</t>
  </si>
  <si>
    <t>NET_DRAWDOWN</t>
  </si>
  <si>
    <t>EOC_DD</t>
  </si>
  <si>
    <t>REPORTED_IND</t>
  </si>
  <si>
    <t>IBRO_CATEGORY</t>
  </si>
  <si>
    <t>IBRO_IND</t>
  </si>
  <si>
    <t>CHANGE_CATEGORY</t>
  </si>
  <si>
    <t>Voice&amp;Data</t>
  </si>
  <si>
    <t>Voice &amp; Data</t>
  </si>
  <si>
    <t>Other</t>
  </si>
  <si>
    <t>20JUN2022:00:00:00.000000</t>
  </si>
  <si>
    <t>Fido Payment Program - 15GB</t>
  </si>
  <si>
    <t>OTHERS</t>
  </si>
  <si>
    <t>Private</t>
  </si>
  <si>
    <t>FINANCED</t>
  </si>
  <si>
    <t>21JUN2022:00:00:00.000000</t>
  </si>
  <si>
    <t>TERM</t>
  </si>
  <si>
    <t>FINANCE EQUIPMENT AND SERVICE</t>
  </si>
  <si>
    <t>SUBSIDIZED</t>
  </si>
  <si>
    <t>13JUN2018:00:00:00</t>
  </si>
  <si>
    <t>12JUN2020:00:00:00</t>
  </si>
  <si>
    <t>01JUN2020:00:00:00</t>
  </si>
  <si>
    <t>RP to RP</t>
  </si>
  <si>
    <t>EoC</t>
  </si>
  <si>
    <t>Sample 1:</t>
  </si>
  <si>
    <t>Sample 2:</t>
  </si>
  <si>
    <t>11JUN2024:00:00:00</t>
  </si>
  <si>
    <t>12JUN2022:00:00:00.000000</t>
  </si>
  <si>
    <t>LTOM0129Z</t>
  </si>
  <si>
    <t>Fido Payment Program - 10GB</t>
  </si>
  <si>
    <t>DSPSIA2MM</t>
  </si>
  <si>
    <t>In Market</t>
  </si>
  <si>
    <t>ON</t>
  </si>
  <si>
    <t>12JUN2024:00:00:00.000000</t>
  </si>
  <si>
    <t>11JUN2024:00:00:00.000000</t>
  </si>
  <si>
    <t>05MAR2019:00:00:00</t>
  </si>
  <si>
    <t>04MAR2021:00:00:00</t>
  </si>
  <si>
    <t>12JUN2022:00:00:00</t>
  </si>
  <si>
    <t>FHQAM</t>
  </si>
  <si>
    <t>RP005MABP</t>
  </si>
  <si>
    <t>Additional Line Promo-24 mos.</t>
  </si>
  <si>
    <t>BASE</t>
  </si>
  <si>
    <t>RC002P</t>
  </si>
  <si>
    <t>13MAY2024:00:00:00.000000</t>
  </si>
  <si>
    <t>RP003ME23</t>
  </si>
  <si>
    <t>Base detail</t>
  </si>
  <si>
    <t>Sample 3:</t>
  </si>
  <si>
    <t>10JUN2024:00:00:00</t>
  </si>
  <si>
    <t>11JUN2022:00:00:00.000000</t>
  </si>
  <si>
    <t>SMBM4226C</t>
  </si>
  <si>
    <t>Infinite +20 Financing</t>
  </si>
  <si>
    <t>DPLSIA023</t>
  </si>
  <si>
    <t>INFINITE</t>
  </si>
  <si>
    <t>Bronze</t>
  </si>
  <si>
    <t>BC</t>
  </si>
  <si>
    <t>10JUN2024:00:00:00.000000</t>
  </si>
  <si>
    <t>NOTERM</t>
  </si>
  <si>
    <t>11JUN2022:00:00:00</t>
  </si>
  <si>
    <t>9ZMA0</t>
  </si>
  <si>
    <t>RP003ME24</t>
  </si>
  <si>
    <t>Wireless Plan</t>
  </si>
  <si>
    <t>R22R</t>
  </si>
  <si>
    <t>RC00IJ</t>
  </si>
  <si>
    <t>12MAY2024:00:00:00.000000</t>
  </si>
  <si>
    <t>RP004ME27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</si>
</sst>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164" formatCode="[$-409]ddmmmyyyy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49" fontId="0" fillId="0" borderId="0" xfId="0" applyNumberFormat="1"/>
    <xf numFmtId="2" fontId="0" fillId="0" borderId="0" xfId="0" applyNumberFormat="1"/>
    <xf numFmtId="6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0" borderId="0" xfId="0" applyAlignment="1">
      <alignment horizontal="left" indent="1"/>
    </xf>
    <xf numFmtId="0" fontId="0" fillId="0" borderId="0" xfId="0" quotePrefix="1" applyAlignment="1">
      <alignment horizontal="left" indent="3"/>
    </xf>
    <xf numFmtId="15" fontId="0" fillId="0" borderId="0" xfId="0" applyNumberFormat="1"/>
    <xf numFmtId="0" fontId="2" fillId="0" borderId="0" xfId="0" applyFont="1"/>
    <xf numFmtId="0" fontId="0" fillId="2" borderId="0" xfId="0" applyFill="1"/>
    <xf numFmtId="0" fontId="2" fillId="4" borderId="0" xfId="0" applyFont="1" applyFill="1"/>
    <xf numFmtId="0" fontId="0" fillId="0" borderId="0" xfId="0" applyFill="1" applyAlignment="1">
      <alignment horizontal="left"/>
    </xf>
    <xf numFmtId="6" fontId="0" fillId="0" borderId="0" xfId="0" applyNumberFormat="1" applyFill="1"/>
  </cellXfs>
  <cellStyles count="2">
    <cellStyle name="Normal" xfId="0" builtinId="0"/>
    <cellStyle name="Percent" xfId="1" builtinId="5"/>
  </cellStyles>
  <dxfs count="14"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10" formatCode="&quot;$&quot;#,##0;[Red]\-&quot;$&quot;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0" formatCode="&quot;$&quot;#,##0;[Red]\-&quot;$&quot;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0" formatCode="&quot;$&quot;#,##0;[Red]\-&quot;$&quot;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12</xdr:row>
      <xdr:rowOff>180975</xdr:rowOff>
    </xdr:from>
    <xdr:to>
      <xdr:col>28</xdr:col>
      <xdr:colOff>152399</xdr:colOff>
      <xdr:row>39</xdr:row>
      <xdr:rowOff>187325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6EF30D-2951-2B4C-49D9-45DBB9472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2466975"/>
          <a:ext cx="11620500" cy="381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ndy Wang" refreshedDate="45495.496727199075" createdVersion="8" refreshedVersion="8" minRefreshableVersion="3" recordCount="210" xr:uid="{BF7E21DD-196B-43F7-889C-9F98652A3564}">
  <cacheSource type="worksheet">
    <worksheetSource ref="A1:AO211" sheet="06"/>
  </cacheSource>
  <cacheFields count="41">
    <cacheField name="YEAR" numFmtId="0">
      <sharedItems containsSemiMixedTypes="0" containsString="0" containsNumber="1" containsInteger="1" minValue="2024" maxValue="2024"/>
    </cacheField>
    <cacheField name="MONTH" numFmtId="0">
      <sharedItems containsSemiMixedTypes="0" containsString="0" containsNumber="1" containsInteger="1" minValue="6" maxValue="6"/>
    </cacheField>
    <cacheField name="WEEK" numFmtId="0">
      <sharedItems containsSemiMixedTypes="0" containsString="0" containsNumber="1" containsInteger="1" minValue="22" maxValue="27" count="6">
        <n v="22"/>
        <n v="23"/>
        <n v="24"/>
        <n v="25"/>
        <n v="26"/>
        <n v="27"/>
      </sharedItems>
    </cacheField>
    <cacheField name="REPORT_DATE" numFmtId="164">
      <sharedItems containsSemiMixedTypes="0" containsNonDate="0" containsDate="1" containsString="0" minDate="2024-06-01T00:00:00" maxDate="2024-07-01T00:00:00"/>
    </cacheField>
    <cacheField name="FRANCHISE_TP" numFmtId="49">
      <sharedItems/>
    </cacheField>
    <cacheField name="SEGMENT" numFmtId="49">
      <sharedItems count="2">
        <s v="CBU"/>
        <s v="EBU"/>
      </sharedItems>
    </cacheField>
    <cacheField name="SUB_SEGMENT" numFmtId="49">
      <sharedItems count="7">
        <s v="Fido CBU"/>
        <s v="Rogers CBU"/>
        <s v="SOHO_IDV"/>
        <s v="Commercial"/>
        <s v="Medium"/>
        <s v="Small"/>
        <s v="Strategic"/>
      </sharedItems>
    </cacheField>
    <cacheField name="PRE_MSF" numFmtId="2">
      <sharedItems containsSemiMixedTypes="0" containsString="0" containsNumber="1" minValue="50" maxValue="200959.5"/>
    </cacheField>
    <cacheField name="POST_MSF" numFmtId="2">
      <sharedItems containsSemiMixedTypes="0" containsString="0" containsNumber="1" minValue="0" maxValue="200959.5"/>
    </cacheField>
    <cacheField name="NET_MSF" numFmtId="2">
      <sharedItems containsSemiMixedTypes="0" containsString="0" containsNumber="1" containsInteger="1" minValue="-62" maxValue="0"/>
    </cacheField>
    <cacheField name="PRE_NON_MSF" numFmtId="2">
      <sharedItems containsSemiMixedTypes="0" containsString="0" containsNumber="1" minValue="0" maxValue="2017.7200000000355"/>
    </cacheField>
    <cacheField name="POST_NON_MSF" numFmtId="2">
      <sharedItems containsSemiMixedTypes="0" containsString="0" containsNumber="1" minValue="0" maxValue="2209.8200000000015"/>
    </cacheField>
    <cacheField name="NET_NON_MSF" numFmtId="2">
      <sharedItems containsSemiMixedTypes="0" containsString="0" containsNumber="1" minValue="-40" maxValue="644.70000000000005"/>
    </cacheField>
    <cacheField name="PRE_DP" numFmtId="2">
      <sharedItems containsSemiMixedTypes="0" containsString="0" containsNumber="1" minValue="0" maxValue="8716.369999999908"/>
    </cacheField>
    <cacheField name="POST_DP" numFmtId="2">
      <sharedItems containsSemiMixedTypes="0" containsString="0" containsNumber="1" minValue="0" maxValue="8665.3999999999087"/>
    </cacheField>
    <cacheField name="NET_DP" numFmtId="2">
      <sharedItems containsSemiMixedTypes="0" containsString="0" containsNumber="1" minValue="-72.960000000000008" maxValue="8.99"/>
    </cacheField>
    <cacheField name="PRE_PP_DISC" numFmtId="2">
      <sharedItems containsSemiMixedTypes="0" containsString="0" containsNumber="1" minValue="-33942.5" maxValue="0"/>
    </cacheField>
    <cacheField name="POST_PP_DISC" numFmtId="2">
      <sharedItems containsSemiMixedTypes="0" containsString="0" containsNumber="1" minValue="-32677.989999999998" maxValue="0"/>
    </cacheField>
    <cacheField name="NET_PP_DISC" numFmtId="2">
      <sharedItems containsSemiMixedTypes="0" containsString="0" containsNumber="1" minValue="-28.5" maxValue="3204"/>
    </cacheField>
    <cacheField name="PRE_NON_PP_DISC" numFmtId="2">
      <sharedItems containsSemiMixedTypes="0" containsString="0" containsNumber="1" minValue="-184" maxValue="0"/>
    </cacheField>
    <cacheField name="POST_NON_PP_DISC" numFmtId="2">
      <sharedItems containsSemiMixedTypes="0" containsString="0" containsNumber="1" minValue="-184" maxValue="0"/>
    </cacheField>
    <cacheField name="NET_NON_PP_DISC" numFmtId="2">
      <sharedItems containsSemiMixedTypes="0" containsString="0" containsNumber="1" minValue="-0.86" maxValue="1.8800000000000001"/>
    </cacheField>
    <cacheField name="PRE_DP_DISC" numFmtId="2">
      <sharedItems containsSemiMixedTypes="0" containsString="0" containsNumber="1" minValue="-199.09" maxValue="0"/>
    </cacheField>
    <cacheField name="POST_DP_DISC" numFmtId="2">
      <sharedItems containsSemiMixedTypes="0" containsString="0" containsNumber="1" minValue="-199.09" maxValue="0"/>
    </cacheField>
    <cacheField name="NET_DP_DISC" numFmtId="2">
      <sharedItems containsSemiMixedTypes="0" containsString="0" containsNumber="1" minValue="-8" maxValue="15.99"/>
    </cacheField>
    <cacheField name="PRE_MRC" numFmtId="2">
      <sharedItems containsSemiMixedTypes="0" containsString="0" containsNumber="1" minValue="50" maxValue="177332.95000000039"/>
    </cacheField>
    <cacheField name="POST_MRC" numFmtId="2">
      <sharedItems containsSemiMixedTypes="0" containsString="0" containsNumber="1" minValue="0" maxValue="178675.18000000034"/>
    </cacheField>
    <cacheField name="NET_MRC" numFmtId="2">
      <sharedItems containsSemiMixedTypes="0" containsString="0" containsNumber="1" minValue="-50" maxValue="3204"/>
    </cacheField>
    <cacheField name="PRE_FN_CREDIT_AMT" numFmtId="2">
      <sharedItems containsString="0" containsBlank="1" containsNumber="1" minValue="18.75" maxValue="71418.049999999974"/>
    </cacheField>
    <cacheField name="POST_FN_CREDIT_AMT" numFmtId="2">
      <sharedItems containsString="0" containsBlank="1" containsNumber="1" minValue="4.42" maxValue="41017.719999999892"/>
    </cacheField>
    <cacheField name="NET_FN_CREDIT_AMT" numFmtId="2">
      <sharedItems containsSemiMixedTypes="0" containsString="0" containsNumber="1" minValue="-40648.329999999914" maxValue="0"/>
    </cacheField>
    <cacheField name="PRE_IAS" numFmtId="2">
      <sharedItems containsSemiMixedTypes="0" containsString="0" containsNumber="1" minValue="31.25" maxValue="123663.33000000063"/>
    </cacheField>
    <cacheField name="POST_IAS" numFmtId="2">
      <sharedItems containsSemiMixedTypes="0" containsString="0" containsNumber="1" minValue="0" maxValue="154190.08000000037"/>
    </cacheField>
    <cacheField name="NET_IAS" numFmtId="2">
      <sharedItems containsSemiMixedTypes="0" containsString="0" containsNumber="1" minValue="-31.25" maxValue="42084.84999999994"/>
    </cacheField>
    <cacheField name="PRE_DD" numFmtId="0">
      <sharedItems containsSemiMixedTypes="0" containsString="0" containsNumber="1" minValue="-19394.410000000022" maxValue="7855.9900000000707"/>
    </cacheField>
    <cacheField name="POST_DD" numFmtId="0">
      <sharedItems containsSemiMixedTypes="0" containsString="0" containsNumber="1" minValue="-11.870000000000001" maxValue="358.4799999999999"/>
    </cacheField>
    <cacheField name="NET_DD" numFmtId="0">
      <sharedItems containsSemiMixedTypes="0" containsString="0" containsNumber="1" minValue="-7855.9900000000707" maxValue="19394.410000000022"/>
    </cacheField>
    <cacheField name="PRE_IFRS" numFmtId="0">
      <sharedItems containsSemiMixedTypes="0" containsString="0" containsNumber="1" minValue="39.410000000000004" maxValue="136699.57999999955"/>
    </cacheField>
    <cacheField name="POST_IFRS" numFmtId="0">
      <sharedItems containsSemiMixedTypes="0" containsString="0" containsNumber="1" minValue="0" maxValue="154190.08000000037"/>
    </cacheField>
    <cacheField name="NET_IFRS" numFmtId="0">
      <sharedItems containsSemiMixedTypes="0" containsString="0" containsNumber="1" minValue="-39.410000000000004" maxValue="30035.999999999785"/>
    </cacheField>
    <cacheField name="VOLUME" numFmtId="0">
      <sharedItems containsSemiMixedTypes="0" containsString="0" containsNumber="1" containsInteger="1" minValue="-1" maxValue="3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ndy Wang" refreshedDate="45502.412312037035" createdVersion="8" refreshedVersion="8" minRefreshableVersion="3" recordCount="190" xr:uid="{E43C16A0-3A5C-46DD-A5C5-EE7A0141FFD0}">
  <cacheSource type="worksheet">
    <worksheetSource ref="A1:AO1048576" sheet="07"/>
  </cacheSource>
  <cacheFields count="41">
    <cacheField name="YEAR" numFmtId="0">
      <sharedItems containsString="0" containsBlank="1" containsNumber="1" containsInteger="1" minValue="2024" maxValue="2024"/>
    </cacheField>
    <cacheField name="MONTH" numFmtId="0">
      <sharedItems containsString="0" containsBlank="1" containsNumber="1" containsInteger="1" minValue="7" maxValue="7"/>
    </cacheField>
    <cacheField name="WEEK" numFmtId="0">
      <sharedItems containsString="0" containsBlank="1" containsNumber="1" containsInteger="1" minValue="27" maxValue="30" count="5">
        <n v="27"/>
        <n v="28"/>
        <n v="29"/>
        <n v="30"/>
        <m/>
      </sharedItems>
    </cacheField>
    <cacheField name="REPORT_DATE" numFmtId="0">
      <sharedItems containsNonDate="0" containsDate="1" containsString="0" containsBlank="1" minDate="2024-07-01T00:00:00" maxDate="2024-07-28T00:00:00"/>
    </cacheField>
    <cacheField name="FRANCHISE_TP" numFmtId="0">
      <sharedItems containsBlank="1"/>
    </cacheField>
    <cacheField name="SEGMENT" numFmtId="0">
      <sharedItems containsBlank="1" count="3">
        <s v="CBU"/>
        <s v="EBU"/>
        <m/>
      </sharedItems>
    </cacheField>
    <cacheField name="SUB_SEGMENT" numFmtId="0">
      <sharedItems containsBlank="1" count="8">
        <s v="Fido CBU"/>
        <s v="Rogers CBU"/>
        <s v="SOHO_IDV"/>
        <s v="Commercial"/>
        <s v="Medium"/>
        <s v="Small"/>
        <s v="Strategic"/>
        <m/>
      </sharedItems>
    </cacheField>
    <cacheField name="PRE_MSF" numFmtId="0">
      <sharedItems containsString="0" containsBlank="1" containsNumber="1" minValue="45" maxValue="217619.5"/>
    </cacheField>
    <cacheField name="POST_MSF" numFmtId="0">
      <sharedItems containsString="0" containsBlank="1" containsNumber="1" minValue="45" maxValue="217619.5"/>
    </cacheField>
    <cacheField name="NET_MSF" numFmtId="0">
      <sharedItems containsString="0" containsBlank="1" containsNumber="1" containsInteger="1" minValue="-140" maxValue="0"/>
    </cacheField>
    <cacheField name="PRE_NON_MSF" numFmtId="0">
      <sharedItems containsString="0" containsBlank="1" containsNumber="1" minValue="0" maxValue="1839.1700000000305"/>
    </cacheField>
    <cacheField name="POST_NON_MSF" numFmtId="0">
      <sharedItems containsString="0" containsBlank="1" containsNumber="1" minValue="0" maxValue="1837.6900000000164"/>
    </cacheField>
    <cacheField name="NET_NON_MSF" numFmtId="0">
      <sharedItems containsString="0" containsBlank="1" containsNumber="1" minValue="-184.2" maxValue="30"/>
    </cacheField>
    <cacheField name="PRE_DP" numFmtId="0">
      <sharedItems containsString="0" containsBlank="1" containsNumber="1" minValue="0" maxValue="9043.4199999999073"/>
    </cacheField>
    <cacheField name="POST_DP" numFmtId="0">
      <sharedItems containsString="0" containsBlank="1" containsNumber="1" minValue="0" maxValue="9024.4299999999075"/>
    </cacheField>
    <cacheField name="NET_DP" numFmtId="0">
      <sharedItems containsString="0" containsBlank="1" containsNumber="1" minValue="-80.94" maxValue="18.990000000000002"/>
    </cacheField>
    <cacheField name="PRE_PP_DISC" numFmtId="0">
      <sharedItems containsString="0" containsBlank="1" containsNumber="1" minValue="-33906.270000000004" maxValue="0"/>
    </cacheField>
    <cacheField name="POST_PP_DISC" numFmtId="0">
      <sharedItems containsString="0" containsBlank="1" containsNumber="1" minValue="-33113.270000000004" maxValue="0"/>
    </cacheField>
    <cacheField name="NET_PP_DISC" numFmtId="0">
      <sharedItems containsString="0" containsBlank="1" containsNumber="1" minValue="0" maxValue="2954"/>
    </cacheField>
    <cacheField name="PRE_NON_PP_DISC" numFmtId="0">
      <sharedItems containsString="0" containsBlank="1" containsNumber="1" minValue="-80.2" maxValue="0"/>
    </cacheField>
    <cacheField name="POST_NON_PP_DISC" numFmtId="0">
      <sharedItems containsString="0" containsBlank="1" containsNumber="1" minValue="-80.2" maxValue="0"/>
    </cacheField>
    <cacheField name="NET_NON_PP_DISC" numFmtId="0">
      <sharedItems containsString="0" containsBlank="1" containsNumber="1" minValue="-0.95000000000000007" maxValue="6.54"/>
    </cacheField>
    <cacheField name="PRE_DP_DISC" numFmtId="0">
      <sharedItems containsString="0" containsBlank="1" containsNumber="1" minValue="-205.06000000000003" maxValue="0"/>
    </cacheField>
    <cacheField name="POST_DP_DISC" numFmtId="0">
      <sharedItems containsString="0" containsBlank="1" containsNumber="1" minValue="-205.06000000000003" maxValue="0"/>
    </cacheField>
    <cacheField name="NET_DP_DISC" numFmtId="0">
      <sharedItems containsString="0" containsBlank="1" containsNumber="1" minValue="-9.9999999999997868E-3" maxValue="14.5"/>
    </cacheField>
    <cacheField name="PRE_MRC" numFmtId="0">
      <sharedItems containsString="0" containsBlank="1" containsNumber="1" minValue="42.75" maxValue="194040.8599999999"/>
    </cacheField>
    <cacheField name="POST_MRC" numFmtId="0">
      <sharedItems containsString="0" containsBlank="1" containsNumber="1" minValue="42.75" maxValue="194814.86999999991"/>
    </cacheField>
    <cacheField name="NET_MRC" numFmtId="0">
      <sharedItems containsString="0" containsBlank="1" containsNumber="1" minValue="-184.2" maxValue="2953.45"/>
    </cacheField>
    <cacheField name="PRE_FN_CREDIT_AMT" numFmtId="0">
      <sharedItems containsString="0" containsBlank="1" containsNumber="1" minValue="2.42" maxValue="65888.769999999742"/>
    </cacheField>
    <cacheField name="POST_FN_CREDIT_AMT" numFmtId="0">
      <sharedItems containsString="0" containsBlank="1" containsNumber="1" minValue="0.75" maxValue="38962.199999999742"/>
    </cacheField>
    <cacheField name="NET_FN_CREDIT_AMT" numFmtId="0">
      <sharedItems containsString="0" containsBlank="1" containsNumber="1" minValue="-38394.009999999726" maxValue="0"/>
    </cacheField>
    <cacheField name="PRE_IAS" numFmtId="0">
      <sharedItems containsString="0" containsBlank="1" containsNumber="1" minValue="42.75" maxValue="138560.45000000042"/>
    </cacheField>
    <cacheField name="POST_IAS" numFmtId="0">
      <sharedItems containsString="0" containsBlank="1" containsNumber="1" minValue="42.75" maxValue="167689.22999999975"/>
    </cacheField>
    <cacheField name="NET_IAS" numFmtId="0">
      <sharedItems containsString="0" containsBlank="1" containsNumber="1" minValue="-149.35999999999999" maxValue="39524.50999999974"/>
    </cacheField>
    <cacheField name="PRE_DD" numFmtId="0">
      <sharedItems containsString="0" containsBlank="1" containsNumber="1" minValue="-18151.910000000011" maxValue="8135.1100000000151"/>
    </cacheField>
    <cacheField name="POST_DD" numFmtId="0">
      <sharedItems containsString="0" containsBlank="1" containsNumber="1" minValue="-346.99999999999994" maxValue="23.37"/>
    </cacheField>
    <cacheField name="NET_DD" numFmtId="0">
      <sharedItems containsString="0" containsBlank="1" containsNumber="1" minValue="-8114.5400000000154" maxValue="18151.910000000011"/>
    </cacheField>
    <cacheField name="PRE_IFRS" numFmtId="0">
      <sharedItems containsString="0" containsBlank="1" containsNumber="1" minValue="26.97" maxValue="151942.77999999962"/>
    </cacheField>
    <cacheField name="POST_IFRS" numFmtId="0">
      <sharedItems containsString="0" containsBlank="1" containsNumber="1" minValue="42.75" maxValue="167689.22999999975"/>
    </cacheField>
    <cacheField name="NET_IFRS" numFmtId="0">
      <sharedItems containsString="0" containsBlank="1" containsNumber="1" minValue="-6272.8099999999977" maxValue="29260.009999999678"/>
    </cacheField>
    <cacheField name="VOLUME" numFmtId="0">
      <sharedItems containsString="0" containsBlank="1" containsNumber="1" containsInteger="1" minValue="1" maxValue="29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n v="2024"/>
    <n v="6"/>
    <x v="0"/>
    <d v="2024-06-01T00:00:00"/>
    <s v="Fido"/>
    <x v="0"/>
    <x v="0"/>
    <n v="129787"/>
    <n v="129787"/>
    <n v="0"/>
    <n v="1636.5400000000263"/>
    <n v="1636.5400000000263"/>
    <n v="0"/>
    <n v="2704.0699999999906"/>
    <n v="2704.0699999999906"/>
    <n v="0"/>
    <n v="-12961.58"/>
    <n v="-11597.58"/>
    <n v="1364"/>
    <n v="-15.290000000000006"/>
    <n v="-15.290000000000006"/>
    <n v="0"/>
    <n v="-74.58"/>
    <n v="-74.58"/>
    <n v="0"/>
    <n v="121076.16000000168"/>
    <n v="122440.16000000174"/>
    <n v="1364"/>
    <n v="51213.339999999844"/>
    <n v="26025.459999999825"/>
    <n v="-25187.879999999815"/>
    <n v="69862.81999999976"/>
    <n v="96414.70000000055"/>
    <n v="26551.87999999979"/>
    <n v="-12617.569999999976"/>
    <n v="0"/>
    <n v="12617.569999999976"/>
    <n v="82480.390000000218"/>
    <n v="96414.70000000055"/>
    <n v="13934.310000000029"/>
    <n v="2252"/>
  </r>
  <r>
    <n v="2024"/>
    <n v="6"/>
    <x v="0"/>
    <d v="2024-06-01T00:00:00"/>
    <s v="Rogers"/>
    <x v="0"/>
    <x v="1"/>
    <n v="147259"/>
    <n v="147259"/>
    <n v="0"/>
    <n v="1054.72000000001"/>
    <n v="1054.72000000001"/>
    <n v="0"/>
    <n v="5861.1699999999473"/>
    <n v="5861.1699999999473"/>
    <n v="0"/>
    <n v="-24416.5"/>
    <n v="-23380.25"/>
    <n v="1036.25"/>
    <n v="-10.210000000000001"/>
    <n v="-10.210000000000001"/>
    <n v="0"/>
    <n v="-88.08"/>
    <n v="-96.08"/>
    <n v="-8"/>
    <n v="129660.10000000107"/>
    <n v="130688.35000000107"/>
    <n v="1028.25"/>
    <n v="35317.509999999878"/>
    <n v="18310.909999999931"/>
    <n v="-17006.599999999944"/>
    <n v="94342.590000000288"/>
    <n v="112377.44000000061"/>
    <n v="18034.84999999994"/>
    <n v="-8807.4900000000016"/>
    <n v="0"/>
    <n v="8807.4900000000016"/>
    <n v="103150.0799999999"/>
    <n v="112377.44000000061"/>
    <n v="9227.3599999999915"/>
    <n v="1953"/>
  </r>
  <r>
    <n v="2024"/>
    <n v="6"/>
    <x v="0"/>
    <d v="2024-06-01T00:00:00"/>
    <s v="Rogers"/>
    <x v="0"/>
    <x v="2"/>
    <n v="52568.630000000005"/>
    <n v="52568.630000000005"/>
    <n v="0"/>
    <n v="386.59999999999923"/>
    <n v="411.59999999999872"/>
    <n v="25"/>
    <n v="1208.2200000000005"/>
    <n v="1208.2200000000005"/>
    <n v="0"/>
    <n v="-17864.800000000003"/>
    <n v="-17526.800000000003"/>
    <n v="338"/>
    <n v="0"/>
    <n v="0"/>
    <n v="0"/>
    <n v="-5"/>
    <n v="-5"/>
    <n v="0"/>
    <n v="36293.64999999998"/>
    <n v="36656.649999999987"/>
    <n v="363"/>
    <n v="12741.989999999974"/>
    <n v="7056.1500000000078"/>
    <n v="-5685.8400000000056"/>
    <n v="23551.660000000007"/>
    <n v="29600.5"/>
    <n v="6048.8400000000056"/>
    <n v="-2384.6100000000015"/>
    <n v="0"/>
    <n v="2384.6100000000015"/>
    <n v="25936.269999999986"/>
    <n v="29600.5"/>
    <n v="3664.2299999999996"/>
    <n v="605"/>
  </r>
  <r>
    <n v="2024"/>
    <n v="6"/>
    <x v="0"/>
    <d v="2024-06-01T00:00:00"/>
    <s v="Rogers"/>
    <x v="1"/>
    <x v="3"/>
    <n v="15074.249999999918"/>
    <n v="15074.249999999918"/>
    <n v="0"/>
    <n v="1028.8000000000006"/>
    <n v="1028.8000000000006"/>
    <n v="0"/>
    <n v="0"/>
    <n v="0"/>
    <n v="0"/>
    <n v="-5472.899999999996"/>
    <n v="-5472.899999999996"/>
    <n v="0"/>
    <n v="0"/>
    <n v="0"/>
    <n v="0"/>
    <n v="0"/>
    <n v="0"/>
    <n v="0"/>
    <n v="10630.149999999987"/>
    <n v="10630.149999999987"/>
    <n v="0"/>
    <n v="1645.1700000000012"/>
    <m/>
    <n v="-1645.1700000000012"/>
    <n v="8984.9800000000196"/>
    <n v="10630.149999999987"/>
    <n v="1645.1700000000012"/>
    <n v="3467.0199999999923"/>
    <n v="0"/>
    <n v="-3467.0199999999923"/>
    <n v="5517.9599999999973"/>
    <n v="10630.149999999987"/>
    <n v="5112.189999999996"/>
    <n v="407"/>
  </r>
  <r>
    <n v="2024"/>
    <n v="6"/>
    <x v="0"/>
    <d v="2024-06-01T00:00:00"/>
    <s v="Rogers"/>
    <x v="1"/>
    <x v="4"/>
    <n v="12747.2"/>
    <n v="12747.2"/>
    <n v="0"/>
    <n v="230.79000000000008"/>
    <n v="230.79000000000008"/>
    <n v="0"/>
    <n v="251.86000000000007"/>
    <n v="251.86000000000007"/>
    <n v="0"/>
    <n v="-4688.0499999999984"/>
    <n v="-4660.0499999999984"/>
    <n v="28"/>
    <n v="-22.6"/>
    <n v="-22.6"/>
    <n v="0"/>
    <n v="-5"/>
    <n v="-5"/>
    <n v="0"/>
    <n v="8514.2000000000007"/>
    <n v="8542.1999999999989"/>
    <n v="28"/>
    <n v="1093.05"/>
    <n v="502.21000000000004"/>
    <n v="-590.84"/>
    <n v="7421.15"/>
    <n v="8039.99"/>
    <n v="618.84"/>
    <n v="1408.3500000000001"/>
    <n v="0"/>
    <n v="-1408.3500000000001"/>
    <n v="6012.8000000000029"/>
    <n v="8039.99"/>
    <n v="2027.19"/>
    <n v="164"/>
  </r>
  <r>
    <n v="2024"/>
    <n v="6"/>
    <x v="0"/>
    <d v="2024-06-01T00:00:00"/>
    <s v="Rogers"/>
    <x v="1"/>
    <x v="5"/>
    <n v="35225.25"/>
    <n v="35225.25"/>
    <n v="0"/>
    <n v="600.49999999999909"/>
    <n v="600.49999999999909"/>
    <n v="0"/>
    <n v="1206.2500000000005"/>
    <n v="1190.2600000000004"/>
    <n v="-15.99"/>
    <n v="-10341.1"/>
    <n v="-10033.1"/>
    <n v="308"/>
    <n v="-15"/>
    <n v="-15"/>
    <n v="0"/>
    <n v="-30"/>
    <n v="-30"/>
    <n v="0"/>
    <n v="26645.9"/>
    <n v="26937.909999999996"/>
    <n v="292.01"/>
    <n v="7127.7900000000072"/>
    <n v="3322.4900000000025"/>
    <n v="-3805.300000000002"/>
    <n v="19518.110000000019"/>
    <n v="23615.420000000013"/>
    <n v="4097.3100000000031"/>
    <n v="-1513.9400000000012"/>
    <n v="0"/>
    <n v="1513.9400000000012"/>
    <n v="21032.050000000003"/>
    <n v="23615.420000000013"/>
    <n v="2583.3700000000017"/>
    <n v="396"/>
  </r>
  <r>
    <n v="2024"/>
    <n v="6"/>
    <x v="0"/>
    <d v="2024-06-01T00:00:00"/>
    <s v="Rogers"/>
    <x v="1"/>
    <x v="6"/>
    <n v="13676.300000000052"/>
    <n v="13676.300000000052"/>
    <n v="0"/>
    <n v="22.5"/>
    <n v="35"/>
    <n v="12.5"/>
    <n v="0"/>
    <n v="0"/>
    <n v="0"/>
    <n v="-1194.4499999999998"/>
    <n v="-1194.4499999999998"/>
    <n v="0"/>
    <n v="-4"/>
    <n v="-4"/>
    <n v="0"/>
    <n v="0"/>
    <n v="0"/>
    <n v="0"/>
    <n v="12500.350000000049"/>
    <n v="12512.850000000049"/>
    <n v="12.500000000000014"/>
    <n v="85.73"/>
    <n v="69.069999999999993"/>
    <n v="-16.66"/>
    <n v="12414.62000000005"/>
    <n v="12443.78000000005"/>
    <n v="29.160000000000011"/>
    <n v="1524.5900000000008"/>
    <n v="0"/>
    <n v="-1524.5900000000008"/>
    <n v="10890.030000000037"/>
    <n v="12443.78000000005"/>
    <n v="1553.7500000000009"/>
    <n v="298"/>
  </r>
  <r>
    <n v="2024"/>
    <n v="6"/>
    <x v="1"/>
    <d v="2024-06-02T00:00:00"/>
    <s v="Fido"/>
    <x v="0"/>
    <x v="0"/>
    <n v="142129.75"/>
    <n v="142129.75"/>
    <n v="0"/>
    <n v="1691.9600000000294"/>
    <n v="1691.9600000000294"/>
    <n v="0"/>
    <n v="3044.8199999999856"/>
    <n v="3044.8199999999856"/>
    <n v="0"/>
    <n v="-13747.33"/>
    <n v="-12614.33"/>
    <n v="1133"/>
    <n v="-13.120000000000005"/>
    <n v="-13.120000000000005"/>
    <n v="0"/>
    <n v="-55.5"/>
    <n v="-55.5"/>
    <n v="0"/>
    <n v="133050.58000000182"/>
    <n v="134183.58000000179"/>
    <n v="1133"/>
    <n v="57869.110000000146"/>
    <n v="31790.629999999757"/>
    <n v="-26078.479999999756"/>
    <n v="75181.469999999754"/>
    <n v="102392.95000000087"/>
    <n v="27211.479999999749"/>
    <n v="-15717.48000000001"/>
    <n v="0"/>
    <n v="15717.48000000001"/>
    <n v="90898.949999999852"/>
    <n v="102392.95000000087"/>
    <n v="11494.000000000047"/>
    <n v="2462"/>
  </r>
  <r>
    <n v="2024"/>
    <n v="6"/>
    <x v="1"/>
    <d v="2024-06-03T00:00:00"/>
    <s v="Fido"/>
    <x v="0"/>
    <x v="0"/>
    <n v="144750.25"/>
    <n v="144750.25"/>
    <n v="0"/>
    <n v="1464.2100000000216"/>
    <n v="1457.2100000000214"/>
    <n v="-7"/>
    <n v="3449.5799999999795"/>
    <n v="3436.5899999999797"/>
    <n v="-12.99"/>
    <n v="-14928.25"/>
    <n v="-11976.25"/>
    <n v="2952"/>
    <n v="-10.760000000000002"/>
    <n v="-8.8800000000000008"/>
    <n v="1.8800000000000001"/>
    <n v="-85.2"/>
    <n v="-85.2"/>
    <n v="0"/>
    <n v="134639.83000000176"/>
    <n v="137573.72000000163"/>
    <n v="2933.8900000000003"/>
    <n v="56522.690000000053"/>
    <n v="25035.3599999998"/>
    <n v="-31487.329999999754"/>
    <n v="78117.14"/>
    <n v="112538.36000000114"/>
    <n v="34421.219999999783"/>
    <n v="-12393.599999999999"/>
    <n v="0"/>
    <n v="12393.599999999999"/>
    <n v="90510.740000000238"/>
    <n v="112538.36000000114"/>
    <n v="22027.61999999985"/>
    <n v="2494"/>
  </r>
  <r>
    <n v="2024"/>
    <n v="6"/>
    <x v="1"/>
    <d v="2024-06-04T00:00:00"/>
    <s v="Fido"/>
    <x v="0"/>
    <x v="0"/>
    <n v="136214.75"/>
    <n v="136214.75"/>
    <n v="0"/>
    <n v="1315.7200000000216"/>
    <n v="1308.7200000000216"/>
    <n v="-7.0000000000000009"/>
    <n v="3296.6899999999819"/>
    <n v="3287.6999999999821"/>
    <n v="-8.99"/>
    <n v="-13369.23"/>
    <n v="-12085.73"/>
    <n v="1283.5"/>
    <n v="-7.78"/>
    <n v="-7.3200000000000012"/>
    <n v="0.46"/>
    <n v="-93.49"/>
    <n v="-93.49"/>
    <n v="0"/>
    <n v="127356.66000000134"/>
    <n v="128624.63000000134"/>
    <n v="1267.97"/>
    <n v="51616.870000000192"/>
    <n v="27006.249999999756"/>
    <n v="-24610.619999999799"/>
    <n v="75739.789999999863"/>
    <n v="101618.38000000067"/>
    <n v="25878.589999999804"/>
    <n v="-13154.560000000014"/>
    <n v="0"/>
    <n v="13154.560000000014"/>
    <n v="88894.350000000137"/>
    <n v="101618.38000000067"/>
    <n v="12724.030000000013"/>
    <n v="2352"/>
  </r>
  <r>
    <n v="2024"/>
    <n v="6"/>
    <x v="1"/>
    <d v="2024-06-05T00:00:00"/>
    <s v="Fido"/>
    <x v="0"/>
    <x v="0"/>
    <n v="155756"/>
    <n v="155756"/>
    <n v="0"/>
    <n v="1502.6600000000228"/>
    <n v="1502.6600000000228"/>
    <n v="0"/>
    <n v="3287.6699999999823"/>
    <n v="3287.6699999999823"/>
    <n v="0"/>
    <n v="-15644.230000000001"/>
    <n v="-13865.230000000001"/>
    <n v="1779"/>
    <n v="-7.3000000000000034"/>
    <n v="-7.3000000000000034"/>
    <n v="0"/>
    <n v="-127.98"/>
    <n v="-127.98"/>
    <n v="0"/>
    <n v="144766.82000000123"/>
    <n v="146545.82000000117"/>
    <n v="1779"/>
    <n v="61503.080000000147"/>
    <n v="34884.249999999796"/>
    <n v="-26618.829999999853"/>
    <n v="83263.740000000209"/>
    <n v="111661.57000000108"/>
    <n v="28397.82999999982"/>
    <n v="-17215.929999999971"/>
    <n v="0"/>
    <n v="17215.929999999971"/>
    <n v="100479.67000000039"/>
    <n v="111661.57000000108"/>
    <n v="11181.900000000047"/>
    <n v="2689"/>
  </r>
  <r>
    <n v="2024"/>
    <n v="6"/>
    <x v="1"/>
    <d v="2024-06-06T00:00:00"/>
    <s v="Fido"/>
    <x v="0"/>
    <x v="0"/>
    <n v="166978.25"/>
    <n v="166978.25"/>
    <n v="0"/>
    <n v="1902.8500000000317"/>
    <n v="1902.8500000000315"/>
    <n v="0"/>
    <n v="3220.7399999999825"/>
    <n v="3220.7399999999825"/>
    <n v="0"/>
    <n v="-15702.25"/>
    <n v="-14204"/>
    <n v="1498.25"/>
    <n v="-4.5199999999999996"/>
    <n v="-4.5199999999999996"/>
    <n v="0"/>
    <n v="-140.49"/>
    <n v="-140.49"/>
    <n v="0"/>
    <n v="156254.58000000098"/>
    <n v="157752.83000000092"/>
    <n v="1498.25"/>
    <n v="67944.269999999902"/>
    <n v="33325.46999999971"/>
    <n v="-34618.799999999785"/>
    <n v="88310.310000000565"/>
    <n v="124427.36000000127"/>
    <n v="36117.049999999843"/>
    <n v="-16225.069999999998"/>
    <n v="0"/>
    <n v="16225.069999999998"/>
    <n v="104535.38000000067"/>
    <n v="124427.36000000127"/>
    <n v="19891.97999999988"/>
    <n v="2869"/>
  </r>
  <r>
    <n v="2024"/>
    <n v="6"/>
    <x v="1"/>
    <d v="2024-06-07T00:00:00"/>
    <s v="Fido"/>
    <x v="0"/>
    <x v="0"/>
    <n v="157603"/>
    <n v="157603"/>
    <n v="0"/>
    <n v="1873.3100000000259"/>
    <n v="1873.3100000000259"/>
    <n v="0"/>
    <n v="3072.8799999999851"/>
    <n v="3072.8799999999851"/>
    <n v="0"/>
    <n v="-15223"/>
    <n v="-13213"/>
    <n v="2010"/>
    <n v="-12.450000000000001"/>
    <n v="-12.450000000000001"/>
    <n v="0"/>
    <n v="-66.5"/>
    <n v="-66.5"/>
    <n v="0"/>
    <n v="147247.2400000013"/>
    <n v="149257.24000000133"/>
    <n v="2010"/>
    <n v="65651.090000000127"/>
    <n v="32965.719999999747"/>
    <n v="-32685.369999999752"/>
    <n v="81596.149999999921"/>
    <n v="116291.52000000136"/>
    <n v="34695.369999999777"/>
    <n v="-15947.199999999995"/>
    <n v="0"/>
    <n v="15947.199999999995"/>
    <n v="97543.350000000311"/>
    <n v="116291.52000000136"/>
    <n v="18748.169999999911"/>
    <n v="2722"/>
  </r>
  <r>
    <n v="2024"/>
    <n v="6"/>
    <x v="1"/>
    <d v="2024-06-08T00:00:00"/>
    <s v="Fido"/>
    <x v="0"/>
    <x v="0"/>
    <n v="152356"/>
    <n v="152294"/>
    <n v="-62"/>
    <n v="1831.1500000000315"/>
    <n v="1823.2000000000314"/>
    <n v="-7.95"/>
    <n v="3406.6299999999801"/>
    <n v="3390.6399999999803"/>
    <n v="-15.99"/>
    <n v="-14559.95"/>
    <n v="-12947.95"/>
    <n v="1612"/>
    <n v="-11.490000000000002"/>
    <n v="-11.490000000000002"/>
    <n v="0"/>
    <n v="-75.989999999999995"/>
    <n v="-75.989999999999995"/>
    <n v="0"/>
    <n v="142946.35000000134"/>
    <n v="144472.41000000128"/>
    <n v="1526.06"/>
    <n v="61422.110000000226"/>
    <n v="28694.099999999769"/>
    <n v="-32728.009999999718"/>
    <n v="81524.240000000122"/>
    <n v="115778.31000000112"/>
    <n v="34254.06999999976"/>
    <n v="-13902.489999999994"/>
    <n v="0"/>
    <n v="13902.489999999994"/>
    <n v="95426.730000000316"/>
    <n v="115778.31000000112"/>
    <n v="20351.579999999929"/>
    <n v="2642"/>
  </r>
  <r>
    <n v="2024"/>
    <n v="6"/>
    <x v="1"/>
    <d v="2024-06-02T00:00:00"/>
    <s v="Rogers"/>
    <x v="0"/>
    <x v="1"/>
    <n v="172416"/>
    <n v="172416"/>
    <n v="0"/>
    <n v="1392.2700000000123"/>
    <n v="1392.2700000000123"/>
    <n v="0"/>
    <n v="7307.2599999999265"/>
    <n v="7291.2699999999268"/>
    <n v="-15.99"/>
    <n v="-28360.5"/>
    <n v="-27621.5"/>
    <n v="739"/>
    <n v="-10.200000000000001"/>
    <n v="-10.200000000000001"/>
    <n v="0"/>
    <n v="-117.59"/>
    <n v="-117.59"/>
    <n v="0"/>
    <n v="152627.24000000066"/>
    <n v="153350.25000000061"/>
    <n v="723.01"/>
    <n v="42105.079999999791"/>
    <n v="23871.549999999916"/>
    <n v="-18233.529999999933"/>
    <n v="110522.16000000063"/>
    <n v="129478.710000001"/>
    <n v="18956.549999999934"/>
    <n v="-11495.570000000012"/>
    <n v="0"/>
    <n v="11495.570000000012"/>
    <n v="122017.72999999989"/>
    <n v="129478.710000001"/>
    <n v="7460.9800000000141"/>
    <n v="2244"/>
  </r>
  <r>
    <n v="2024"/>
    <n v="6"/>
    <x v="1"/>
    <d v="2024-06-03T00:00:00"/>
    <s v="Rogers"/>
    <x v="0"/>
    <x v="1"/>
    <n v="168064"/>
    <n v="168064"/>
    <n v="0"/>
    <n v="1161.1000000000133"/>
    <n v="1161.1000000000133"/>
    <n v="0"/>
    <n v="7654.139999999923"/>
    <n v="7654.139999999923"/>
    <n v="0"/>
    <n v="-28549.7"/>
    <n v="-26753.200000000001"/>
    <n v="1796.5"/>
    <n v="-6.9600000000000009"/>
    <n v="-6.9600000000000009"/>
    <n v="0"/>
    <n v="-143.97999999999999"/>
    <n v="-143.97999999999999"/>
    <n v="0"/>
    <n v="148178.60000000073"/>
    <n v="149975.10000000076"/>
    <n v="1796.5"/>
    <n v="42225.78999999979"/>
    <n v="19094.449999999924"/>
    <n v="-23131.339999999942"/>
    <n v="105952.81000000045"/>
    <n v="130880.65000000095"/>
    <n v="24927.839999999949"/>
    <n v="-9309.9500000000062"/>
    <n v="0"/>
    <n v="9309.9500000000062"/>
    <n v="115262.76000000005"/>
    <n v="130880.65000000095"/>
    <n v="15617.88999999989"/>
    <n v="2175"/>
  </r>
  <r>
    <n v="2024"/>
    <n v="6"/>
    <x v="1"/>
    <d v="2024-06-04T00:00:00"/>
    <s v="Rogers"/>
    <x v="0"/>
    <x v="1"/>
    <n v="137267"/>
    <n v="137267"/>
    <n v="0"/>
    <n v="883.81000000000256"/>
    <n v="883.81000000000256"/>
    <n v="0"/>
    <n v="5890.1999999999462"/>
    <n v="5890.1999999999462"/>
    <n v="0"/>
    <n v="-23164.65"/>
    <n v="-22264.65"/>
    <n v="900"/>
    <n v="-11.91"/>
    <n v="-11.91"/>
    <n v="0"/>
    <n v="-111"/>
    <n v="-111"/>
    <n v="0"/>
    <n v="120753.45000000058"/>
    <n v="121653.45000000061"/>
    <n v="900"/>
    <n v="34876.089999999895"/>
    <n v="16108.519999999942"/>
    <n v="-18767.569999999942"/>
    <n v="85877.36000000019"/>
    <n v="105544.93000000027"/>
    <n v="19667.569999999934"/>
    <n v="-7571.7999999999975"/>
    <n v="0"/>
    <n v="7571.7999999999975"/>
    <n v="93449.160000000033"/>
    <n v="105544.93000000027"/>
    <n v="12095.769999999944"/>
    <n v="1763"/>
  </r>
  <r>
    <n v="2024"/>
    <n v="6"/>
    <x v="1"/>
    <d v="2024-06-05T00:00:00"/>
    <s v="Rogers"/>
    <x v="0"/>
    <x v="1"/>
    <n v="159396"/>
    <n v="159396"/>
    <n v="0"/>
    <n v="1129.9300000000135"/>
    <n v="1129.9300000000135"/>
    <n v="0"/>
    <n v="6358.9299999999412"/>
    <n v="6339.9399999999423"/>
    <n v="-18.990000000000002"/>
    <n v="-26098.950000000004"/>
    <n v="-25083.950000000004"/>
    <n v="1015"/>
    <n v="-28.540000000000003"/>
    <n v="-28.540000000000003"/>
    <n v="0"/>
    <n v="-155.69"/>
    <n v="-149.99"/>
    <n v="5.7"/>
    <n v="140601.68000000066"/>
    <n v="141603.3900000006"/>
    <n v="1001.71"/>
    <n v="40560.229999999763"/>
    <n v="24648.299999999945"/>
    <n v="-15911.929999999969"/>
    <n v="100041.45000000035"/>
    <n v="116955.09000000058"/>
    <n v="16913.639999999967"/>
    <n v="-11930.200000000013"/>
    <n v="0"/>
    <n v="11930.200000000013"/>
    <n v="111971.6500000001"/>
    <n v="116955.09000000058"/>
    <n v="4983.440000000016"/>
    <n v="2037"/>
  </r>
  <r>
    <n v="2024"/>
    <n v="6"/>
    <x v="1"/>
    <d v="2024-06-06T00:00:00"/>
    <s v="Rogers"/>
    <x v="0"/>
    <x v="1"/>
    <n v="181794"/>
    <n v="181794"/>
    <n v="0"/>
    <n v="1415.5900000000097"/>
    <n v="1415.5900000000097"/>
    <n v="0"/>
    <n v="7126.4099999999307"/>
    <n v="7126.4099999999307"/>
    <n v="0"/>
    <n v="-29312"/>
    <n v="-27940.75"/>
    <n v="1371.25"/>
    <n v="-15.959999999999999"/>
    <n v="-15.959999999999999"/>
    <n v="0"/>
    <n v="-119.7"/>
    <n v="-119.7"/>
    <n v="0"/>
    <n v="160888.34000000035"/>
    <n v="162259.59000000035"/>
    <n v="1371.25"/>
    <n v="48016.209999999774"/>
    <n v="24333.679999999906"/>
    <n v="-23682.529999999922"/>
    <n v="112872.13000000041"/>
    <n v="137925.91000000076"/>
    <n v="25053.779999999922"/>
    <n v="-11686.900000000016"/>
    <n v="0"/>
    <n v="11686.900000000016"/>
    <n v="124559.03000000003"/>
    <n v="137925.91000000076"/>
    <n v="13366.87999999993"/>
    <n v="2346"/>
  </r>
  <r>
    <n v="2024"/>
    <n v="6"/>
    <x v="1"/>
    <d v="2024-06-07T00:00:00"/>
    <s v="Rogers"/>
    <x v="0"/>
    <x v="1"/>
    <n v="177193.5"/>
    <n v="177193.5"/>
    <n v="0"/>
    <n v="1342.3200000000163"/>
    <n v="1342.3200000000163"/>
    <n v="0"/>
    <n v="7188.3799999999292"/>
    <n v="7156.3999999999296"/>
    <n v="-31.98"/>
    <n v="-28378"/>
    <n v="-27290.5"/>
    <n v="1087.5"/>
    <n v="-12.110000000000003"/>
    <n v="-12.110000000000003"/>
    <n v="0"/>
    <n v="-153.59"/>
    <n v="-153.59"/>
    <n v="0"/>
    <n v="157180.50000000044"/>
    <n v="158236.0200000004"/>
    <n v="1055.52"/>
    <n v="47166.439999999653"/>
    <n v="23652.829999999954"/>
    <n v="-23513.609999999935"/>
    <n v="110014.06000000033"/>
    <n v="134583.19000000061"/>
    <n v="24569.129999999932"/>
    <n v="-11054.220000000036"/>
    <n v="0"/>
    <n v="11054.220000000036"/>
    <n v="121068.27999999955"/>
    <n v="134583.19000000061"/>
    <n v="13514.909999999922"/>
    <n v="2283"/>
  </r>
  <r>
    <n v="2024"/>
    <n v="6"/>
    <x v="1"/>
    <d v="2024-06-08T00:00:00"/>
    <s v="Rogers"/>
    <x v="0"/>
    <x v="1"/>
    <n v="179093"/>
    <n v="179093"/>
    <n v="0"/>
    <n v="1233.6000000000099"/>
    <n v="1233.6000000000099"/>
    <n v="0"/>
    <n v="7092.4099999999298"/>
    <n v="7044.4399999999305"/>
    <n v="-47.97"/>
    <n v="-29761.3"/>
    <n v="-28646.3"/>
    <n v="1115"/>
    <n v="-9.8200000000000021"/>
    <n v="-9.8200000000000021"/>
    <n v="0"/>
    <n v="-140.49"/>
    <n v="-140.49"/>
    <n v="0"/>
    <n v="157507.40000000072"/>
    <n v="158574.43000000075"/>
    <n v="1067.03"/>
    <n v="46460.929999999782"/>
    <n v="23254.599999999908"/>
    <n v="-23206.329999999936"/>
    <n v="111046.47000000029"/>
    <n v="135319.8300000006"/>
    <n v="24273.359999999939"/>
    <n v="-11058.330000000025"/>
    <n v="0"/>
    <n v="11058.330000000025"/>
    <n v="122104.80000000008"/>
    <n v="135319.8300000006"/>
    <n v="13215.029999999933"/>
    <n v="2291"/>
  </r>
  <r>
    <n v="2024"/>
    <n v="6"/>
    <x v="1"/>
    <d v="2024-06-02T00:00:00"/>
    <s v="Rogers"/>
    <x v="0"/>
    <x v="2"/>
    <n v="62581.98"/>
    <n v="62581.98"/>
    <n v="0"/>
    <n v="289.57999999999981"/>
    <n v="289.57999999999981"/>
    <n v="0"/>
    <n v="1288.1600000000005"/>
    <n v="1288.1600000000005"/>
    <n v="0"/>
    <n v="-21614.53"/>
    <n v="-21516.03"/>
    <n v="98.5"/>
    <n v="-1"/>
    <n v="-1"/>
    <n v="0"/>
    <n v="-5"/>
    <n v="-5"/>
    <n v="0"/>
    <n v="42539.18999999993"/>
    <n v="42637.689999999922"/>
    <n v="98.500000000000028"/>
    <n v="15682.979999999947"/>
    <n v="8628.1600000000053"/>
    <n v="-7054.820000000007"/>
    <n v="26856.210000000039"/>
    <n v="34009.53000000005"/>
    <n v="7153.320000000007"/>
    <n v="-2895.7900000000018"/>
    <n v="0"/>
    <n v="2895.7900000000018"/>
    <n v="29752.000000000051"/>
    <n v="34009.53000000005"/>
    <n v="4257.5300000000034"/>
    <n v="717"/>
  </r>
  <r>
    <n v="2024"/>
    <n v="6"/>
    <x v="1"/>
    <d v="2024-06-03T00:00:00"/>
    <s v="Rogers"/>
    <x v="0"/>
    <x v="2"/>
    <n v="55464.44"/>
    <n v="55464.44"/>
    <n v="0"/>
    <n v="286.64000000000021"/>
    <n v="286.64000000000021"/>
    <n v="0"/>
    <n v="1694.9100000000008"/>
    <n v="1694.9100000000008"/>
    <n v="0"/>
    <n v="-19727.140000000003"/>
    <n v="-19104.140000000007"/>
    <n v="623"/>
    <n v="-1.97"/>
    <n v="-1.97"/>
    <n v="0"/>
    <n v="-30.990000000000002"/>
    <n v="-30.990000000000002"/>
    <n v="0"/>
    <n v="37685.889999999978"/>
    <n v="38308.88999999997"/>
    <n v="623"/>
    <n v="13742.739999999967"/>
    <n v="5489.5900000000056"/>
    <n v="-8253.1500000000087"/>
    <n v="23943.150000000023"/>
    <n v="32819.30000000001"/>
    <n v="8876.1500000000069"/>
    <n v="-2099.630000000001"/>
    <n v="0"/>
    <n v="2099.630000000001"/>
    <n v="26042.78"/>
    <n v="32819.30000000001"/>
    <n v="6776.5200000000104"/>
    <n v="616"/>
  </r>
  <r>
    <n v="2024"/>
    <n v="6"/>
    <x v="1"/>
    <d v="2024-06-04T00:00:00"/>
    <s v="Rogers"/>
    <x v="0"/>
    <x v="2"/>
    <n v="40292.6"/>
    <n v="40292.6"/>
    <n v="0"/>
    <n v="203.37999999999985"/>
    <n v="203.37999999999985"/>
    <n v="0"/>
    <n v="1201.2300000000005"/>
    <n v="1201.2300000000005"/>
    <n v="0"/>
    <n v="-14365.899999999998"/>
    <n v="-14093.899999999998"/>
    <n v="272"/>
    <n v="-0.97"/>
    <n v="-0.97"/>
    <n v="0"/>
    <n v="-20.990000000000002"/>
    <n v="-20.990000000000002"/>
    <n v="0"/>
    <n v="27309.350000000024"/>
    <n v="27581.350000000024"/>
    <n v="272"/>
    <n v="9646.3099999999959"/>
    <n v="4271.6900000000041"/>
    <n v="-5374.6200000000063"/>
    <n v="17663.040000000023"/>
    <n v="23309.66000000004"/>
    <n v="5646.6200000000063"/>
    <n v="-1697.9200000000008"/>
    <n v="0"/>
    <n v="1697.9200000000008"/>
    <n v="19360.960000000021"/>
    <n v="23309.66000000004"/>
    <n v="3948.7000000000035"/>
    <n v="447"/>
  </r>
  <r>
    <n v="2024"/>
    <n v="6"/>
    <x v="1"/>
    <d v="2024-06-05T00:00:00"/>
    <s v="Rogers"/>
    <x v="0"/>
    <x v="2"/>
    <n v="50613.08"/>
    <n v="50613.08"/>
    <n v="0"/>
    <n v="224.97999999999996"/>
    <n v="224.97999999999996"/>
    <n v="0"/>
    <n v="1228.2400000000005"/>
    <n v="1215.2500000000005"/>
    <n v="-12.99"/>
    <n v="-17627.340000000004"/>
    <n v="-17251.13"/>
    <n v="376.21"/>
    <n v="0"/>
    <n v="0"/>
    <n v="0"/>
    <n v="-10"/>
    <n v="-10"/>
    <n v="0"/>
    <n v="34428.959999999985"/>
    <n v="34792.179999999993"/>
    <n v="363.21999999999997"/>
    <n v="11819.319999999978"/>
    <n v="7556.5400000000081"/>
    <n v="-4262.7800000000061"/>
    <n v="22609.640000000029"/>
    <n v="27235.640000000021"/>
    <n v="4626.0000000000064"/>
    <n v="-2497.2499999999995"/>
    <n v="0"/>
    <n v="2497.2499999999995"/>
    <n v="25106.890000000039"/>
    <n v="27235.640000000021"/>
    <n v="2128.7500000000009"/>
    <n v="571"/>
  </r>
  <r>
    <n v="2024"/>
    <n v="6"/>
    <x v="1"/>
    <d v="2024-06-06T00:00:00"/>
    <s v="Rogers"/>
    <x v="0"/>
    <x v="2"/>
    <n v="61487.51"/>
    <n v="61487.51"/>
    <n v="0"/>
    <n v="326.67999999999944"/>
    <n v="326.67999999999944"/>
    <n v="0"/>
    <n v="1286.1900000000005"/>
    <n v="1270.2000000000005"/>
    <n v="-15.99"/>
    <n v="-20784.05"/>
    <n v="-20147.84"/>
    <n v="636.21"/>
    <n v="0"/>
    <n v="0"/>
    <n v="0"/>
    <n v="-20"/>
    <n v="-20"/>
    <n v="0"/>
    <n v="42296.329999999914"/>
    <n v="42916.549999999901"/>
    <n v="620.22"/>
    <n v="16375.119999999943"/>
    <n v="9094.2400000000034"/>
    <n v="-7280.8800000000083"/>
    <n v="25921.210000000065"/>
    <n v="33822.310000000012"/>
    <n v="7901.1000000000085"/>
    <n v="-3060.739999999998"/>
    <n v="0"/>
    <n v="3060.739999999998"/>
    <n v="28981.950000000008"/>
    <n v="33822.310000000012"/>
    <n v="4840.3600000000097"/>
    <n v="695"/>
  </r>
  <r>
    <n v="2024"/>
    <n v="6"/>
    <x v="1"/>
    <d v="2024-06-07T00:00:00"/>
    <s v="Rogers"/>
    <x v="0"/>
    <x v="2"/>
    <n v="68374.399999999994"/>
    <n v="68374.399999999994"/>
    <n v="0"/>
    <n v="528.26999999999839"/>
    <n v="528.26999999999839"/>
    <n v="0"/>
    <n v="1376.1200000000006"/>
    <n v="1376.1200000000006"/>
    <n v="0"/>
    <n v="-22998.25"/>
    <n v="-22520.25"/>
    <n v="478"/>
    <n v="-7"/>
    <n v="-7"/>
    <n v="0"/>
    <n v="-20"/>
    <n v="-20"/>
    <n v="0"/>
    <n v="47253.539999999884"/>
    <n v="47731.539999999877"/>
    <n v="478"/>
    <n v="17766.289999999946"/>
    <n v="8996.8200000000033"/>
    <n v="-8769.4700000000048"/>
    <n v="29487.250000000065"/>
    <n v="38734.719999999965"/>
    <n v="9247.4700000000048"/>
    <n v="-2972.760000000002"/>
    <n v="14.26"/>
    <n v="2987.0200000000018"/>
    <n v="32460.010000000035"/>
    <n v="38720.459999999955"/>
    <n v="6260.450000000008"/>
    <n v="783"/>
  </r>
  <r>
    <n v="2024"/>
    <n v="6"/>
    <x v="1"/>
    <d v="2024-06-08T00:00:00"/>
    <s v="Rogers"/>
    <x v="0"/>
    <x v="2"/>
    <n v="69862.759999999995"/>
    <n v="69862.759999999995"/>
    <n v="0"/>
    <n v="338.74999999999926"/>
    <n v="338.74999999999926"/>
    <n v="0"/>
    <n v="1641.9600000000007"/>
    <n v="1625.9700000000007"/>
    <n v="-15.99"/>
    <n v="-23609.38"/>
    <n v="-23161.38"/>
    <n v="448"/>
    <n v="-7"/>
    <n v="-7"/>
    <n v="0"/>
    <n v="-30.7"/>
    <n v="-30.7"/>
    <n v="0"/>
    <n v="48196.389999999876"/>
    <n v="48628.399999999863"/>
    <n v="432.01"/>
    <n v="17441.439999999951"/>
    <n v="8716.2300000000014"/>
    <n v="-8725.2100000000009"/>
    <n v="30754.950000000037"/>
    <n v="39912.169999999955"/>
    <n v="9157.2199999999975"/>
    <n v="-2807.1799999999944"/>
    <n v="0"/>
    <n v="2807.1799999999944"/>
    <n v="33562.130000000019"/>
    <n v="39912.169999999955"/>
    <n v="6350.0400000000036"/>
    <n v="808"/>
  </r>
  <r>
    <n v="2024"/>
    <n v="6"/>
    <x v="1"/>
    <d v="2024-06-02T00:00:00"/>
    <s v="Rogers"/>
    <x v="1"/>
    <x v="3"/>
    <n v="31251.099999999897"/>
    <n v="31251.099999999897"/>
    <n v="0"/>
    <n v="1565.1200000000015"/>
    <n v="2209.8200000000015"/>
    <n v="644.70000000000005"/>
    <n v="127.91999999999999"/>
    <n v="127.91999999999999"/>
    <n v="0"/>
    <n v="-7067.5000000000045"/>
    <n v="-7067.5000000000045"/>
    <n v="0"/>
    <n v="-32.5"/>
    <n v="-32.5"/>
    <n v="0"/>
    <n v="0"/>
    <n v="0"/>
    <n v="0"/>
    <n v="25844.139999999956"/>
    <n v="26488.839999999967"/>
    <n v="644.70000000000005"/>
    <n v="30"/>
    <n v="30"/>
    <n v="0"/>
    <n v="25814.139999999956"/>
    <n v="26458.839999999967"/>
    <n v="644.70000000000005"/>
    <n v="6296.2999999999975"/>
    <n v="0"/>
    <n v="-6296.2999999999975"/>
    <n v="19517.840000000117"/>
    <n v="26458.839999999967"/>
    <n v="6940.9999999999964"/>
    <n v="683"/>
  </r>
  <r>
    <n v="2024"/>
    <n v="6"/>
    <x v="1"/>
    <d v="2024-06-03T00:00:00"/>
    <s v="Rogers"/>
    <x v="1"/>
    <x v="3"/>
    <n v="11120.65"/>
    <n v="11120.65"/>
    <n v="0"/>
    <n v="72.62"/>
    <n v="72.62"/>
    <n v="0"/>
    <n v="1166.2800000000004"/>
    <n v="1166.2800000000004"/>
    <n v="0"/>
    <n v="-3838.400000000006"/>
    <n v="-3838.400000000006"/>
    <n v="0"/>
    <n v="0"/>
    <n v="0"/>
    <n v="0"/>
    <n v="0"/>
    <n v="0"/>
    <n v="0"/>
    <n v="8521.1500000000124"/>
    <n v="8521.1500000000124"/>
    <n v="0"/>
    <n v="88.25"/>
    <n v="58.25"/>
    <n v="-30"/>
    <n v="8432.9000000000124"/>
    <n v="8462.9000000000124"/>
    <n v="30"/>
    <n v="2194.2799999999979"/>
    <n v="0"/>
    <n v="-2194.2799999999979"/>
    <n v="6238.6199999999972"/>
    <n v="8462.9000000000124"/>
    <n v="2224.2799999999993"/>
    <n v="143"/>
  </r>
  <r>
    <n v="2024"/>
    <n v="6"/>
    <x v="1"/>
    <d v="2024-06-04T00:00:00"/>
    <s v="Rogers"/>
    <x v="1"/>
    <x v="3"/>
    <n v="852"/>
    <n v="852"/>
    <n v="0"/>
    <n v="0"/>
    <n v="0"/>
    <n v="0"/>
    <n v="0"/>
    <n v="0"/>
    <n v="0"/>
    <n v="-275.64999999999998"/>
    <n v="-275.64999999999998"/>
    <n v="0"/>
    <n v="0"/>
    <n v="0"/>
    <n v="0"/>
    <n v="0"/>
    <n v="0"/>
    <n v="0"/>
    <n v="576.35"/>
    <n v="576.35"/>
    <n v="0"/>
    <n v="85.75"/>
    <n v="27.5"/>
    <n v="-58.25"/>
    <n v="490.6"/>
    <n v="548.85"/>
    <n v="58.25"/>
    <n v="86.350000000000023"/>
    <n v="0"/>
    <n v="-86.350000000000023"/>
    <n v="404.25"/>
    <n v="548.85"/>
    <n v="144.60000000000002"/>
    <n v="10"/>
  </r>
  <r>
    <n v="2024"/>
    <n v="6"/>
    <x v="1"/>
    <d v="2024-06-05T00:00:00"/>
    <s v="Rogers"/>
    <x v="1"/>
    <x v="3"/>
    <n v="3699.7000000000089"/>
    <n v="3699.7000000000089"/>
    <n v="0"/>
    <n v="370.39999999999992"/>
    <n v="370.39999999999992"/>
    <n v="0"/>
    <n v="15.99"/>
    <n v="15.99"/>
    <n v="0"/>
    <n v="-528.09999999999991"/>
    <n v="-528.09999999999991"/>
    <n v="0"/>
    <n v="0"/>
    <n v="0"/>
    <n v="0"/>
    <n v="0"/>
    <n v="0"/>
    <n v="0"/>
    <n v="3557.9900000000061"/>
    <n v="3557.9900000000061"/>
    <n v="0"/>
    <n v="54.59"/>
    <n v="27.09"/>
    <n v="-27.5"/>
    <n v="3503.400000000006"/>
    <n v="3530.900000000006"/>
    <n v="27.5"/>
    <n v="1106.8999999999996"/>
    <n v="0"/>
    <n v="-1106.8999999999996"/>
    <n v="2396.5"/>
    <n v="3530.900000000006"/>
    <n v="1134.3999999999996"/>
    <n v="126"/>
  </r>
  <r>
    <n v="2024"/>
    <n v="6"/>
    <x v="1"/>
    <d v="2024-06-06T00:00:00"/>
    <s v="Rogers"/>
    <x v="1"/>
    <x v="3"/>
    <n v="7306.5300000000125"/>
    <n v="7306.5300000000125"/>
    <n v="0"/>
    <n v="768.60000000000025"/>
    <n v="768.60000000000025"/>
    <n v="0"/>
    <n v="24.98"/>
    <n v="24.98"/>
    <n v="0"/>
    <n v="-1034.7500000000002"/>
    <n v="-1026.7500000000002"/>
    <n v="8"/>
    <n v="0"/>
    <n v="0"/>
    <n v="0"/>
    <n v="0"/>
    <n v="0"/>
    <n v="0"/>
    <n v="7065.3600000000097"/>
    <n v="7073.3600000000097"/>
    <n v="8"/>
    <n v="28.759999999999998"/>
    <m/>
    <n v="-28.759999999999998"/>
    <n v="7036.6000000000095"/>
    <n v="7073.3600000000097"/>
    <n v="36.76"/>
    <n v="2354.9599999999982"/>
    <n v="21.34"/>
    <n v="-2333.619999999999"/>
    <n v="4681.6400000000012"/>
    <n v="7052.0200000000104"/>
    <n v="2370.3799999999983"/>
    <n v="277"/>
  </r>
  <r>
    <n v="2024"/>
    <n v="6"/>
    <x v="1"/>
    <d v="2024-06-07T00:00:00"/>
    <s v="Rogers"/>
    <x v="1"/>
    <x v="3"/>
    <n v="13073.549999999936"/>
    <n v="13073.549999999936"/>
    <n v="0"/>
    <n v="765.00000000000023"/>
    <n v="765.00000000000023"/>
    <n v="0"/>
    <n v="50.97"/>
    <n v="50.97"/>
    <n v="0"/>
    <n v="-5631.8899999999967"/>
    <n v="-5631.8899999999967"/>
    <n v="0"/>
    <n v="-17.630000000000003"/>
    <n v="-17.630000000000003"/>
    <n v="0"/>
    <n v="0"/>
    <n v="0"/>
    <n v="0"/>
    <n v="8240.0000000000218"/>
    <n v="8240.0000000000218"/>
    <n v="0"/>
    <n v="1785.7400000000014"/>
    <n v="1785.7400000000014"/>
    <n v="0"/>
    <n v="6454.2600000000184"/>
    <n v="6454.2600000000184"/>
    <n v="0"/>
    <n v="1905.2899999999952"/>
    <n v="0"/>
    <n v="-1905.2899999999952"/>
    <n v="4548.9699999999957"/>
    <n v="6454.2600000000184"/>
    <n v="1905.289999999995"/>
    <n v="312"/>
  </r>
  <r>
    <n v="2024"/>
    <n v="6"/>
    <x v="1"/>
    <d v="2024-06-08T00:00:00"/>
    <s v="Rogers"/>
    <x v="1"/>
    <x v="3"/>
    <n v="14265.649999999994"/>
    <n v="14265.649999999994"/>
    <n v="0"/>
    <n v="680.60000000000025"/>
    <n v="711.3000000000003"/>
    <n v="30.7"/>
    <n v="59.960000000000008"/>
    <n v="59.960000000000008"/>
    <n v="0"/>
    <n v="-5777.6399999999985"/>
    <n v="-5777.6399999999985"/>
    <n v="0"/>
    <n v="0"/>
    <n v="0"/>
    <n v="0"/>
    <n v="0"/>
    <n v="0"/>
    <n v="0"/>
    <n v="9228.570000000007"/>
    <n v="9259.2700000000059"/>
    <n v="30.7"/>
    <n v="1815.4600000000014"/>
    <n v="29.720000000000002"/>
    <n v="-1785.7400000000016"/>
    <n v="7413.110000000006"/>
    <n v="9229.5500000000084"/>
    <n v="1816.4400000000014"/>
    <n v="2660.9599999999991"/>
    <n v="0"/>
    <n v="-2660.9599999999991"/>
    <n v="4752.1499999999951"/>
    <n v="9229.5500000000084"/>
    <n v="4477.399999999996"/>
    <n v="334"/>
  </r>
  <r>
    <n v="2024"/>
    <n v="6"/>
    <x v="1"/>
    <d v="2024-06-02T00:00:00"/>
    <s v="Rogers"/>
    <x v="1"/>
    <x v="4"/>
    <n v="16615.199999999997"/>
    <n v="16615.199999999997"/>
    <n v="0"/>
    <n v="321.37"/>
    <n v="321.37"/>
    <n v="0"/>
    <n v="221.87000000000003"/>
    <n v="221.87000000000003"/>
    <n v="0"/>
    <n v="-5363.77"/>
    <n v="-5328.77"/>
    <n v="35"/>
    <n v="-30.1"/>
    <n v="-30.1"/>
    <n v="0"/>
    <n v="-20.990000000000002"/>
    <n v="-20.990000000000002"/>
    <n v="0"/>
    <n v="11743.579999999998"/>
    <n v="11778.579999999998"/>
    <n v="35"/>
    <n v="805.2"/>
    <n v="334.53"/>
    <n v="-470.67"/>
    <n v="10938.379999999997"/>
    <n v="11444.05"/>
    <n v="505.67000000000007"/>
    <n v="2010.7199999999989"/>
    <n v="0"/>
    <n v="-2010.7199999999989"/>
    <n v="8927.6599999999962"/>
    <n v="11444.05"/>
    <n v="2516.389999999999"/>
    <n v="248"/>
  </r>
  <r>
    <n v="2024"/>
    <n v="6"/>
    <x v="1"/>
    <d v="2024-06-03T00:00:00"/>
    <s v="Rogers"/>
    <x v="1"/>
    <x v="4"/>
    <n v="9658"/>
    <n v="9658"/>
    <n v="0"/>
    <n v="164.97000000000003"/>
    <n v="164.97000000000003"/>
    <n v="0"/>
    <n v="91.95"/>
    <n v="91.95"/>
    <n v="0"/>
    <n v="-3523.7000000000007"/>
    <n v="-3512.7000000000007"/>
    <n v="11"/>
    <n v="-31.25"/>
    <n v="-31.25"/>
    <n v="0"/>
    <n v="-15.99"/>
    <n v="-15.99"/>
    <n v="0"/>
    <n v="6343.9800000000014"/>
    <n v="6354.9800000000014"/>
    <n v="11"/>
    <n v="485.22999999999996"/>
    <n v="180"/>
    <n v="-305.23"/>
    <n v="5858.7500000000018"/>
    <n v="6174.9800000000014"/>
    <n v="316.23"/>
    <n v="1090.2700000000004"/>
    <n v="0"/>
    <n v="-1090.2700000000004"/>
    <n v="4768.4800000000005"/>
    <n v="6174.9800000000014"/>
    <n v="1406.4999999999995"/>
    <n v="118"/>
  </r>
  <r>
    <n v="2024"/>
    <n v="6"/>
    <x v="1"/>
    <d v="2024-06-04T00:00:00"/>
    <s v="Rogers"/>
    <x v="1"/>
    <x v="4"/>
    <n v="1941"/>
    <n v="1941"/>
    <n v="0"/>
    <n v="24.82"/>
    <n v="24.82"/>
    <n v="0"/>
    <n v="0"/>
    <n v="0"/>
    <n v="0"/>
    <n v="-825.95"/>
    <n v="-825.95"/>
    <n v="0"/>
    <n v="0"/>
    <n v="0"/>
    <n v="0"/>
    <n v="0"/>
    <n v="0"/>
    <n v="0"/>
    <n v="1139.8700000000001"/>
    <n v="1139.8700000000001"/>
    <n v="0"/>
    <n v="315.06"/>
    <n v="117.5"/>
    <n v="-197.56"/>
    <n v="824.81000000000006"/>
    <n v="1022.3700000000001"/>
    <n v="197.56"/>
    <n v="-36.519999999999996"/>
    <n v="2.87"/>
    <n v="39.39"/>
    <n v="861.32999999999993"/>
    <n v="1019.5000000000001"/>
    <n v="158.17000000000004"/>
    <n v="22"/>
  </r>
  <r>
    <n v="2024"/>
    <n v="6"/>
    <x v="1"/>
    <d v="2024-06-05T00:00:00"/>
    <s v="Rogers"/>
    <x v="1"/>
    <x v="4"/>
    <n v="5295.15"/>
    <n v="5295.15"/>
    <n v="0"/>
    <n v="64.59"/>
    <n v="64.59"/>
    <n v="0"/>
    <n v="76.960000000000008"/>
    <n v="76.960000000000008"/>
    <n v="0"/>
    <n v="-2089.5500000000002"/>
    <n v="-2082.5500000000002"/>
    <n v="7"/>
    <n v="-5"/>
    <n v="-5"/>
    <n v="0"/>
    <n v="0"/>
    <n v="0"/>
    <n v="0"/>
    <n v="3342.1499999999992"/>
    <n v="3349.1499999999996"/>
    <n v="7"/>
    <n v="387.64000000000004"/>
    <n v="270.14"/>
    <n v="-117.5"/>
    <n v="2954.5099999999993"/>
    <n v="3079.0099999999993"/>
    <n v="124.5"/>
    <n v="507.77000000000032"/>
    <n v="0"/>
    <n v="-507.77000000000032"/>
    <n v="2446.7399999999998"/>
    <n v="3079.0099999999993"/>
    <n v="632.2700000000001"/>
    <n v="59"/>
  </r>
  <r>
    <n v="2024"/>
    <n v="6"/>
    <x v="1"/>
    <d v="2024-06-06T00:00:00"/>
    <s v="Rogers"/>
    <x v="1"/>
    <x v="4"/>
    <n v="24209.35"/>
    <n v="24209.35"/>
    <n v="0"/>
    <n v="287.62999999999994"/>
    <n v="287.62999999999994"/>
    <n v="0"/>
    <n v="252.86000000000007"/>
    <n v="252.86000000000007"/>
    <n v="0"/>
    <n v="-9845.9499999999862"/>
    <n v="-9820.4499999999862"/>
    <n v="25.5"/>
    <n v="-33.799999999999997"/>
    <n v="-33.799999999999997"/>
    <n v="0"/>
    <n v="0"/>
    <n v="0"/>
    <n v="0"/>
    <n v="14870.089999999975"/>
    <n v="14895.589999999975"/>
    <n v="25.499999999999993"/>
    <n v="1180.1099999999997"/>
    <n v="941.73999999999967"/>
    <n v="-238.37"/>
    <n v="13689.979999999992"/>
    <n v="13953.849999999989"/>
    <n v="263.87"/>
    <n v="2512.8700000000026"/>
    <n v="7.03"/>
    <n v="-2505.8400000000024"/>
    <n v="11177.110000000022"/>
    <n v="13946.819999999989"/>
    <n v="2769.71"/>
    <n v="293"/>
  </r>
  <r>
    <n v="2024"/>
    <n v="6"/>
    <x v="1"/>
    <d v="2024-06-07T00:00:00"/>
    <s v="Rogers"/>
    <x v="1"/>
    <x v="4"/>
    <n v="25157.599999999999"/>
    <n v="25157.599999999999"/>
    <n v="0"/>
    <n v="329.23999999999984"/>
    <n v="329.23999999999984"/>
    <n v="0"/>
    <n v="216.87000000000003"/>
    <n v="216.87000000000003"/>
    <n v="0"/>
    <n v="-10052.899999999998"/>
    <n v="-10012.899999999998"/>
    <n v="40"/>
    <n v="-25"/>
    <n v="-25"/>
    <n v="0"/>
    <n v="-5"/>
    <n v="-5"/>
    <n v="0"/>
    <n v="15620.809999999959"/>
    <n v="15660.809999999959"/>
    <n v="40"/>
    <n v="1537.6699999999996"/>
    <n v="570.04999999999995"/>
    <n v="-967.61999999999989"/>
    <n v="14083.139999999981"/>
    <n v="15090.759999999966"/>
    <n v="1007.6199999999998"/>
    <n v="2568.3199999999983"/>
    <n v="-7.48"/>
    <n v="-2575.7999999999979"/>
    <n v="11514.820000000011"/>
    <n v="15098.239999999965"/>
    <n v="3583.42"/>
    <n v="296"/>
  </r>
  <r>
    <n v="2024"/>
    <n v="6"/>
    <x v="1"/>
    <d v="2024-06-08T00:00:00"/>
    <s v="Rogers"/>
    <x v="1"/>
    <x v="4"/>
    <n v="15301.8"/>
    <n v="15301.8"/>
    <n v="0"/>
    <n v="191.73"/>
    <n v="191.73"/>
    <n v="0"/>
    <n v="178.91000000000003"/>
    <n v="178.91000000000003"/>
    <n v="0"/>
    <n v="-5622.2499999999973"/>
    <n v="-5564.2499999999973"/>
    <n v="58"/>
    <n v="-13.7"/>
    <n v="-13.7"/>
    <n v="0"/>
    <n v="-10"/>
    <n v="-10"/>
    <n v="0"/>
    <n v="10026.489999999994"/>
    <n v="10084.489999999994"/>
    <n v="58"/>
    <n v="1006.9399999999998"/>
    <n v="441.31000000000006"/>
    <n v="-565.63"/>
    <n v="9019.5499999999993"/>
    <n v="9643.1799999999985"/>
    <n v="623.63"/>
    <n v="1476.3099999999997"/>
    <n v="0"/>
    <n v="-1476.3099999999997"/>
    <n v="7543.2400000000034"/>
    <n v="9643.1799999999985"/>
    <n v="2099.940000000001"/>
    <n v="195"/>
  </r>
  <r>
    <n v="2024"/>
    <n v="6"/>
    <x v="1"/>
    <d v="2024-06-02T00:00:00"/>
    <s v="Rogers"/>
    <x v="1"/>
    <x v="5"/>
    <n v="39994.449999999997"/>
    <n v="39994.449999999997"/>
    <n v="0"/>
    <n v="859.95000000000039"/>
    <n v="859.95000000000039"/>
    <n v="0"/>
    <n v="1699.9700000000007"/>
    <n v="1699.9700000000007"/>
    <n v="0"/>
    <n v="-11725.59"/>
    <n v="-11443.59"/>
    <n v="282"/>
    <n v="-20"/>
    <n v="-20"/>
    <n v="0"/>
    <n v="-40"/>
    <n v="-40"/>
    <n v="0"/>
    <n v="30768.780000000042"/>
    <n v="31050.780000000042"/>
    <n v="282"/>
    <n v="7828.7700000000077"/>
    <n v="4521.2800000000034"/>
    <n v="-3307.4900000000025"/>
    <n v="22940.010000000031"/>
    <n v="26529.500000000036"/>
    <n v="3589.4900000000021"/>
    <n v="-2113.1799999999985"/>
    <n v="0"/>
    <n v="2113.1799999999985"/>
    <n v="25053.190000000002"/>
    <n v="26529.500000000036"/>
    <n v="1476.3100000000002"/>
    <n v="455"/>
  </r>
  <r>
    <n v="2024"/>
    <n v="6"/>
    <x v="1"/>
    <d v="2024-06-03T00:00:00"/>
    <s v="Rogers"/>
    <x v="1"/>
    <x v="5"/>
    <n v="37977"/>
    <n v="37977"/>
    <n v="0"/>
    <n v="531.69999999999936"/>
    <n v="531.69999999999936"/>
    <n v="0"/>
    <n v="1540.0700000000006"/>
    <n v="1540.0700000000006"/>
    <n v="0"/>
    <n v="-11091.3"/>
    <n v="-10081.799999999999"/>
    <n v="1009.5"/>
    <n v="-20"/>
    <n v="-20"/>
    <n v="0"/>
    <n v="-48.99"/>
    <n v="-48.99"/>
    <n v="0"/>
    <n v="28888.480000000029"/>
    <n v="29897.980000000029"/>
    <n v="1009.5"/>
    <n v="8242.8100000000086"/>
    <n v="3789.1600000000039"/>
    <n v="-4453.6500000000033"/>
    <n v="20645.670000000027"/>
    <n v="26108.820000000043"/>
    <n v="5463.1500000000033"/>
    <n v="-2002.7099999999996"/>
    <n v="0"/>
    <n v="2002.7099999999996"/>
    <n v="22648.380000000008"/>
    <n v="26108.820000000043"/>
    <n v="3460.4400000000023"/>
    <n v="424"/>
  </r>
  <r>
    <n v="2024"/>
    <n v="6"/>
    <x v="1"/>
    <d v="2024-06-04T00:00:00"/>
    <s v="Rogers"/>
    <x v="1"/>
    <x v="5"/>
    <n v="30489"/>
    <n v="30489"/>
    <n v="0"/>
    <n v="435.95999999999987"/>
    <n v="435.95999999999987"/>
    <n v="0"/>
    <n v="1046.3400000000004"/>
    <n v="1046.3400000000004"/>
    <n v="0"/>
    <n v="-8389.5"/>
    <n v="-8018.5"/>
    <n v="371"/>
    <n v="-15"/>
    <n v="-15"/>
    <n v="0"/>
    <n v="-28.990000000000002"/>
    <n v="-28.990000000000002"/>
    <n v="0"/>
    <n v="23537.810000000027"/>
    <n v="23908.81000000003"/>
    <n v="371"/>
    <n v="6670.8000000000075"/>
    <n v="3026.0700000000024"/>
    <n v="-3644.7300000000032"/>
    <n v="16867.010000000002"/>
    <n v="20882.740000000016"/>
    <n v="4015.7300000000032"/>
    <n v="-1568.7"/>
    <n v="0"/>
    <n v="1568.7"/>
    <n v="18435.710000000017"/>
    <n v="20882.740000000016"/>
    <n v="2447.030000000002"/>
    <n v="349"/>
  </r>
  <r>
    <n v="2024"/>
    <n v="6"/>
    <x v="1"/>
    <d v="2024-06-05T00:00:00"/>
    <s v="Rogers"/>
    <x v="1"/>
    <x v="5"/>
    <n v="34423.050000000003"/>
    <n v="34423.050000000003"/>
    <n v="0"/>
    <n v="443.86999999999892"/>
    <n v="431.36999999999892"/>
    <n v="-12.5"/>
    <n v="1126.3000000000004"/>
    <n v="1126.3000000000004"/>
    <n v="0"/>
    <n v="-9974.92"/>
    <n v="-9477.92"/>
    <n v="497"/>
    <n v="-20.46"/>
    <n v="-20.46"/>
    <n v="0"/>
    <n v="-10"/>
    <n v="-10"/>
    <n v="0"/>
    <n v="25987.840000000015"/>
    <n v="26472.340000000015"/>
    <n v="484.5"/>
    <n v="7336.6100000000051"/>
    <n v="4325.5400000000027"/>
    <n v="-3011.0700000000011"/>
    <n v="18651.229999999996"/>
    <n v="22146.800000000003"/>
    <n v="3495.5700000000006"/>
    <n v="-2195.9699999999989"/>
    <n v="0"/>
    <n v="2195.9699999999989"/>
    <n v="20847.200000000026"/>
    <n v="22146.800000000003"/>
    <n v="1299.6000000000001"/>
    <n v="397"/>
  </r>
  <r>
    <n v="2024"/>
    <n v="6"/>
    <x v="1"/>
    <d v="2024-06-06T00:00:00"/>
    <s v="Rogers"/>
    <x v="1"/>
    <x v="5"/>
    <n v="41016.619999999995"/>
    <n v="41016.619999999995"/>
    <n v="0"/>
    <n v="690.60000000000036"/>
    <n v="690.60000000000036"/>
    <n v="0"/>
    <n v="1651.9800000000007"/>
    <n v="1651.9800000000007"/>
    <n v="0"/>
    <n v="-11349.49"/>
    <n v="-10858.49"/>
    <n v="491"/>
    <n v="-50.46"/>
    <n v="-50.46"/>
    <n v="0"/>
    <n v="-20"/>
    <n v="-20"/>
    <n v="0"/>
    <n v="31939.250000000058"/>
    <n v="32430.250000000058"/>
    <n v="491"/>
    <n v="8730.1500000000033"/>
    <n v="4448.9100000000044"/>
    <n v="-4281.2400000000043"/>
    <n v="23209.100000000057"/>
    <n v="27981.340000000062"/>
    <n v="4772.2400000000043"/>
    <n v="-2143.4099999999994"/>
    <n v="0"/>
    <n v="2143.4099999999994"/>
    <n v="25352.510000000006"/>
    <n v="27981.340000000062"/>
    <n v="2628.8300000000036"/>
    <n v="469"/>
  </r>
  <r>
    <n v="2024"/>
    <n v="6"/>
    <x v="1"/>
    <d v="2024-06-07T00:00:00"/>
    <s v="Rogers"/>
    <x v="1"/>
    <x v="5"/>
    <n v="41581.72"/>
    <n v="41581.72"/>
    <n v="0"/>
    <n v="590.29999999999984"/>
    <n v="590.29999999999984"/>
    <n v="0"/>
    <n v="1503.0600000000006"/>
    <n v="1503.0600000000006"/>
    <n v="0"/>
    <n v="-12066.539999999999"/>
    <n v="-11601.64"/>
    <n v="464.9"/>
    <n v="-35"/>
    <n v="-35"/>
    <n v="0"/>
    <n v="-50"/>
    <n v="-50"/>
    <n v="0"/>
    <n v="31523.540000000012"/>
    <n v="31988.440000000017"/>
    <n v="464.9"/>
    <n v="8902.9000000000033"/>
    <n v="4522.9900000000025"/>
    <n v="-4379.9100000000035"/>
    <n v="22620.640000000014"/>
    <n v="27465.450000000012"/>
    <n v="4844.810000000004"/>
    <n v="-2072.2999999999997"/>
    <n v="0"/>
    <n v="2072.2999999999997"/>
    <n v="24692.94000000005"/>
    <n v="27465.450000000012"/>
    <n v="2772.510000000002"/>
    <n v="486"/>
  </r>
  <r>
    <n v="2024"/>
    <n v="6"/>
    <x v="1"/>
    <d v="2024-06-08T00:00:00"/>
    <s v="Rogers"/>
    <x v="1"/>
    <x v="5"/>
    <n v="41669.1"/>
    <n v="41669.1"/>
    <n v="0"/>
    <n v="692.7099999999997"/>
    <n v="692.7099999999997"/>
    <n v="0"/>
    <n v="1443.0700000000006"/>
    <n v="1443.0700000000006"/>
    <n v="0"/>
    <n v="-12480.919999999998"/>
    <n v="-12014.919999999998"/>
    <n v="466"/>
    <n v="-35"/>
    <n v="-35"/>
    <n v="0"/>
    <n v="-41.6"/>
    <n v="-41.6"/>
    <n v="0"/>
    <n v="31247.360000000019"/>
    <n v="31713.360000000019"/>
    <n v="466"/>
    <n v="8967.7500000000018"/>
    <n v="4565.6000000000031"/>
    <n v="-4402.1500000000015"/>
    <n v="22279.610000000026"/>
    <n v="27147.760000000013"/>
    <n v="4868.1500000000024"/>
    <n v="-2223.6800000000012"/>
    <n v="0"/>
    <n v="2223.6800000000012"/>
    <n v="24503.29"/>
    <n v="27147.760000000013"/>
    <n v="2644.4699999999975"/>
    <n v="480"/>
  </r>
  <r>
    <n v="2024"/>
    <n v="6"/>
    <x v="1"/>
    <d v="2024-06-02T00:00:00"/>
    <s v="Rogers"/>
    <x v="1"/>
    <x v="6"/>
    <n v="13477.000000000045"/>
    <n v="13477.000000000045"/>
    <n v="0"/>
    <n v="12.5"/>
    <n v="12.5"/>
    <n v="0"/>
    <n v="0"/>
    <n v="0"/>
    <n v="0"/>
    <n v="-1246.9499999999996"/>
    <n v="-1246.9499999999996"/>
    <n v="0"/>
    <n v="0"/>
    <n v="0"/>
    <n v="0"/>
    <n v="0"/>
    <n v="0"/>
    <n v="0"/>
    <n v="12242.550000000048"/>
    <n v="12242.550000000048"/>
    <n v="0"/>
    <n v="121.48"/>
    <n v="52.41"/>
    <n v="-69.070000000000007"/>
    <n v="12121.070000000049"/>
    <n v="12190.140000000049"/>
    <n v="69.069999999999993"/>
    <n v="956.49000000000069"/>
    <n v="0"/>
    <n v="-956.49000000000069"/>
    <n v="11164.580000000038"/>
    <n v="12190.140000000049"/>
    <n v="1025.5600000000006"/>
    <n v="294"/>
  </r>
  <r>
    <n v="2024"/>
    <n v="6"/>
    <x v="1"/>
    <d v="2024-06-03T00:00:00"/>
    <s v="Rogers"/>
    <x v="1"/>
    <x v="6"/>
    <n v="18198.650000000071"/>
    <n v="18198.650000000071"/>
    <n v="0"/>
    <n v="0"/>
    <n v="0"/>
    <n v="0"/>
    <n v="0"/>
    <n v="0"/>
    <n v="0"/>
    <n v="-1210.3"/>
    <n v="-1210.3"/>
    <n v="0"/>
    <n v="0"/>
    <n v="0"/>
    <n v="0"/>
    <n v="0"/>
    <n v="0"/>
    <n v="0"/>
    <n v="16988.350000000104"/>
    <n v="16988.350000000104"/>
    <n v="0"/>
    <n v="52.41"/>
    <m/>
    <n v="-52.41"/>
    <n v="16935.940000000104"/>
    <n v="16988.350000000104"/>
    <n v="52.41"/>
    <n v="1223.0299999999995"/>
    <n v="0"/>
    <n v="-1223.0299999999995"/>
    <n v="15712.910000000098"/>
    <n v="16988.350000000104"/>
    <n v="1275.4399999999994"/>
    <n v="405"/>
  </r>
  <r>
    <n v="2024"/>
    <n v="6"/>
    <x v="1"/>
    <d v="2024-06-05T00:00:00"/>
    <s v="Rogers"/>
    <x v="1"/>
    <x v="6"/>
    <n v="3170.2500000000023"/>
    <n v="3170.2500000000023"/>
    <n v="0"/>
    <n v="20"/>
    <n v="20"/>
    <n v="0"/>
    <n v="0"/>
    <n v="0"/>
    <n v="0"/>
    <n v="-746.15"/>
    <n v="-746.15"/>
    <n v="0"/>
    <n v="-8"/>
    <n v="-8"/>
    <n v="0"/>
    <n v="0"/>
    <n v="0"/>
    <n v="0"/>
    <n v="2436.1000000000008"/>
    <n v="2436.1000000000008"/>
    <n v="0"/>
    <n v="89.08"/>
    <n v="89.08"/>
    <n v="0"/>
    <n v="2347.0200000000004"/>
    <n v="2347.0200000000004"/>
    <n v="0"/>
    <n v="687.95"/>
    <n v="0"/>
    <n v="-687.95"/>
    <n v="1659.0699999999997"/>
    <n v="2347.0200000000004"/>
    <n v="687.95"/>
    <n v="57"/>
  </r>
  <r>
    <n v="2024"/>
    <n v="6"/>
    <x v="1"/>
    <d v="2024-06-06T00:00:00"/>
    <s v="Rogers"/>
    <x v="1"/>
    <x v="6"/>
    <n v="4299.3"/>
    <n v="4299.3"/>
    <n v="0"/>
    <n v="2"/>
    <n v="2"/>
    <n v="0"/>
    <n v="0"/>
    <n v="0"/>
    <n v="0"/>
    <n v="-1417.95"/>
    <n v="-1417.95"/>
    <n v="0"/>
    <n v="0"/>
    <n v="0"/>
    <n v="0"/>
    <n v="0"/>
    <n v="0"/>
    <n v="0"/>
    <n v="2883.349999999999"/>
    <n v="2883.349999999999"/>
    <n v="0"/>
    <n v="89.08"/>
    <m/>
    <n v="-89.08"/>
    <n v="2794.2699999999991"/>
    <n v="2883.349999999999"/>
    <n v="89.08"/>
    <n v="809.21000000000026"/>
    <n v="0"/>
    <n v="-809.21000000000026"/>
    <n v="1985.0600000000002"/>
    <n v="2883.349999999999"/>
    <n v="898.29000000000019"/>
    <n v="61"/>
  </r>
  <r>
    <n v="2024"/>
    <n v="6"/>
    <x v="1"/>
    <d v="2024-06-07T00:00:00"/>
    <s v="Rogers"/>
    <x v="1"/>
    <x v="6"/>
    <n v="4599.05"/>
    <n v="4599.05"/>
    <n v="0"/>
    <n v="10"/>
    <n v="10"/>
    <n v="0"/>
    <n v="15.99"/>
    <n v="15.99"/>
    <n v="0"/>
    <n v="-1245.2999999999995"/>
    <n v="-1245.2999999999995"/>
    <n v="0"/>
    <n v="-4"/>
    <n v="-4"/>
    <n v="0"/>
    <n v="0"/>
    <n v="0"/>
    <n v="0"/>
    <n v="3375.7400000000002"/>
    <n v="3375.7400000000002"/>
    <n v="0"/>
    <n v="123.16"/>
    <n v="123.16"/>
    <n v="0"/>
    <n v="3252.5800000000004"/>
    <n v="3252.5800000000004"/>
    <n v="0"/>
    <n v="846.47"/>
    <n v="0"/>
    <n v="-846.47"/>
    <n v="2406.1099999999997"/>
    <n v="3252.5800000000004"/>
    <n v="846.46999999999969"/>
    <n v="81"/>
  </r>
  <r>
    <n v="2024"/>
    <n v="6"/>
    <x v="1"/>
    <d v="2024-06-08T00:00:00"/>
    <s v="Rogers"/>
    <x v="1"/>
    <x v="6"/>
    <n v="9530.2000000000007"/>
    <n v="9530.2000000000007"/>
    <n v="0"/>
    <n v="490.7"/>
    <n v="490.7"/>
    <n v="0"/>
    <n v="15.99"/>
    <n v="15.99"/>
    <n v="0"/>
    <n v="-1771.9500000000005"/>
    <n v="-1771.9500000000005"/>
    <n v="0"/>
    <n v="-184"/>
    <n v="-184"/>
    <n v="0"/>
    <n v="0"/>
    <n v="0"/>
    <n v="0"/>
    <n v="8080.940000000006"/>
    <n v="8080.940000000006"/>
    <n v="0"/>
    <n v="162.24"/>
    <n v="39.08"/>
    <n v="-123.16"/>
    <n v="7918.7000000000062"/>
    <n v="8041.860000000006"/>
    <n v="123.16"/>
    <n v="1987.62"/>
    <n v="0"/>
    <n v="-1987.62"/>
    <n v="5931.08"/>
    <n v="8041.860000000006"/>
    <n v="2110.7800000000002"/>
    <n v="190"/>
  </r>
  <r>
    <n v="2024"/>
    <n v="6"/>
    <x v="2"/>
    <d v="2024-06-09T00:00:00"/>
    <s v="Fido"/>
    <x v="0"/>
    <x v="0"/>
    <n v="159405.75"/>
    <n v="159405.75"/>
    <n v="0"/>
    <n v="2017.7200000000355"/>
    <n v="2031.7200000000355"/>
    <n v="14"/>
    <n v="3446.5999999999799"/>
    <n v="3446.5999999999799"/>
    <n v="0"/>
    <n v="-16169.300000000001"/>
    <n v="-14275.550000000001"/>
    <n v="1893.75"/>
    <n v="-13.200000000000003"/>
    <n v="-14.060000000000002"/>
    <n v="-0.86"/>
    <n v="-100.28999999999999"/>
    <n v="-100.28999999999999"/>
    <n v="0"/>
    <n v="148587.28000000142"/>
    <n v="150494.17000000144"/>
    <n v="1906.89"/>
    <n v="60961.620000000403"/>
    <n v="32088.339999999611"/>
    <n v="-28873.279999999766"/>
    <n v="87625.660000000207"/>
    <n v="118405.83000000144"/>
    <n v="30780.169999999765"/>
    <n v="-15606.220000000014"/>
    <n v="0"/>
    <n v="15606.220000000014"/>
    <n v="103231.88000000038"/>
    <n v="118405.83000000144"/>
    <n v="15173.95000000003"/>
    <n v="2752"/>
  </r>
  <r>
    <n v="2024"/>
    <n v="6"/>
    <x v="2"/>
    <d v="2024-06-10T00:00:00"/>
    <s v="Fido"/>
    <x v="0"/>
    <x v="0"/>
    <n v="152062.5"/>
    <n v="152062.5"/>
    <n v="0"/>
    <n v="1738.680000000026"/>
    <n v="1738.680000000026"/>
    <n v="0"/>
    <n v="3070.8199999999847"/>
    <n v="3029.8499999999854"/>
    <n v="-40.97"/>
    <n v="-15757"/>
    <n v="-13926.75"/>
    <n v="1830.25"/>
    <n v="-21.760000000000005"/>
    <n v="-21.760000000000005"/>
    <n v="0"/>
    <n v="-64.8"/>
    <n v="-64.8"/>
    <n v="0"/>
    <n v="141028.44000000122"/>
    <n v="142817.72000000117"/>
    <n v="1789.28"/>
    <n v="57131.25000000008"/>
    <n v="25285.5699999998"/>
    <n v="-31845.679999999709"/>
    <n v="83897.190000000104"/>
    <n v="117532.15000000116"/>
    <n v="33634.959999999715"/>
    <n v="-12564.390000000016"/>
    <n v="0"/>
    <n v="12564.390000000016"/>
    <n v="96461.580000000322"/>
    <n v="117532.15000000116"/>
    <n v="21070.569999999814"/>
    <n v="2616"/>
  </r>
  <r>
    <n v="2024"/>
    <n v="6"/>
    <x v="2"/>
    <d v="2024-06-11T00:00:00"/>
    <s v="Fido"/>
    <x v="0"/>
    <x v="0"/>
    <n v="129251.5"/>
    <n v="129251.5"/>
    <n v="0"/>
    <n v="1160.6700000000171"/>
    <n v="1160.6700000000171"/>
    <n v="0"/>
    <n v="2521.2199999999939"/>
    <n v="2521.2199999999939"/>
    <n v="0"/>
    <n v="-12977.25"/>
    <n v="-10873.25"/>
    <n v="2104"/>
    <n v="-11.430000000000001"/>
    <n v="-11.430000000000001"/>
    <n v="0"/>
    <n v="-30.5"/>
    <n v="-30.5"/>
    <n v="0"/>
    <n v="119914.21000000124"/>
    <n v="122018.21000000127"/>
    <n v="2104"/>
    <n v="45588.35999999995"/>
    <n v="20606.589999999873"/>
    <n v="-24981.769999999808"/>
    <n v="74325.849999999802"/>
    <n v="101411.62000000059"/>
    <n v="27085.769999999793"/>
    <n v="-10094.720000000001"/>
    <n v="0"/>
    <n v="10094.720000000001"/>
    <n v="84420.569999999774"/>
    <n v="101411.62000000059"/>
    <n v="16991.050000000017"/>
    <n v="2217"/>
  </r>
  <r>
    <n v="2024"/>
    <n v="6"/>
    <x v="2"/>
    <d v="2024-06-12T00:00:00"/>
    <s v="Fido"/>
    <x v="0"/>
    <x v="0"/>
    <n v="163601"/>
    <n v="163601"/>
    <n v="0"/>
    <n v="1691.3000000000245"/>
    <n v="1684.3000000000243"/>
    <n v="-7"/>
    <n v="2757.0799999999904"/>
    <n v="2757.0799999999904"/>
    <n v="0"/>
    <n v="-15970.75"/>
    <n v="-13833.75"/>
    <n v="2137"/>
    <n v="-10.45"/>
    <n v="-10.45"/>
    <n v="0"/>
    <n v="-55"/>
    <n v="-55"/>
    <n v="0"/>
    <n v="152013.18000000084"/>
    <n v="154143.18000000072"/>
    <n v="2130"/>
    <n v="61208.280000000144"/>
    <n v="41017.719999999892"/>
    <n v="-20190.559999999903"/>
    <n v="90804.900000000402"/>
    <n v="113125.46000000095"/>
    <n v="22320.55999999987"/>
    <n v="-19394.410000000022"/>
    <n v="0"/>
    <n v="19394.410000000022"/>
    <n v="110199.31000000032"/>
    <n v="113125.46000000095"/>
    <n v="2926.1500000000419"/>
    <n v="2817"/>
  </r>
  <r>
    <n v="2024"/>
    <n v="6"/>
    <x v="2"/>
    <d v="2024-06-13T00:00:00"/>
    <s v="Fido"/>
    <x v="0"/>
    <x v="0"/>
    <n v="175315.5"/>
    <n v="175315.5"/>
    <n v="0"/>
    <n v="1990.4900000000359"/>
    <n v="1983.4900000000359"/>
    <n v="-7"/>
    <n v="3133.789999999984"/>
    <n v="3115.8099999999845"/>
    <n v="-17.98"/>
    <n v="-16702.5"/>
    <n v="-15241"/>
    <n v="1461.5"/>
    <n v="-9.9500000000000046"/>
    <n v="-9.9500000000000046"/>
    <n v="0"/>
    <n v="-113.99000000000001"/>
    <n v="-113.99000000000001"/>
    <n v="0"/>
    <n v="163613.34000000058"/>
    <n v="165049.86000000057"/>
    <n v="1436.52"/>
    <n v="71418.049999999974"/>
    <n v="30769.719999999688"/>
    <n v="-40648.329999999914"/>
    <n v="92195.290000000285"/>
    <n v="134280.14000000156"/>
    <n v="42084.84999999994"/>
    <n v="-14595.889999999996"/>
    <n v="0"/>
    <n v="14595.889999999996"/>
    <n v="106791.18000000068"/>
    <n v="134280.14000000156"/>
    <n v="27488.959999999763"/>
    <n v="3031"/>
  </r>
  <r>
    <n v="2024"/>
    <n v="6"/>
    <x v="2"/>
    <d v="2024-06-14T00:00:00"/>
    <s v="Fido"/>
    <x v="0"/>
    <x v="0"/>
    <n v="154470"/>
    <n v="154470"/>
    <n v="0"/>
    <n v="1789.2600000000277"/>
    <n v="1789.2600000000277"/>
    <n v="0"/>
    <n v="2985.8799999999869"/>
    <n v="2969.8899999999871"/>
    <n v="-15.99"/>
    <n v="-14649.75"/>
    <n v="-13223.75"/>
    <n v="1426"/>
    <n v="-5.830000000000001"/>
    <n v="-5.830000000000001"/>
    <n v="0"/>
    <n v="-110.99000000000001"/>
    <n v="-110.99000000000001"/>
    <n v="0"/>
    <n v="144478.57000000076"/>
    <n v="145888.58000000069"/>
    <n v="1410.01"/>
    <n v="64042.799999999916"/>
    <n v="33476.529999999715"/>
    <n v="-30566.269999999757"/>
    <n v="80435.77"/>
    <n v="112412.05000000093"/>
    <n v="31976.279999999737"/>
    <n v="-15740.940000000024"/>
    <n v="0"/>
    <n v="15740.940000000024"/>
    <n v="96176.710000000225"/>
    <n v="112412.05000000093"/>
    <n v="16235.339999999971"/>
    <n v="2667"/>
  </r>
  <r>
    <n v="2024"/>
    <n v="6"/>
    <x v="2"/>
    <d v="2024-06-15T00:00:00"/>
    <s v="Fido"/>
    <x v="0"/>
    <x v="0"/>
    <n v="154034.5"/>
    <n v="154034.5"/>
    <n v="0"/>
    <n v="1719.6800000000262"/>
    <n v="1712.6800000000262"/>
    <n v="-7"/>
    <n v="2861.929999999988"/>
    <n v="2861.929999999988"/>
    <n v="0"/>
    <n v="-14681"/>
    <n v="-12841"/>
    <n v="1840"/>
    <n v="-18.280000000000005"/>
    <n v="-17.330000000000005"/>
    <n v="0.95000000000000007"/>
    <n v="-85.990000000000009"/>
    <n v="-85.990000000000009"/>
    <n v="0"/>
    <n v="143830.84000000151"/>
    <n v="145664.79000000135"/>
    <n v="1833.95"/>
    <n v="60997.760000000162"/>
    <n v="27757.249999999738"/>
    <n v="-33240.509999999747"/>
    <n v="82833.080000000176"/>
    <n v="117907.54000000114"/>
    <n v="35074.459999999839"/>
    <n v="-13053.610000000032"/>
    <n v="0"/>
    <n v="13053.610000000032"/>
    <n v="95886.690000000337"/>
    <n v="117907.54000000114"/>
    <n v="22020.8499999999"/>
    <n v="2648"/>
  </r>
  <r>
    <n v="2024"/>
    <n v="6"/>
    <x v="2"/>
    <d v="2024-06-09T00:00:00"/>
    <s v="Rogers"/>
    <x v="0"/>
    <x v="1"/>
    <n v="196506.5"/>
    <n v="196506.5"/>
    <n v="0"/>
    <n v="1299.4200000000126"/>
    <n v="1299.4200000000126"/>
    <n v="0"/>
    <n v="7965.7899999999172"/>
    <n v="7936.8099999999176"/>
    <n v="-28.98"/>
    <n v="-33085.699999999997"/>
    <n v="-31928.2"/>
    <n v="1157.5"/>
    <n v="-9.16"/>
    <n v="-9.16"/>
    <n v="0"/>
    <n v="-149.89999999999998"/>
    <n v="-149.89999999999998"/>
    <n v="0"/>
    <n v="172526.95000000056"/>
    <n v="173655.47000000055"/>
    <n v="1128.52"/>
    <n v="49264.749999999738"/>
    <n v="26483.499999999905"/>
    <n v="-22781.249999999916"/>
    <n v="123262.20000000043"/>
    <n v="147171.97000000064"/>
    <n v="23909.769999999909"/>
    <n v="-12741.19000000005"/>
    <n v="0"/>
    <n v="12741.19000000005"/>
    <n v="136003.38999999955"/>
    <n v="147171.97000000064"/>
    <n v="11168.579999999918"/>
    <n v="2526"/>
  </r>
  <r>
    <n v="2024"/>
    <n v="6"/>
    <x v="2"/>
    <d v="2024-06-10T00:00:00"/>
    <s v="Rogers"/>
    <x v="0"/>
    <x v="1"/>
    <n v="185405"/>
    <n v="185405"/>
    <n v="0"/>
    <n v="1297.8600000000156"/>
    <n v="1297.8600000000156"/>
    <n v="0"/>
    <n v="7706.9499999999216"/>
    <n v="7692.969999999922"/>
    <n v="-13.98"/>
    <n v="-32053.15"/>
    <n v="-31030.400000000001"/>
    <n v="1022.75"/>
    <n v="-8.85"/>
    <n v="-8.85"/>
    <n v="0"/>
    <n v="-158.19"/>
    <n v="-158.19"/>
    <n v="0"/>
    <n v="162189.62000000014"/>
    <n v="163198.39000000016"/>
    <n v="1008.77"/>
    <n v="45259.489999999772"/>
    <n v="19465.419999999933"/>
    <n v="-25794.069999999901"/>
    <n v="116930.13000000099"/>
    <n v="143732.97000000058"/>
    <n v="26802.839999999898"/>
    <n v="-9456.8900000000103"/>
    <n v="0"/>
    <n v="9456.8900000000103"/>
    <n v="126387.02000000034"/>
    <n v="143732.97000000058"/>
    <n v="17345.949999999877"/>
    <n v="2372"/>
  </r>
  <r>
    <n v="2024"/>
    <n v="6"/>
    <x v="2"/>
    <d v="2024-06-11T00:00:00"/>
    <s v="Rogers"/>
    <x v="0"/>
    <x v="1"/>
    <n v="143412"/>
    <n v="143412"/>
    <n v="0"/>
    <n v="899.700000000003"/>
    <n v="899.700000000003"/>
    <n v="0"/>
    <n v="5859.2599999999484"/>
    <n v="5843.2699999999486"/>
    <n v="-15.99"/>
    <n v="-25887.200000000001"/>
    <n v="-24860.95"/>
    <n v="1026.25"/>
    <n v="-23.84"/>
    <n v="-23.84"/>
    <n v="0"/>
    <n v="-111.69"/>
    <n v="-111.69"/>
    <n v="0"/>
    <n v="124148.2300000009"/>
    <n v="125158.49000000089"/>
    <n v="1010.26"/>
    <n v="33963.569999999876"/>
    <n v="14831.839999999964"/>
    <n v="-19131.729999999927"/>
    <n v="90184.660000000178"/>
    <n v="110326.65000000046"/>
    <n v="20141.989999999922"/>
    <n v="-7353.8400000000129"/>
    <n v="0"/>
    <n v="7353.8400000000129"/>
    <n v="97538.499999999811"/>
    <n v="110326.65000000046"/>
    <n v="12788.149999999918"/>
    <n v="1823"/>
  </r>
  <r>
    <n v="2024"/>
    <n v="6"/>
    <x v="2"/>
    <d v="2024-06-12T00:00:00"/>
    <s v="Rogers"/>
    <x v="0"/>
    <x v="1"/>
    <n v="178277"/>
    <n v="178277"/>
    <n v="0"/>
    <n v="1150.4100000000126"/>
    <n v="1150.4100000000126"/>
    <n v="0"/>
    <n v="5842.2099999999473"/>
    <n v="5842.2099999999473"/>
    <n v="0"/>
    <n v="-30647.21"/>
    <n v="-29348.510000000002"/>
    <n v="1298.7"/>
    <n v="-31.169999999999998"/>
    <n v="-31.169999999999998"/>
    <n v="0"/>
    <n v="-131.28"/>
    <n v="-131.28"/>
    <n v="0"/>
    <n v="154459.9600000002"/>
    <n v="155758.66000000024"/>
    <n v="1298.7"/>
    <n v="42325.269999999844"/>
    <n v="27889.869999999919"/>
    <n v="-14435.399999999943"/>
    <n v="112134.69000000044"/>
    <n v="127868.79000000079"/>
    <n v="15734.099999999939"/>
    <n v="-13231.080000000034"/>
    <n v="0"/>
    <n v="13231.080000000034"/>
    <n v="125365.7699999998"/>
    <n v="127868.79000000079"/>
    <n v="2503.0200000000059"/>
    <n v="2295"/>
  </r>
  <r>
    <n v="2024"/>
    <n v="6"/>
    <x v="2"/>
    <d v="2024-06-13T00:00:00"/>
    <s v="Rogers"/>
    <x v="0"/>
    <x v="1"/>
    <n v="200275.5"/>
    <n v="200275.5"/>
    <n v="0"/>
    <n v="1477.9700000000128"/>
    <n v="1477.9700000000128"/>
    <n v="0"/>
    <n v="6789.5799999999335"/>
    <n v="6770.5899999999338"/>
    <n v="-18.990000000000002"/>
    <n v="-31964.66"/>
    <n v="-30931.16"/>
    <n v="1033.5"/>
    <n v="-24.419999999999998"/>
    <n v="-24.419999999999998"/>
    <n v="0"/>
    <n v="-90.66"/>
    <n v="-90.66"/>
    <n v="0"/>
    <n v="176463.31000000011"/>
    <n v="177477.82000000007"/>
    <n v="1014.51"/>
    <n v="52962.479999999756"/>
    <n v="25697.869999999893"/>
    <n v="-27264.609999999899"/>
    <n v="123500.83000000031"/>
    <n v="151779.95000000036"/>
    <n v="28279.119999999904"/>
    <n v="-12118.110000000032"/>
    <n v="0"/>
    <n v="12118.110000000032"/>
    <n v="135618.93999999989"/>
    <n v="151779.95000000036"/>
    <n v="16161.009999999897"/>
    <n v="2594"/>
  </r>
  <r>
    <n v="2024"/>
    <n v="6"/>
    <x v="2"/>
    <d v="2024-06-14T00:00:00"/>
    <s v="Rogers"/>
    <x v="0"/>
    <x v="1"/>
    <n v="200959.5"/>
    <n v="200959.5"/>
    <n v="0"/>
    <n v="1508.610000000017"/>
    <n v="1508.610000000017"/>
    <n v="0"/>
    <n v="7694.0799999999217"/>
    <n v="7640.1099999999224"/>
    <n v="-53.970000000000006"/>
    <n v="-32668.2"/>
    <n v="-31288.45"/>
    <n v="1379.75"/>
    <n v="-13.879999999999999"/>
    <n v="-13.419999999999998"/>
    <n v="0.46"/>
    <n v="-147.16000000000003"/>
    <n v="-131.17000000000002"/>
    <n v="15.99"/>
    <n v="177332.95000000039"/>
    <n v="178675.18000000034"/>
    <n v="1342.23"/>
    <n v="55635.299999999646"/>
    <n v="30497.459999999945"/>
    <n v="-25137.839999999902"/>
    <n v="121697.65000000029"/>
    <n v="148177.7200000005"/>
    <n v="26480.069999999901"/>
    <n v="-14819.330000000034"/>
    <n v="0"/>
    <n v="14819.330000000034"/>
    <n v="136516.9799999996"/>
    <n v="148177.7200000005"/>
    <n v="11660.739999999969"/>
    <n v="2569"/>
  </r>
  <r>
    <n v="2024"/>
    <n v="6"/>
    <x v="2"/>
    <d v="2024-06-15T00:00:00"/>
    <s v="Rogers"/>
    <x v="0"/>
    <x v="1"/>
    <n v="200843"/>
    <n v="200843"/>
    <n v="0"/>
    <n v="1533.1700000000149"/>
    <n v="1503.1700000000146"/>
    <n v="-30"/>
    <n v="7987.8299999999172"/>
    <n v="7987.8299999999172"/>
    <n v="0"/>
    <n v="-33102.25"/>
    <n v="-32106.25"/>
    <n v="996"/>
    <n v="-13.21"/>
    <n v="-13.21"/>
    <n v="0"/>
    <n v="-167.79"/>
    <n v="-167.79"/>
    <n v="0"/>
    <n v="177080.75000000003"/>
    <n v="178046.75000000006"/>
    <n v="966"/>
    <n v="54104.849999999773"/>
    <n v="23856.669999999929"/>
    <n v="-30248.179999999935"/>
    <n v="122975.90000000066"/>
    <n v="154190.08000000037"/>
    <n v="31214.179999999946"/>
    <n v="-11160.400000000005"/>
    <n v="0"/>
    <n v="11160.400000000005"/>
    <n v="134136.30000000019"/>
    <n v="154190.08000000037"/>
    <n v="20053.779999999861"/>
    <n v="2563"/>
  </r>
  <r>
    <n v="2024"/>
    <n v="6"/>
    <x v="2"/>
    <d v="2024-06-09T00:00:00"/>
    <s v="Rogers"/>
    <x v="0"/>
    <x v="2"/>
    <n v="73754.86"/>
    <n v="73754.86"/>
    <n v="0"/>
    <n v="471.60999999999905"/>
    <n v="471.60999999999905"/>
    <n v="0"/>
    <n v="1731.9200000000008"/>
    <n v="1731.9200000000008"/>
    <n v="0"/>
    <n v="-24884.310000000005"/>
    <n v="-24337.310000000005"/>
    <n v="547"/>
    <n v="0"/>
    <n v="0"/>
    <n v="0"/>
    <n v="-25.7"/>
    <n v="-25.7"/>
    <n v="0"/>
    <n v="51048.37999999983"/>
    <n v="51595.379999999823"/>
    <n v="547"/>
    <n v="17865.809999999936"/>
    <n v="9233.130000000001"/>
    <n v="-8632.6800000000076"/>
    <n v="33182.570000000058"/>
    <n v="42362.249999999927"/>
    <n v="9179.6800000000021"/>
    <n v="-2958.7499999999977"/>
    <n v="0"/>
    <n v="2958.7499999999977"/>
    <n v="36141.319999999985"/>
    <n v="42362.249999999927"/>
    <n v="6220.9300000000094"/>
    <n v="848"/>
  </r>
  <r>
    <n v="2024"/>
    <n v="6"/>
    <x v="2"/>
    <d v="2024-06-10T00:00:00"/>
    <s v="Rogers"/>
    <x v="0"/>
    <x v="2"/>
    <n v="62007.43"/>
    <n v="62007.43"/>
    <n v="0"/>
    <n v="218.74000000000007"/>
    <n v="218.74000000000007"/>
    <n v="0"/>
    <n v="1540.0500000000006"/>
    <n v="1521.0600000000006"/>
    <n v="-18.990000000000002"/>
    <n v="-21302.300000000003"/>
    <n v="-20929.2"/>
    <n v="373.1"/>
    <n v="0"/>
    <n v="0"/>
    <n v="0"/>
    <n v="-10"/>
    <n v="-10"/>
    <n v="0"/>
    <n v="42453.91999999994"/>
    <n v="42808.029999999933"/>
    <n v="354.11"/>
    <n v="15381.209999999957"/>
    <n v="6566.1500000000078"/>
    <n v="-8815.0600000000068"/>
    <n v="27072.710000000046"/>
    <n v="36241.880000000005"/>
    <n v="9169.1700000000019"/>
    <n v="-2580.9499999999985"/>
    <n v="0"/>
    <n v="2580.9499999999985"/>
    <n v="29653.660000000003"/>
    <n v="36241.880000000005"/>
    <n v="6588.2200000000012"/>
    <n v="696"/>
  </r>
  <r>
    <n v="2024"/>
    <n v="6"/>
    <x v="2"/>
    <d v="2024-06-11T00:00:00"/>
    <s v="Rogers"/>
    <x v="0"/>
    <x v="2"/>
    <n v="41202.36"/>
    <n v="41202.36"/>
    <n v="0"/>
    <n v="182.5199999999999"/>
    <n v="182.5199999999999"/>
    <n v="0"/>
    <n v="1160.2600000000004"/>
    <n v="1160.2600000000004"/>
    <n v="0"/>
    <n v="-14356.030000000002"/>
    <n v="-14114.030000000002"/>
    <n v="242"/>
    <n v="0"/>
    <n v="0"/>
    <n v="0"/>
    <n v="0"/>
    <n v="0"/>
    <n v="0"/>
    <n v="28189.110000000019"/>
    <n v="28431.110000000019"/>
    <n v="242"/>
    <n v="10485.489999999991"/>
    <n v="4085.4800000000032"/>
    <n v="-6400.0100000000066"/>
    <n v="17703.620000000014"/>
    <n v="24345.630000000016"/>
    <n v="6642.0100000000066"/>
    <n v="-1623.0300000000004"/>
    <n v="0"/>
    <n v="1623.0300000000004"/>
    <n v="19326.649999999998"/>
    <n v="24345.630000000016"/>
    <n v="5018.9800000000041"/>
    <n v="464"/>
  </r>
  <r>
    <n v="2024"/>
    <n v="6"/>
    <x v="2"/>
    <d v="2024-06-12T00:00:00"/>
    <s v="Rogers"/>
    <x v="0"/>
    <x v="2"/>
    <n v="55011.32"/>
    <n v="55011.32"/>
    <n v="0"/>
    <n v="270.78999999999996"/>
    <n v="270.78999999999996"/>
    <n v="0"/>
    <n v="1532.0300000000007"/>
    <n v="1532.0300000000007"/>
    <n v="0"/>
    <n v="-18652.920000000002"/>
    <n v="-18205.919999999998"/>
    <n v="447"/>
    <n v="-8"/>
    <n v="-8"/>
    <n v="0"/>
    <n v="-5"/>
    <n v="-5"/>
    <n v="0"/>
    <n v="38148.219999999979"/>
    <n v="38595.219999999972"/>
    <n v="447"/>
    <n v="13408.919999999973"/>
    <n v="9389.7999999999993"/>
    <n v="-4019.1200000000031"/>
    <n v="24739.300000000047"/>
    <n v="29205.420000000056"/>
    <n v="4466.1200000000035"/>
    <n v="-3314.1200000000008"/>
    <n v="0"/>
    <n v="3314.1200000000008"/>
    <n v="28053.420000000031"/>
    <n v="29205.420000000056"/>
    <n v="1151.9999999999998"/>
    <n v="621"/>
  </r>
  <r>
    <n v="2024"/>
    <n v="6"/>
    <x v="2"/>
    <d v="2024-06-13T00:00:00"/>
    <s v="Rogers"/>
    <x v="0"/>
    <x v="2"/>
    <n v="73520.790000000008"/>
    <n v="73520.790000000008"/>
    <n v="0"/>
    <n v="284.47999999999934"/>
    <n v="284.47999999999934"/>
    <n v="0"/>
    <n v="1589.0000000000007"/>
    <n v="1554.0200000000007"/>
    <n v="-34.980000000000004"/>
    <n v="-25374.09"/>
    <n v="-24958.09"/>
    <n v="416"/>
    <n v="-26.12"/>
    <n v="-26.12"/>
    <n v="0"/>
    <n v="-13"/>
    <n v="-13"/>
    <n v="0"/>
    <n v="49981.059999999889"/>
    <n v="50362.079999999885"/>
    <n v="381.02"/>
    <n v="18545.799999999948"/>
    <n v="9242.9600000000028"/>
    <n v="-9302.8400000000056"/>
    <n v="31435.260000000071"/>
    <n v="41119.119999999995"/>
    <n v="9683.86"/>
    <n v="-3078.2499999999991"/>
    <n v="0"/>
    <n v="3078.2499999999991"/>
    <n v="34513.510000000024"/>
    <n v="41119.119999999995"/>
    <n v="6605.6100000000051"/>
    <n v="831"/>
  </r>
  <r>
    <n v="2024"/>
    <n v="6"/>
    <x v="2"/>
    <d v="2024-06-14T00:00:00"/>
    <s v="Rogers"/>
    <x v="0"/>
    <x v="2"/>
    <n v="73571.73"/>
    <n v="73571.73"/>
    <n v="0"/>
    <n v="356.65999999999974"/>
    <n v="356.65999999999974"/>
    <n v="0"/>
    <n v="1432.1000000000006"/>
    <n v="1413.1100000000006"/>
    <n v="-18.990000000000002"/>
    <n v="-25502.280000000006"/>
    <n v="-25017.030000000002"/>
    <n v="485.25"/>
    <n v="-0.68"/>
    <n v="-0.68"/>
    <n v="0"/>
    <n v="-5"/>
    <n v="-5"/>
    <n v="0"/>
    <n v="49852.529999999861"/>
    <n v="50318.789999999855"/>
    <n v="466.26"/>
    <n v="19656.809999999958"/>
    <n v="10670.119999999984"/>
    <n v="-8986.6900000000041"/>
    <n v="30195.720000000038"/>
    <n v="39648.669999999969"/>
    <n v="9452.9500000000007"/>
    <n v="-3403.3199999999997"/>
    <n v="0"/>
    <n v="3403.3199999999997"/>
    <n v="33599.040000000015"/>
    <n v="39648.669999999969"/>
    <n v="6049.6300000000092"/>
    <n v="844"/>
  </r>
  <r>
    <n v="2024"/>
    <n v="6"/>
    <x v="2"/>
    <d v="2024-06-15T00:00:00"/>
    <s v="Rogers"/>
    <x v="0"/>
    <x v="2"/>
    <n v="73451.520000000019"/>
    <n v="73451.520000000019"/>
    <n v="0"/>
    <n v="450.30999999999813"/>
    <n v="450.30999999999813"/>
    <n v="0"/>
    <n v="1648.9400000000007"/>
    <n v="1648.9400000000007"/>
    <n v="0"/>
    <n v="-25894.959999999999"/>
    <n v="-25349.360000000004"/>
    <n v="545.6"/>
    <n v="0"/>
    <n v="0"/>
    <n v="0"/>
    <n v="-28.990000000000002"/>
    <n v="-28.990000000000002"/>
    <n v="0"/>
    <n v="49626.819999999861"/>
    <n v="50172.41999999986"/>
    <n v="545.6"/>
    <n v="19443.949999999953"/>
    <n v="9054.9700000000048"/>
    <n v="-10388.979999999994"/>
    <n v="30182.870000000035"/>
    <n v="41117.449999999968"/>
    <n v="10934.579999999994"/>
    <n v="-3106.8200000000015"/>
    <n v="0"/>
    <n v="3106.8200000000015"/>
    <n v="33289.69"/>
    <n v="41117.449999999968"/>
    <n v="7827.7600000000075"/>
    <n v="828"/>
  </r>
  <r>
    <n v="2024"/>
    <n v="6"/>
    <x v="2"/>
    <d v="2024-06-09T00:00:00"/>
    <s v="Rogers"/>
    <x v="1"/>
    <x v="3"/>
    <n v="11138.799999999981"/>
    <n v="11138.799999999981"/>
    <n v="0"/>
    <n v="508.6099999999999"/>
    <n v="508.6099999999999"/>
    <n v="0"/>
    <n v="46.970000000000006"/>
    <n v="46.970000000000006"/>
    <n v="0"/>
    <n v="-2178.0000000000005"/>
    <n v="-2178.0000000000005"/>
    <n v="0"/>
    <n v="0"/>
    <n v="0"/>
    <n v="0"/>
    <n v="0"/>
    <n v="0"/>
    <n v="0"/>
    <n v="9516.380000000001"/>
    <n v="9516.380000000001"/>
    <n v="0"/>
    <n v="76.39"/>
    <n v="45"/>
    <n v="-31.39"/>
    <n v="9439.99"/>
    <n v="9471.3799999999992"/>
    <n v="31.389999999999993"/>
    <n v="3170.4100000000044"/>
    <n v="22.29"/>
    <n v="-3148.1200000000044"/>
    <n v="6269.579999999999"/>
    <n v="9449.09"/>
    <n v="3179.5100000000048"/>
    <n v="255"/>
  </r>
  <r>
    <n v="2024"/>
    <n v="6"/>
    <x v="2"/>
    <d v="2024-06-10T00:00:00"/>
    <s v="Rogers"/>
    <x v="1"/>
    <x v="3"/>
    <n v="12455.899999999991"/>
    <n v="12455.899999999991"/>
    <n v="0"/>
    <n v="52.46"/>
    <n v="52.46"/>
    <n v="0"/>
    <n v="0"/>
    <n v="0"/>
    <n v="0"/>
    <n v="-2289.2499999999973"/>
    <n v="-2289.2499999999973"/>
    <n v="0"/>
    <n v="0"/>
    <n v="0"/>
    <n v="0"/>
    <n v="0"/>
    <n v="0"/>
    <n v="0"/>
    <n v="10219.109999999981"/>
    <n v="10219.109999999981"/>
    <n v="0"/>
    <n v="45"/>
    <m/>
    <n v="-45"/>
    <n v="10174.109999999981"/>
    <n v="10219.109999999981"/>
    <n v="45"/>
    <n v="3192.2800000000016"/>
    <n v="0"/>
    <n v="-3192.2800000000016"/>
    <n v="6981.8299999999899"/>
    <n v="10219.109999999981"/>
    <n v="3237.280000000002"/>
    <n v="227"/>
  </r>
  <r>
    <n v="2024"/>
    <n v="6"/>
    <x v="2"/>
    <d v="2024-06-11T00:00:00"/>
    <s v="Rogers"/>
    <x v="1"/>
    <x v="3"/>
    <n v="551.40000000000009"/>
    <n v="551.40000000000009"/>
    <n v="0"/>
    <n v="7.46"/>
    <n v="7.46"/>
    <n v="0"/>
    <n v="15.99"/>
    <n v="15.99"/>
    <n v="0"/>
    <n v="-112.5"/>
    <n v="-112.5"/>
    <n v="0"/>
    <n v="0"/>
    <n v="0"/>
    <n v="0"/>
    <n v="0"/>
    <n v="0"/>
    <n v="0"/>
    <n v="462.35"/>
    <n v="462.35"/>
    <n v="0"/>
    <n v="45.75"/>
    <n v="45.75"/>
    <n v="0"/>
    <n v="416.6"/>
    <n v="416.6"/>
    <n v="0"/>
    <n v="89.310000000000016"/>
    <n v="0"/>
    <n v="-89.310000000000016"/>
    <n v="327.28999999999996"/>
    <n v="416.6"/>
    <n v="89.31"/>
    <n v="13"/>
  </r>
  <r>
    <n v="2024"/>
    <n v="6"/>
    <x v="2"/>
    <d v="2024-06-12T00:00:00"/>
    <s v="Rogers"/>
    <x v="1"/>
    <x v="3"/>
    <n v="3075.400000000006"/>
    <n v="3075.400000000006"/>
    <n v="0"/>
    <n v="489.70999999999987"/>
    <n v="489.70999999999987"/>
    <n v="0"/>
    <n v="22.98"/>
    <n v="22.98"/>
    <n v="0"/>
    <n v="-215.8"/>
    <n v="-204.8"/>
    <n v="11"/>
    <n v="0"/>
    <n v="0"/>
    <n v="0"/>
    <n v="0"/>
    <n v="0"/>
    <n v="0"/>
    <n v="3372.2900000000063"/>
    <n v="3383.2900000000063"/>
    <n v="11"/>
    <n v="75.33"/>
    <n v="29.58"/>
    <n v="-45.75"/>
    <n v="3296.9600000000064"/>
    <n v="3353.7100000000064"/>
    <n v="56.750000000000014"/>
    <n v="1048.1899999999998"/>
    <n v="0"/>
    <n v="-1048.1899999999998"/>
    <n v="2248.7700000000023"/>
    <n v="3353.7100000000064"/>
    <n v="1104.9399999999998"/>
    <n v="124"/>
  </r>
  <r>
    <n v="2024"/>
    <n v="6"/>
    <x v="2"/>
    <d v="2024-06-13T00:00:00"/>
    <s v="Rogers"/>
    <x v="1"/>
    <x v="3"/>
    <n v="6928.4500000000044"/>
    <n v="6928.4500000000044"/>
    <n v="0"/>
    <n v="410.85999999999996"/>
    <n v="410.85999999999996"/>
    <n v="0"/>
    <n v="15.99"/>
    <n v="15.99"/>
    <n v="0"/>
    <n v="-1369.75"/>
    <n v="-1369.75"/>
    <n v="0"/>
    <n v="-16.8"/>
    <n v="-16.8"/>
    <n v="0"/>
    <n v="0"/>
    <n v="0"/>
    <n v="0"/>
    <n v="5968.7500000000027"/>
    <n v="5968.7500000000027"/>
    <n v="0"/>
    <n v="76.039999999999992"/>
    <n v="46.46"/>
    <n v="-29.58"/>
    <n v="5892.7100000000028"/>
    <n v="5922.2900000000027"/>
    <n v="29.58"/>
    <n v="1596.25"/>
    <n v="0"/>
    <n v="-1596.25"/>
    <n v="4296.4599999999973"/>
    <n v="5922.2900000000027"/>
    <n v="1625.83"/>
    <n v="208"/>
  </r>
  <r>
    <n v="2024"/>
    <n v="6"/>
    <x v="2"/>
    <d v="2024-06-14T00:00:00"/>
    <s v="Rogers"/>
    <x v="1"/>
    <x v="3"/>
    <n v="7517.8000000000184"/>
    <n v="7517.8000000000184"/>
    <n v="0"/>
    <n v="505.25999999999988"/>
    <n v="505.25999999999988"/>
    <n v="0"/>
    <n v="0"/>
    <n v="0"/>
    <n v="0"/>
    <n v="-1138.1100000000004"/>
    <n v="-1138.1100000000004"/>
    <n v="0"/>
    <n v="-23.8"/>
    <n v="-23.8"/>
    <n v="0"/>
    <n v="0"/>
    <n v="0"/>
    <n v="0"/>
    <n v="6861.1500000000151"/>
    <n v="6861.1500000000151"/>
    <n v="0"/>
    <n v="98.170000000000016"/>
    <n v="51.71"/>
    <n v="-46.46"/>
    <n v="6762.980000000015"/>
    <n v="6809.4400000000151"/>
    <n v="46.46"/>
    <n v="2366.1899999999987"/>
    <n v="0"/>
    <n v="-2366.1899999999987"/>
    <n v="4396.7899999999972"/>
    <n v="6809.4400000000151"/>
    <n v="2412.6499999999987"/>
    <n v="229"/>
  </r>
  <r>
    <n v="2024"/>
    <n v="6"/>
    <x v="2"/>
    <d v="2024-06-15T00:00:00"/>
    <s v="Rogers"/>
    <x v="1"/>
    <x v="3"/>
    <n v="6324.9000000000078"/>
    <n v="6324.9000000000078"/>
    <n v="0"/>
    <n v="759.43000000000018"/>
    <n v="759.43000000000018"/>
    <n v="0"/>
    <n v="28.98"/>
    <n v="28.98"/>
    <n v="0"/>
    <n v="-1139.3499999999997"/>
    <n v="-1139.3499999999997"/>
    <n v="0"/>
    <n v="-27.400000000000002"/>
    <n v="-27.400000000000002"/>
    <n v="0"/>
    <n v="0"/>
    <n v="0"/>
    <n v="0"/>
    <n v="5946.560000000004"/>
    <n v="5946.560000000004"/>
    <n v="0"/>
    <n v="138.32"/>
    <n v="86.61"/>
    <n v="-51.71"/>
    <n v="5808.2400000000043"/>
    <n v="5859.9500000000044"/>
    <n v="51.71"/>
    <n v="1826.6199999999992"/>
    <n v="0"/>
    <n v="-1826.6199999999992"/>
    <n v="3981.619999999999"/>
    <n v="5859.9500000000044"/>
    <n v="1878.3299999999997"/>
    <n v="195"/>
  </r>
  <r>
    <n v="2024"/>
    <n v="6"/>
    <x v="2"/>
    <d v="2024-06-09T00:00:00"/>
    <s v="Rogers"/>
    <x v="1"/>
    <x v="4"/>
    <n v="9282.2499999999964"/>
    <n v="9282.2499999999964"/>
    <n v="0"/>
    <n v="344.52999999999986"/>
    <n v="344.52999999999986"/>
    <n v="0"/>
    <n v="203.90000000000003"/>
    <n v="203.90000000000003"/>
    <n v="0"/>
    <n v="-3387.7499999999991"/>
    <n v="-3365.7499999999991"/>
    <n v="22"/>
    <n v="-60"/>
    <n v="-60"/>
    <n v="0"/>
    <n v="-15"/>
    <n v="-15"/>
    <n v="0"/>
    <n v="6367.9300000000012"/>
    <n v="6389.93"/>
    <n v="22"/>
    <n v="908.20999999999981"/>
    <n v="466.90000000000003"/>
    <n v="-441.31000000000006"/>
    <n v="5459.72"/>
    <n v="5923.0300000000007"/>
    <n v="463.31000000000006"/>
    <n v="277.55999999999995"/>
    <n v="0"/>
    <n v="-277.55999999999995"/>
    <n v="5182.1600000000008"/>
    <n v="5923.0300000000007"/>
    <n v="740.87000000000012"/>
    <n v="108"/>
  </r>
  <r>
    <n v="2024"/>
    <n v="6"/>
    <x v="2"/>
    <d v="2024-06-10T00:00:00"/>
    <s v="Rogers"/>
    <x v="1"/>
    <x v="4"/>
    <n v="8253.42"/>
    <n v="8253.42"/>
    <n v="0"/>
    <n v="241.50999999999996"/>
    <n v="241.50999999999996"/>
    <n v="0"/>
    <n v="156.91"/>
    <n v="156.91"/>
    <n v="0"/>
    <n v="-2587.2999999999993"/>
    <n v="-2587.2999999999993"/>
    <n v="0"/>
    <n v="-50"/>
    <n v="-50"/>
    <n v="0"/>
    <n v="-10"/>
    <n v="-10"/>
    <n v="0"/>
    <n v="6004.54"/>
    <n v="6004.54"/>
    <n v="0"/>
    <n v="837.87"/>
    <n v="287.90000000000003"/>
    <n v="-549.97"/>
    <n v="5166.6699999999992"/>
    <n v="5716.6399999999994"/>
    <n v="549.97"/>
    <n v="611.62999999999988"/>
    <n v="76.39"/>
    <n v="-535.24"/>
    <n v="4555.0399999999991"/>
    <n v="5640.2499999999991"/>
    <n v="1085.2099999999998"/>
    <n v="102"/>
  </r>
  <r>
    <n v="2024"/>
    <n v="6"/>
    <x v="2"/>
    <d v="2024-06-11T00:00:00"/>
    <s v="Rogers"/>
    <x v="1"/>
    <x v="4"/>
    <n v="1675"/>
    <n v="1675"/>
    <n v="0"/>
    <n v="44.360000000000007"/>
    <n v="44.360000000000007"/>
    <n v="0"/>
    <n v="69.95"/>
    <n v="69.95"/>
    <n v="0"/>
    <n v="-478.5"/>
    <n v="-478.5"/>
    <n v="0"/>
    <n v="0"/>
    <n v="0"/>
    <n v="0"/>
    <n v="-5"/>
    <n v="-5"/>
    <n v="0"/>
    <n v="1305.81"/>
    <n v="1305.81"/>
    <n v="0"/>
    <n v="337.07000000000005"/>
    <n v="49.17"/>
    <n v="-287.90000000000003"/>
    <n v="968.74000000000012"/>
    <n v="1256.6400000000001"/>
    <n v="287.90000000000003"/>
    <n v="-5.3900000000000006"/>
    <n v="0"/>
    <n v="5.3900000000000006"/>
    <n v="974.13"/>
    <n v="1256.6400000000001"/>
    <n v="282.51000000000005"/>
    <n v="20"/>
  </r>
  <r>
    <n v="2024"/>
    <n v="6"/>
    <x v="2"/>
    <d v="2024-06-12T00:00:00"/>
    <s v="Rogers"/>
    <x v="1"/>
    <x v="4"/>
    <n v="5808.1500000000005"/>
    <n v="5808.1500000000005"/>
    <n v="0"/>
    <n v="124.79"/>
    <n v="124.79"/>
    <n v="0"/>
    <n v="85.94"/>
    <n v="85.94"/>
    <n v="0"/>
    <n v="-2344.5"/>
    <n v="-2333.5"/>
    <n v="11"/>
    <n v="-20"/>
    <n v="-20"/>
    <n v="0"/>
    <n v="0"/>
    <n v="0"/>
    <n v="0"/>
    <n v="3654.3799999999997"/>
    <n v="3665.3799999999997"/>
    <n v="11"/>
    <n v="502.75"/>
    <n v="453.58"/>
    <n v="-49.17"/>
    <n v="3151.6299999999992"/>
    <n v="3211.7999999999988"/>
    <n v="60.17"/>
    <n v="363.50000000000034"/>
    <n v="0"/>
    <n v="-363.50000000000034"/>
    <n v="2788.1299999999992"/>
    <n v="3211.7999999999988"/>
    <n v="423.67000000000041"/>
    <n v="68"/>
  </r>
  <r>
    <n v="2024"/>
    <n v="6"/>
    <x v="2"/>
    <d v="2024-06-13T00:00:00"/>
    <s v="Rogers"/>
    <x v="1"/>
    <x v="4"/>
    <n v="10989.349999999999"/>
    <n v="10989.349999999999"/>
    <n v="0"/>
    <n v="293.03000000000003"/>
    <n v="293.03000000000003"/>
    <n v="0"/>
    <n v="195.87000000000003"/>
    <n v="195.87000000000003"/>
    <n v="0"/>
    <n v="-3448.6000000000004"/>
    <n v="-3432.2000000000007"/>
    <n v="16.400000000000002"/>
    <n v="-46"/>
    <n v="-46"/>
    <n v="0"/>
    <n v="-5"/>
    <n v="-5"/>
    <n v="0"/>
    <n v="7978.6499999999969"/>
    <n v="7995.0499999999965"/>
    <n v="16.399999999999999"/>
    <n v="732.1099999999999"/>
    <n v="274.88"/>
    <n v="-457.23"/>
    <n v="7246.5399999999963"/>
    <n v="7720.1699999999964"/>
    <n v="473.63000000000005"/>
    <n v="1159.0100000000004"/>
    <n v="0"/>
    <n v="-1159.0100000000004"/>
    <n v="6087.5299999999979"/>
    <n v="7720.1699999999964"/>
    <n v="1632.640000000001"/>
    <n v="139"/>
  </r>
  <r>
    <n v="2024"/>
    <n v="6"/>
    <x v="2"/>
    <d v="2024-06-14T00:00:00"/>
    <s v="Rogers"/>
    <x v="1"/>
    <x v="4"/>
    <n v="12676.15"/>
    <n v="12676.15"/>
    <n v="0"/>
    <n v="211.26"/>
    <n v="211.26"/>
    <n v="0"/>
    <n v="94.929999999999993"/>
    <n v="94.929999999999993"/>
    <n v="0"/>
    <n v="-3708.4499999999994"/>
    <n v="-3697.4499999999994"/>
    <n v="11"/>
    <n v="-41.5"/>
    <n v="-41.5"/>
    <n v="0"/>
    <n v="-5"/>
    <n v="-5"/>
    <n v="0"/>
    <n v="9227.3900000000012"/>
    <n v="9238.3900000000012"/>
    <n v="11"/>
    <n v="682.6400000000001"/>
    <n v="375.55"/>
    <n v="-307.09000000000003"/>
    <n v="8544.75"/>
    <n v="8862.84"/>
    <n v="318.09000000000003"/>
    <n v="1797.14"/>
    <n v="0"/>
    <n v="-1797.14"/>
    <n v="6747.6100000000033"/>
    <n v="8862.84"/>
    <n v="2115.23"/>
    <n v="172"/>
  </r>
  <r>
    <n v="2024"/>
    <n v="6"/>
    <x v="2"/>
    <d v="2024-06-15T00:00:00"/>
    <s v="Rogers"/>
    <x v="1"/>
    <x v="4"/>
    <n v="15657.449999999995"/>
    <n v="15657.449999999995"/>
    <n v="0"/>
    <n v="292.86999999999995"/>
    <n v="292.86999999999995"/>
    <n v="0"/>
    <n v="127.94999999999999"/>
    <n v="127.94999999999999"/>
    <n v="0"/>
    <n v="-5712.5499999999993"/>
    <n v="-5707.5499999999993"/>
    <n v="5"/>
    <n v="-20.400000000000002"/>
    <n v="-20.400000000000002"/>
    <n v="0"/>
    <n v="0"/>
    <n v="0"/>
    <n v="0"/>
    <n v="10345.319999999998"/>
    <n v="10350.319999999998"/>
    <n v="5"/>
    <n v="1212.6400000000003"/>
    <n v="833.21000000000015"/>
    <n v="-379.43"/>
    <n v="9132.6799999999912"/>
    <n v="9517.1099999999915"/>
    <n v="384.43"/>
    <n v="933.40000000000123"/>
    <n v="0"/>
    <n v="-933.40000000000123"/>
    <n v="8199.2800000000007"/>
    <n v="9517.1099999999915"/>
    <n v="1317.8299999999995"/>
    <n v="205"/>
  </r>
  <r>
    <n v="2024"/>
    <n v="6"/>
    <x v="2"/>
    <d v="2024-06-09T00:00:00"/>
    <s v="Rogers"/>
    <x v="1"/>
    <x v="5"/>
    <n v="43554.100000000006"/>
    <n v="43554.100000000006"/>
    <n v="0"/>
    <n v="594.99999999999943"/>
    <n v="594.99999999999943"/>
    <n v="0"/>
    <n v="1384.1100000000006"/>
    <n v="1384.1100000000006"/>
    <n v="0"/>
    <n v="-12759.35"/>
    <n v="-12046.85"/>
    <n v="712.5"/>
    <n v="-25"/>
    <n v="-25"/>
    <n v="0"/>
    <n v="-26.6"/>
    <n v="-26.6"/>
    <n v="0"/>
    <n v="32722.260000000042"/>
    <n v="33434.760000000053"/>
    <n v="712.5"/>
    <n v="9257.1200000000008"/>
    <n v="4706.5200000000032"/>
    <n v="-4550.6000000000031"/>
    <n v="23465.140000000029"/>
    <n v="28728.240000000034"/>
    <n v="5263.1000000000031"/>
    <n v="-2412.7900000000009"/>
    <n v="0"/>
    <n v="2412.7900000000009"/>
    <n v="25877.930000000026"/>
    <n v="28728.240000000034"/>
    <n v="2850.31"/>
    <n v="504"/>
  </r>
  <r>
    <n v="2024"/>
    <n v="6"/>
    <x v="2"/>
    <d v="2024-06-10T00:00:00"/>
    <s v="Rogers"/>
    <x v="1"/>
    <x v="5"/>
    <n v="40993"/>
    <n v="40993"/>
    <n v="0"/>
    <n v="423.83999999999935"/>
    <n v="423.83999999999935"/>
    <n v="0"/>
    <n v="1479.0900000000006"/>
    <n v="1463.1000000000006"/>
    <n v="-15.99"/>
    <n v="-11834.55"/>
    <n v="-11208.55"/>
    <n v="626"/>
    <n v="-15"/>
    <n v="-15"/>
    <n v="0"/>
    <n v="-20"/>
    <n v="-20"/>
    <n v="0"/>
    <n v="31026.379999999997"/>
    <n v="31636.389999999996"/>
    <n v="610.01"/>
    <n v="8712.0300000000043"/>
    <n v="4207.3300000000027"/>
    <n v="-4504.7000000000035"/>
    <n v="22314.35000000002"/>
    <n v="27429.060000000009"/>
    <n v="5114.7100000000037"/>
    <n v="-2186.630000000001"/>
    <n v="0"/>
    <n v="2186.630000000001"/>
    <n v="24500.98"/>
    <n v="27429.060000000009"/>
    <n v="2928.0800000000008"/>
    <n v="475"/>
  </r>
  <r>
    <n v="2024"/>
    <n v="6"/>
    <x v="2"/>
    <d v="2024-06-11T00:00:00"/>
    <s v="Rogers"/>
    <x v="1"/>
    <x v="5"/>
    <n v="37754"/>
    <n v="37754"/>
    <n v="0"/>
    <n v="447.38999999999953"/>
    <n v="447.38999999999953"/>
    <n v="0"/>
    <n v="1144.3100000000004"/>
    <n v="1144.3100000000004"/>
    <n v="0"/>
    <n v="-10737.55"/>
    <n v="-10079.299999999999"/>
    <n v="658.25"/>
    <n v="-25"/>
    <n v="-25"/>
    <n v="0"/>
    <n v="-5"/>
    <n v="-5"/>
    <n v="0"/>
    <n v="28578.150000000041"/>
    <n v="29236.400000000045"/>
    <n v="658.25"/>
    <n v="8437.8300000000072"/>
    <n v="4329.5000000000027"/>
    <n v="-4108.3300000000036"/>
    <n v="20140.320000000025"/>
    <n v="24906.900000000031"/>
    <n v="4766.5800000000045"/>
    <n v="-2253.8599999999992"/>
    <n v="0"/>
    <n v="2253.8599999999992"/>
    <n v="22394.18000000004"/>
    <n v="24906.900000000031"/>
    <n v="2512.720000000003"/>
    <n v="435"/>
  </r>
  <r>
    <n v="2024"/>
    <n v="6"/>
    <x v="2"/>
    <d v="2024-06-12T00:00:00"/>
    <s v="Rogers"/>
    <x v="1"/>
    <x v="5"/>
    <n v="50890.05"/>
    <n v="50890.05"/>
    <n v="0"/>
    <n v="651.83000000000129"/>
    <n v="651.83000000000129"/>
    <n v="0"/>
    <n v="1183.2700000000004"/>
    <n v="1183.2700000000004"/>
    <n v="0"/>
    <n v="-14122.82"/>
    <n v="-13076.82"/>
    <n v="1046"/>
    <n v="-60"/>
    <n v="-60"/>
    <n v="0"/>
    <n v="-30"/>
    <n v="-30"/>
    <n v="0"/>
    <n v="38512.329999999951"/>
    <n v="39558.329999999951"/>
    <n v="1046"/>
    <n v="10518.189999999991"/>
    <n v="6426.7900000000063"/>
    <n v="-4091.4000000000028"/>
    <n v="27994.140000000032"/>
    <n v="33131.540000000023"/>
    <n v="5137.4000000000033"/>
    <n v="-3277.1000000000045"/>
    <n v="0"/>
    <n v="3277.1000000000045"/>
    <n v="31271.24000000002"/>
    <n v="33131.540000000023"/>
    <n v="1860.2999999999997"/>
    <n v="598"/>
  </r>
  <r>
    <n v="2024"/>
    <n v="6"/>
    <x v="2"/>
    <d v="2024-06-13T00:00:00"/>
    <s v="Rogers"/>
    <x v="1"/>
    <x v="5"/>
    <n v="50562.05"/>
    <n v="50562.05"/>
    <n v="0"/>
    <n v="861.45000000000107"/>
    <n v="861.45000000000107"/>
    <n v="0"/>
    <n v="1665.9600000000007"/>
    <n v="1665.9600000000007"/>
    <n v="0"/>
    <n v="-15061.399999999998"/>
    <n v="-14518.399999999998"/>
    <n v="543"/>
    <n v="-100"/>
    <n v="-100"/>
    <n v="0"/>
    <n v="-25"/>
    <n v="-25"/>
    <n v="0"/>
    <n v="37903.06"/>
    <n v="38446.05999999999"/>
    <n v="543"/>
    <n v="10780.519999999988"/>
    <n v="4584.0700000000033"/>
    <n v="-6196.4500000000053"/>
    <n v="27122.540000000055"/>
    <n v="33861.990000000049"/>
    <n v="6739.4500000000062"/>
    <n v="-2359.3400000000006"/>
    <n v="0"/>
    <n v="2359.3400000000006"/>
    <n v="29481.880000000026"/>
    <n v="33861.990000000049"/>
    <n v="4380.1100000000069"/>
    <n v="585"/>
  </r>
  <r>
    <n v="2024"/>
    <n v="6"/>
    <x v="2"/>
    <d v="2024-06-14T00:00:00"/>
    <s v="Rogers"/>
    <x v="1"/>
    <x v="5"/>
    <n v="43013.100000000006"/>
    <n v="43013.100000000006"/>
    <n v="0"/>
    <n v="631.3500000000007"/>
    <n v="631.3500000000007"/>
    <n v="0"/>
    <n v="1534.0400000000006"/>
    <n v="1518.0500000000006"/>
    <n v="-15.99"/>
    <n v="-13460.9"/>
    <n v="-13072.65"/>
    <n v="388.25"/>
    <n v="-50"/>
    <n v="-50"/>
    <n v="0"/>
    <n v="-30"/>
    <n v="-30"/>
    <n v="0"/>
    <n v="31637.590000000015"/>
    <n v="32009.850000000013"/>
    <n v="372.26"/>
    <n v="9112.7699999999986"/>
    <n v="4564.8200000000033"/>
    <n v="-4547.9500000000044"/>
    <n v="22524.820000000025"/>
    <n v="27445.030000000017"/>
    <n v="4920.2100000000037"/>
    <n v="-2142.2599999999989"/>
    <n v="0"/>
    <n v="2142.2599999999989"/>
    <n v="24667.080000000009"/>
    <n v="27445.030000000017"/>
    <n v="2777.9500000000039"/>
    <n v="484"/>
  </r>
  <r>
    <n v="2024"/>
    <n v="6"/>
    <x v="2"/>
    <d v="2024-06-15T00:00:00"/>
    <s v="Rogers"/>
    <x v="1"/>
    <x v="5"/>
    <n v="36534.25"/>
    <n v="36534.25"/>
    <n v="0"/>
    <n v="419.35999999999933"/>
    <n v="419.35999999999933"/>
    <n v="0"/>
    <n v="1297.1900000000005"/>
    <n v="1297.1900000000005"/>
    <n v="0"/>
    <n v="-10670.650000000001"/>
    <n v="-10234.650000000001"/>
    <n v="436"/>
    <n v="-10"/>
    <n v="-10"/>
    <n v="0"/>
    <n v="-15"/>
    <n v="-15"/>
    <n v="0"/>
    <n v="27555.150000000012"/>
    <n v="27991.150000000012"/>
    <n v="436"/>
    <n v="8486.4200000000037"/>
    <n v="3996.8600000000015"/>
    <n v="-4489.5600000000031"/>
    <n v="19068.730000000018"/>
    <n v="23994.290000000015"/>
    <n v="4925.5600000000031"/>
    <n v="-1833.899999999998"/>
    <n v="0"/>
    <n v="1833.899999999998"/>
    <n v="20902.630000000023"/>
    <n v="23994.290000000015"/>
    <n v="3091.6600000000026"/>
    <n v="418"/>
  </r>
  <r>
    <n v="2024"/>
    <n v="6"/>
    <x v="2"/>
    <d v="2024-06-09T00:00:00"/>
    <s v="Rogers"/>
    <x v="1"/>
    <x v="6"/>
    <n v="6444.4000000000005"/>
    <n v="6444.4000000000005"/>
    <n v="0"/>
    <n v="42.5"/>
    <n v="42.5"/>
    <n v="0"/>
    <n v="0"/>
    <n v="0"/>
    <n v="0"/>
    <n v="-1841.4999999999993"/>
    <n v="-1841.4999999999993"/>
    <n v="0"/>
    <n v="-8"/>
    <n v="-8"/>
    <n v="0"/>
    <n v="0"/>
    <n v="0"/>
    <n v="0"/>
    <n v="4637.4000000000005"/>
    <n v="4637.4000000000005"/>
    <n v="0"/>
    <n v="405.60999999999984"/>
    <n v="33.33"/>
    <n v="-372.28"/>
    <n v="4231.7900000000045"/>
    <n v="4604.0700000000015"/>
    <n v="372.27999999999963"/>
    <n v="1156.8299999999995"/>
    <n v="213.96999999999989"/>
    <n v="-942.86000000000013"/>
    <n v="3074.9600000000046"/>
    <n v="4390.100000000004"/>
    <n v="1315.1399999999994"/>
    <n v="118"/>
  </r>
  <r>
    <n v="2024"/>
    <n v="6"/>
    <x v="2"/>
    <d v="2024-06-10T00:00:00"/>
    <s v="Rogers"/>
    <x v="1"/>
    <x v="6"/>
    <n v="7459"/>
    <n v="7459"/>
    <n v="0"/>
    <n v="22.96"/>
    <n v="22.96"/>
    <n v="0"/>
    <n v="0"/>
    <n v="0"/>
    <n v="0"/>
    <n v="-2325.3500000000004"/>
    <n v="-2325.3500000000004"/>
    <n v="0"/>
    <n v="0"/>
    <n v="0"/>
    <n v="0"/>
    <n v="0"/>
    <n v="0"/>
    <n v="0"/>
    <n v="5156.6100000000006"/>
    <n v="5156.6100000000006"/>
    <n v="0"/>
    <n v="607.5300000000002"/>
    <n v="4.42"/>
    <n v="-603.11000000000013"/>
    <n v="4549.0800000000027"/>
    <n v="5152.1900000000005"/>
    <n v="603.10999999999979"/>
    <n v="917.11000000000047"/>
    <n v="358.4799999999999"/>
    <n v="-558.63000000000011"/>
    <n v="3631.9699999999984"/>
    <n v="4793.7099999999991"/>
    <n v="1161.7399999999989"/>
    <n v="126"/>
  </r>
  <r>
    <n v="2024"/>
    <n v="6"/>
    <x v="2"/>
    <d v="2024-06-11T00:00:00"/>
    <s v="Rogers"/>
    <x v="1"/>
    <x v="6"/>
    <n v="413.3"/>
    <n v="413.3"/>
    <n v="0"/>
    <n v="10.46"/>
    <n v="10.46"/>
    <n v="0"/>
    <n v="0"/>
    <n v="0"/>
    <n v="0"/>
    <n v="-159.6"/>
    <n v="-159.6"/>
    <n v="0"/>
    <n v="0"/>
    <n v="0"/>
    <n v="0"/>
    <n v="0"/>
    <n v="0"/>
    <n v="0"/>
    <n v="264.16000000000003"/>
    <n v="264.16000000000003"/>
    <n v="0"/>
    <n v="21.08"/>
    <n v="16.66"/>
    <n v="-4.42"/>
    <n v="243.08"/>
    <n v="247.50000000000003"/>
    <n v="4.4200000000000017"/>
    <n v="-4.0000000000000036E-2"/>
    <n v="0"/>
    <n v="4.0000000000000036E-2"/>
    <n v="243.12000000000003"/>
    <n v="247.50000000000003"/>
    <n v="4.3800000000000061"/>
    <n v="6"/>
  </r>
  <r>
    <n v="2024"/>
    <n v="6"/>
    <x v="2"/>
    <d v="2024-06-12T00:00:00"/>
    <s v="Rogers"/>
    <x v="1"/>
    <x v="6"/>
    <n v="2240.6499999999996"/>
    <n v="2240.6499999999996"/>
    <n v="0"/>
    <n v="32.49"/>
    <n v="32.49"/>
    <n v="0"/>
    <n v="0"/>
    <n v="0"/>
    <n v="0"/>
    <n v="-659.3"/>
    <n v="-659.3"/>
    <n v="0"/>
    <n v="-4"/>
    <n v="-4"/>
    <n v="0"/>
    <n v="0"/>
    <n v="0"/>
    <n v="0"/>
    <n v="1609.84"/>
    <n v="1609.84"/>
    <n v="0"/>
    <n v="168.27000000000004"/>
    <n v="10"/>
    <n v="-158.27000000000004"/>
    <n v="1441.5700000000004"/>
    <n v="1599.84"/>
    <n v="158.26999999999992"/>
    <n v="361.96"/>
    <n v="95.34"/>
    <n v="-266.62000000000006"/>
    <n v="1079.6099999999997"/>
    <n v="1504.5"/>
    <n v="424.88999999999982"/>
    <n v="40"/>
  </r>
  <r>
    <n v="2024"/>
    <n v="6"/>
    <x v="2"/>
    <d v="2024-06-13T00:00:00"/>
    <s v="Rogers"/>
    <x v="1"/>
    <x v="6"/>
    <n v="4152.05"/>
    <n v="4152.05"/>
    <n v="0"/>
    <n v="7"/>
    <n v="7"/>
    <n v="0"/>
    <n v="13"/>
    <n v="13"/>
    <n v="0"/>
    <n v="-1198.9499999999998"/>
    <n v="-1198.9499999999998"/>
    <n v="0"/>
    <n v="0"/>
    <n v="0"/>
    <n v="0"/>
    <n v="0"/>
    <n v="0"/>
    <n v="0"/>
    <n v="2973.1000000000013"/>
    <n v="2973.1000000000013"/>
    <n v="0"/>
    <n v="45"/>
    <n v="35"/>
    <n v="-10"/>
    <n v="2928.1000000000013"/>
    <n v="2938.1000000000013"/>
    <n v="10"/>
    <n v="680.17000000000019"/>
    <n v="0"/>
    <n v="-680.17000000000019"/>
    <n v="2247.9300000000003"/>
    <n v="2938.1000000000013"/>
    <n v="690.1700000000003"/>
    <n v="68"/>
  </r>
  <r>
    <n v="2024"/>
    <n v="6"/>
    <x v="2"/>
    <d v="2024-06-14T00:00:00"/>
    <s v="Rogers"/>
    <x v="1"/>
    <x v="6"/>
    <n v="4030.45"/>
    <n v="4030.45"/>
    <n v="0"/>
    <n v="10"/>
    <n v="10"/>
    <n v="0"/>
    <n v="0"/>
    <n v="0"/>
    <n v="0"/>
    <n v="-698.95"/>
    <n v="-698.95"/>
    <n v="0"/>
    <n v="0"/>
    <n v="0"/>
    <n v="0"/>
    <n v="0"/>
    <n v="0"/>
    <n v="0"/>
    <n v="3341.5"/>
    <n v="3341.5"/>
    <n v="0"/>
    <n v="104.08"/>
    <n v="69.08"/>
    <n v="-35"/>
    <n v="3237.42"/>
    <n v="3272.42"/>
    <n v="35"/>
    <n v="427.58"/>
    <n v="0"/>
    <n v="-427.58"/>
    <n v="2809.8400000000006"/>
    <n v="3272.42"/>
    <n v="462.58"/>
    <n v="77"/>
  </r>
  <r>
    <n v="2024"/>
    <n v="6"/>
    <x v="2"/>
    <d v="2024-06-15T00:00:00"/>
    <s v="Rogers"/>
    <x v="1"/>
    <x v="6"/>
    <n v="4637.4500000000007"/>
    <n v="4637.4500000000007"/>
    <n v="0"/>
    <n v="30"/>
    <n v="30"/>
    <n v="0"/>
    <n v="0"/>
    <n v="0"/>
    <n v="0"/>
    <n v="-933.45"/>
    <n v="-933.45"/>
    <n v="0"/>
    <n v="-12"/>
    <n v="-12"/>
    <n v="0"/>
    <n v="0"/>
    <n v="0"/>
    <n v="0"/>
    <n v="3722.0000000000009"/>
    <n v="3722.0000000000009"/>
    <n v="0"/>
    <n v="104.08"/>
    <n v="35"/>
    <n v="-69.08"/>
    <n v="3617.920000000001"/>
    <n v="3687.0000000000009"/>
    <n v="69.08"/>
    <n v="750.5400000000003"/>
    <n v="0"/>
    <n v="-750.5400000000003"/>
    <n v="2867.3800000000015"/>
    <n v="3687.0000000000009"/>
    <n v="819.62000000000023"/>
    <n v="82"/>
  </r>
  <r>
    <n v="2024"/>
    <n v="6"/>
    <x v="3"/>
    <d v="2024-06-16T00:00:00"/>
    <s v="Fido"/>
    <x v="0"/>
    <x v="0"/>
    <n v="161515.5"/>
    <n v="161515.5"/>
    <n v="0"/>
    <n v="1824.3800000000288"/>
    <n v="1831.380000000029"/>
    <n v="7"/>
    <n v="3664.4499999999757"/>
    <n v="3664.4499999999757"/>
    <n v="0"/>
    <n v="-15638.39"/>
    <n v="-13606.39"/>
    <n v="2032"/>
    <n v="-26.060000000000006"/>
    <n v="-26.520000000000003"/>
    <n v="-0.46"/>
    <n v="-88"/>
    <n v="-88"/>
    <n v="0"/>
    <n v="151251.8800000012"/>
    <n v="153290.42000000112"/>
    <n v="2038.54"/>
    <n v="61414.38000000023"/>
    <n v="33934.709999999694"/>
    <n v="-27479.669999999755"/>
    <n v="89837.500000000407"/>
    <n v="119355.71000000159"/>
    <n v="29518.209999999755"/>
    <n v="-15903.869999999999"/>
    <n v="0"/>
    <n v="15903.869999999999"/>
    <n v="105741.3700000003"/>
    <n v="119355.71000000159"/>
    <n v="13614.340000000009"/>
    <n v="2788"/>
  </r>
  <r>
    <n v="2024"/>
    <n v="6"/>
    <x v="3"/>
    <d v="2024-06-17T00:00:00"/>
    <s v="Fido"/>
    <x v="0"/>
    <x v="0"/>
    <n v="162950.75"/>
    <n v="162950.75"/>
    <n v="0"/>
    <n v="1726.2700000000309"/>
    <n v="1719.2700000000309"/>
    <n v="-7"/>
    <n v="3915.2499999999732"/>
    <n v="3915.2499999999732"/>
    <n v="0"/>
    <n v="-15485.14"/>
    <n v="-13110.14"/>
    <n v="2375"/>
    <n v="-16.880000000000003"/>
    <n v="-16.880000000000003"/>
    <n v="0"/>
    <n v="-83"/>
    <n v="-83"/>
    <n v="0"/>
    <n v="153007.25000000116"/>
    <n v="155375.25000000111"/>
    <n v="2368"/>
    <n v="61723.450000000259"/>
    <n v="28537.409999999727"/>
    <n v="-33186.039999999644"/>
    <n v="91283.800000000338"/>
    <n v="126837.84000000134"/>
    <n v="35554.039999999761"/>
    <n v="-13927.449999999995"/>
    <n v="0"/>
    <n v="13927.449999999995"/>
    <n v="105211.25000000058"/>
    <n v="126837.84000000134"/>
    <n v="21626.589999999898"/>
    <n v="2825"/>
  </r>
  <r>
    <n v="2024"/>
    <n v="6"/>
    <x v="3"/>
    <d v="2024-06-18T00:00:00"/>
    <s v="Fido"/>
    <x v="0"/>
    <x v="0"/>
    <n v="149019"/>
    <n v="149019"/>
    <n v="0"/>
    <n v="1415.6000000000195"/>
    <n v="1415.6000000000195"/>
    <n v="0"/>
    <n v="2875.9399999999882"/>
    <n v="2875.9399999999882"/>
    <n v="0"/>
    <n v="-13991.880000000001"/>
    <n v="-13230.880000000001"/>
    <n v="761"/>
    <n v="-9.5500000000000007"/>
    <n v="-9.5500000000000007"/>
    <n v="0"/>
    <n v="-57.99"/>
    <n v="-57.99"/>
    <n v="0"/>
    <n v="139251.12000000145"/>
    <n v="140012.12000000139"/>
    <n v="761"/>
    <n v="55642.260000000111"/>
    <n v="27441.619999999773"/>
    <n v="-28200.639999999752"/>
    <n v="83608.860000000073"/>
    <n v="112570.50000000095"/>
    <n v="28961.639999999734"/>
    <n v="-13115.330000000009"/>
    <n v="0"/>
    <n v="13115.330000000009"/>
    <n v="96724.190000000075"/>
    <n v="112570.50000000095"/>
    <n v="15846.309999999981"/>
    <n v="2580"/>
  </r>
  <r>
    <n v="2024"/>
    <n v="6"/>
    <x v="3"/>
    <d v="2024-06-19T00:00:00"/>
    <s v="Fido"/>
    <x v="0"/>
    <x v="0"/>
    <n v="164596.25"/>
    <n v="164596.25"/>
    <n v="0"/>
    <n v="1841.2100000000314"/>
    <n v="1841.2100000000314"/>
    <n v="0"/>
    <n v="2738.0599999999909"/>
    <n v="2729.0699999999906"/>
    <n v="-8.99"/>
    <n v="-17078.38"/>
    <n v="-14376.380000000001"/>
    <n v="2702"/>
    <n v="-8.2700000000000031"/>
    <n v="-8.2700000000000031"/>
    <n v="0"/>
    <n v="-105.49"/>
    <n v="-105.49"/>
    <n v="0"/>
    <n v="151983.38000000097"/>
    <n v="154676.39000000083"/>
    <n v="2693.01"/>
    <n v="64462.630000000099"/>
    <n v="37256.999999999847"/>
    <n v="-27205.629999999714"/>
    <n v="87520.750000000364"/>
    <n v="117419.39000000105"/>
    <n v="29898.639999999701"/>
    <n v="-17250.560000000009"/>
    <n v="0"/>
    <n v="17250.560000000009"/>
    <n v="104771.31000000035"/>
    <n v="117419.39000000105"/>
    <n v="12648.080000000025"/>
    <n v="2847"/>
  </r>
  <r>
    <n v="2024"/>
    <n v="6"/>
    <x v="3"/>
    <d v="2024-06-20T00:00:00"/>
    <s v="Fido"/>
    <x v="0"/>
    <x v="0"/>
    <n v="166987"/>
    <n v="166987"/>
    <n v="0"/>
    <n v="1998.1600000000271"/>
    <n v="1998.1600000000271"/>
    <n v="0"/>
    <n v="3268.6699999999814"/>
    <n v="3268.6699999999814"/>
    <n v="0"/>
    <n v="-16742.25"/>
    <n v="-14840.25"/>
    <n v="1902"/>
    <n v="-18.530000000000008"/>
    <n v="-18.530000000000008"/>
    <n v="0"/>
    <n v="-107.49000000000001"/>
    <n v="-107.49000000000001"/>
    <n v="0"/>
    <n v="155385.56000000073"/>
    <n v="157287.56000000058"/>
    <n v="1902"/>
    <n v="67293.409999999989"/>
    <n v="30401.219999999736"/>
    <n v="-36892.189999999784"/>
    <n v="88092.150000000314"/>
    <n v="126886.34000000132"/>
    <n v="38794.189999999769"/>
    <n v="-14376.359999999977"/>
    <n v="0"/>
    <n v="14376.359999999977"/>
    <n v="102468.51000000008"/>
    <n v="126886.34000000132"/>
    <n v="24417.829999999809"/>
    <n v="2887"/>
  </r>
  <r>
    <n v="2024"/>
    <n v="6"/>
    <x v="3"/>
    <d v="2024-06-21T00:00:00"/>
    <s v="Fido"/>
    <x v="0"/>
    <x v="0"/>
    <n v="145932"/>
    <n v="145932"/>
    <n v="0"/>
    <n v="1649.3700000000249"/>
    <n v="1642.3700000000249"/>
    <n v="-7"/>
    <n v="3157.7399999999839"/>
    <n v="3128.7599999999843"/>
    <n v="-28.98"/>
    <n v="-14859.25"/>
    <n v="-13412.25"/>
    <n v="1447"/>
    <n v="-19.89"/>
    <n v="-19.89"/>
    <n v="0"/>
    <n v="-101.98"/>
    <n v="-101.98"/>
    <n v="0"/>
    <n v="135757.99000000159"/>
    <n v="137169.01000000155"/>
    <n v="1411.02"/>
    <n v="58546.590000000026"/>
    <n v="28515.80999999979"/>
    <n v="-30030.779999999762"/>
    <n v="77211.400000000067"/>
    <n v="108653.20000000094"/>
    <n v="31441.799999999763"/>
    <n v="-13087.300000000005"/>
    <n v="0"/>
    <n v="13087.300000000005"/>
    <n v="90298.700000000201"/>
    <n v="108653.20000000094"/>
    <n v="18354.499999999945"/>
    <n v="2530"/>
  </r>
  <r>
    <n v="2024"/>
    <n v="6"/>
    <x v="3"/>
    <d v="2024-06-22T00:00:00"/>
    <s v="Fido"/>
    <x v="0"/>
    <x v="0"/>
    <n v="150871"/>
    <n v="150871"/>
    <n v="0"/>
    <n v="1634.5900000000231"/>
    <n v="1634.5900000000231"/>
    <n v="0"/>
    <n v="3214.739999999983"/>
    <n v="3214.739999999983"/>
    <n v="0"/>
    <n v="-14770.85"/>
    <n v="-13326.85"/>
    <n v="1444"/>
    <n v="-16.870000000000008"/>
    <n v="-16.870000000000008"/>
    <n v="0"/>
    <n v="-135.47"/>
    <n v="-135.47"/>
    <n v="0"/>
    <n v="140797.14000000153"/>
    <n v="142241.14000000144"/>
    <n v="1444"/>
    <n v="60548.000000000029"/>
    <n v="32176.399999999783"/>
    <n v="-28371.599999999791"/>
    <n v="80249.140000000189"/>
    <n v="110064.74000000117"/>
    <n v="29815.599999999777"/>
    <n v="-14817.919999999993"/>
    <n v="0"/>
    <n v="14817.919999999993"/>
    <n v="95067.05999999991"/>
    <n v="110064.74000000117"/>
    <n v="14997.679999999993"/>
    <n v="2646"/>
  </r>
  <r>
    <n v="2024"/>
    <n v="6"/>
    <x v="3"/>
    <d v="2024-06-20T00:00:00"/>
    <s v="Fido"/>
    <x v="0"/>
    <x v="1"/>
    <n v="50"/>
    <n v="0"/>
    <n v="-50"/>
    <n v="0"/>
    <n v="0"/>
    <n v="0"/>
    <n v="0"/>
    <n v="0"/>
    <n v="0"/>
    <n v="0"/>
    <n v="0"/>
    <n v="0"/>
    <n v="0"/>
    <n v="0"/>
    <n v="0"/>
    <n v="0"/>
    <n v="0"/>
    <n v="0"/>
    <n v="50"/>
    <n v="0"/>
    <n v="-50"/>
    <n v="18.75"/>
    <n v="18.75"/>
    <n v="0"/>
    <n v="31.25"/>
    <n v="0"/>
    <n v="-31.25"/>
    <n v="-8.16"/>
    <n v="0"/>
    <n v="8.16"/>
    <n v="39.410000000000004"/>
    <n v="0"/>
    <n v="-39.410000000000004"/>
    <n v="-1"/>
  </r>
  <r>
    <n v="2024"/>
    <n v="6"/>
    <x v="3"/>
    <d v="2024-06-16T00:00:00"/>
    <s v="Rogers"/>
    <x v="0"/>
    <x v="1"/>
    <n v="198986"/>
    <n v="198986"/>
    <n v="0"/>
    <n v="1393.8500000000165"/>
    <n v="1363.8500000000165"/>
    <n v="-30"/>
    <n v="8324.5399999999117"/>
    <n v="8305.549999999912"/>
    <n v="-18.990000000000002"/>
    <n v="-33942.5"/>
    <n v="-32677.989999999998"/>
    <n v="1264.51"/>
    <n v="-9.0300000000000029"/>
    <n v="-9.0300000000000029"/>
    <n v="0"/>
    <n v="-193.8"/>
    <n v="-193.8"/>
    <n v="0"/>
    <n v="174559.06000000035"/>
    <n v="175774.58000000031"/>
    <n v="1215.52"/>
    <n v="50895.729999999669"/>
    <n v="27360.249999999924"/>
    <n v="-23535.479999999909"/>
    <n v="123663.33000000063"/>
    <n v="148414.33000000045"/>
    <n v="24750.999999999905"/>
    <n v="-13036.250000000031"/>
    <n v="0"/>
    <n v="13036.250000000031"/>
    <n v="136699.57999999955"/>
    <n v="148414.33000000045"/>
    <n v="11714.749999999973"/>
    <n v="2537"/>
  </r>
  <r>
    <n v="2024"/>
    <n v="6"/>
    <x v="3"/>
    <d v="2024-06-17T00:00:00"/>
    <s v="Rogers"/>
    <x v="0"/>
    <x v="1"/>
    <n v="190014"/>
    <n v="190014"/>
    <n v="0"/>
    <n v="1288.5000000000127"/>
    <n v="1288.5000000000127"/>
    <n v="0"/>
    <n v="8716.369999999908"/>
    <n v="8665.3999999999087"/>
    <n v="-50.970000000000006"/>
    <n v="-33601.490000000005"/>
    <n v="-32344.239999999998"/>
    <n v="1257.25"/>
    <n v="-4.0000000000000009"/>
    <n v="-4.0000000000000009"/>
    <n v="0"/>
    <n v="-199.09"/>
    <n v="-199.09"/>
    <n v="0"/>
    <n v="166214.29000000042"/>
    <n v="167420.57000000036"/>
    <n v="1206.28"/>
    <n v="48433.919999999773"/>
    <n v="21831.569999999931"/>
    <n v="-26602.349999999904"/>
    <n v="117780.37000000068"/>
    <n v="145589.00000000061"/>
    <n v="27808.629999999896"/>
    <n v="-10305.04000000001"/>
    <n v="0"/>
    <n v="10305.04000000001"/>
    <n v="128085.41"/>
    <n v="145589.00000000061"/>
    <n v="17503.589999999876"/>
    <n v="2426"/>
  </r>
  <r>
    <n v="2024"/>
    <n v="6"/>
    <x v="3"/>
    <d v="2024-06-18T00:00:00"/>
    <s v="Rogers"/>
    <x v="0"/>
    <x v="1"/>
    <n v="151077"/>
    <n v="151077"/>
    <n v="0"/>
    <n v="1014.7500000000098"/>
    <n v="1014.7500000000098"/>
    <n v="0"/>
    <n v="6581.7799999999379"/>
    <n v="6581.7799999999379"/>
    <n v="0"/>
    <n v="-26270.5"/>
    <n v="-25950.25"/>
    <n v="320.25"/>
    <n v="-4.5000000000000009"/>
    <n v="-4.5000000000000009"/>
    <n v="0"/>
    <n v="-177.59"/>
    <n v="-177.59"/>
    <n v="0"/>
    <n v="132220.94000000105"/>
    <n v="132541.19000000108"/>
    <n v="320.25"/>
    <n v="38404.849999999802"/>
    <n v="16902.679999999935"/>
    <n v="-21502.169999999925"/>
    <n v="93816.090000000142"/>
    <n v="115638.51000000055"/>
    <n v="21822.419999999922"/>
    <n v="-8102.76"/>
    <n v="0"/>
    <n v="8102.76"/>
    <n v="101918.85000000011"/>
    <n v="115638.51000000055"/>
    <n v="13719.659999999923"/>
    <n v="1922"/>
  </r>
  <r>
    <n v="2024"/>
    <n v="6"/>
    <x v="3"/>
    <d v="2024-06-19T00:00:00"/>
    <s v="Rogers"/>
    <x v="0"/>
    <x v="1"/>
    <n v="166608"/>
    <n v="166608"/>
    <n v="0"/>
    <n v="1093.5900000000076"/>
    <n v="1086.5900000000076"/>
    <n v="-7"/>
    <n v="6784.6299999999346"/>
    <n v="6765.6399999999348"/>
    <n v="-18.990000000000002"/>
    <n v="-29071"/>
    <n v="-27618"/>
    <n v="1453"/>
    <n v="-10.08"/>
    <n v="-10.08"/>
    <n v="0"/>
    <n v="-186.29000000000002"/>
    <n v="-186.29000000000002"/>
    <n v="0"/>
    <n v="145218.85000000056"/>
    <n v="146645.86000000051"/>
    <n v="1427.01"/>
    <n v="42303.249999999876"/>
    <n v="25841.929999999909"/>
    <n v="-16461.319999999956"/>
    <n v="102915.60000000031"/>
    <n v="120803.93000000052"/>
    <n v="17888.329999999951"/>
    <n v="-12168.080000000025"/>
    <n v="0"/>
    <n v="12168.080000000025"/>
    <n v="115083.67999999995"/>
    <n v="120803.93000000052"/>
    <n v="5720.2500000000109"/>
    <n v="2116"/>
  </r>
  <r>
    <n v="2024"/>
    <n v="6"/>
    <x v="3"/>
    <d v="2024-06-20T00:00:00"/>
    <s v="Rogers"/>
    <x v="0"/>
    <x v="1"/>
    <n v="189686"/>
    <n v="189686"/>
    <n v="0"/>
    <n v="1266.7400000000125"/>
    <n v="1265.7500000000134"/>
    <n v="-0.99000000000000021"/>
    <n v="7480.1399999999248"/>
    <n v="7464.1499999999251"/>
    <n v="-15.99"/>
    <n v="-33816.82"/>
    <n v="-32636.32"/>
    <n v="1180.5"/>
    <n v="-15.900000000000002"/>
    <n v="-15.900000000000002"/>
    <n v="0"/>
    <n v="-168.98"/>
    <n v="-168.98"/>
    <n v="0"/>
    <n v="164431.18000000034"/>
    <n v="165594.7000000003"/>
    <n v="1163.52"/>
    <n v="48803.67999999976"/>
    <n v="23933.949999999935"/>
    <n v="-24869.729999999923"/>
    <n v="115627.50000000081"/>
    <n v="141660.7500000007"/>
    <n v="26033.24999999992"/>
    <n v="-11352.660000000045"/>
    <n v="0"/>
    <n v="11352.660000000045"/>
    <n v="126980.16000000006"/>
    <n v="141660.7500000007"/>
    <n v="14680.589999999909"/>
    <n v="2414"/>
  </r>
  <r>
    <n v="2024"/>
    <n v="6"/>
    <x v="3"/>
    <d v="2024-06-21T00:00:00"/>
    <s v="Rogers"/>
    <x v="0"/>
    <x v="1"/>
    <n v="181408"/>
    <n v="181408"/>
    <n v="0"/>
    <n v="1124.1600000000076"/>
    <n v="1124.1600000000076"/>
    <n v="0"/>
    <n v="7050.41999999993"/>
    <n v="6999.4499999999307"/>
    <n v="-50.97"/>
    <n v="-32668.57"/>
    <n v="-31479.57"/>
    <n v="1189"/>
    <n v="-13.35"/>
    <n v="-13.35"/>
    <n v="0"/>
    <n v="-115.27999999999999"/>
    <n v="-115.27999999999999"/>
    <n v="0"/>
    <n v="156785.38000000044"/>
    <n v="157923.41000000041"/>
    <n v="1138.03"/>
    <n v="46057.889999999818"/>
    <n v="22728.519999999931"/>
    <n v="-23329.369999999915"/>
    <n v="110727.49000000031"/>
    <n v="135194.89000000077"/>
    <n v="24467.399999999911"/>
    <n v="-10826.510000000018"/>
    <n v="0"/>
    <n v="10826.510000000018"/>
    <n v="121554"/>
    <n v="135194.89000000077"/>
    <n v="13640.889999999912"/>
    <n v="2310"/>
  </r>
  <r>
    <n v="2024"/>
    <n v="6"/>
    <x v="3"/>
    <d v="2024-06-22T00:00:00"/>
    <s v="Rogers"/>
    <x v="0"/>
    <x v="1"/>
    <n v="169235"/>
    <n v="169235"/>
    <n v="0"/>
    <n v="1115.7400000000109"/>
    <n v="1115.7400000000109"/>
    <n v="0"/>
    <n v="6728.5999999999358"/>
    <n v="6709.609999999936"/>
    <n v="-18.990000000000002"/>
    <n v="-29843.75"/>
    <n v="-28900.65"/>
    <n v="943.1"/>
    <n v="-7.29"/>
    <n v="-7.29"/>
    <n v="0"/>
    <n v="-126.89999999999999"/>
    <n v="-126.89999999999999"/>
    <n v="0"/>
    <n v="147101.40000000081"/>
    <n v="148025.51000000074"/>
    <n v="924.11"/>
    <n v="43642.629999999772"/>
    <n v="21221.329999999925"/>
    <n v="-22421.299999999934"/>
    <n v="103458.77000000024"/>
    <n v="126804.18000000079"/>
    <n v="23345.409999999938"/>
    <n v="-10085.430000000018"/>
    <n v="0"/>
    <n v="10085.430000000018"/>
    <n v="113544.19999999978"/>
    <n v="126804.18000000079"/>
    <n v="13259.979999999918"/>
    <n v="2170"/>
  </r>
  <r>
    <n v="2024"/>
    <n v="6"/>
    <x v="3"/>
    <d v="2024-06-16T00:00:00"/>
    <s v="Rogers"/>
    <x v="0"/>
    <x v="2"/>
    <n v="75273.62"/>
    <n v="75273.62"/>
    <n v="0"/>
    <n v="519.46999999999821"/>
    <n v="519.46999999999821"/>
    <n v="0"/>
    <n v="1569.9900000000007"/>
    <n v="1554.0000000000007"/>
    <n v="-15.99"/>
    <n v="-25760.21"/>
    <n v="-25319.21"/>
    <n v="441"/>
    <n v="-1.1800000000000002"/>
    <n v="-1.1800000000000002"/>
    <n v="0"/>
    <n v="-23"/>
    <n v="-23"/>
    <n v="0"/>
    <n v="51578.689999999806"/>
    <n v="52003.699999999808"/>
    <n v="425.01"/>
    <n v="19111.679999999942"/>
    <n v="10559.709999999981"/>
    <n v="-8551.9700000000048"/>
    <n v="32467.010000000078"/>
    <n v="41443.989999999983"/>
    <n v="8976.9800000000014"/>
    <n v="-3473.5600000000009"/>
    <n v="0"/>
    <n v="3473.5600000000009"/>
    <n v="35940.569999999992"/>
    <n v="41443.989999999983"/>
    <n v="5503.4200000000073"/>
    <n v="858"/>
  </r>
  <r>
    <n v="2024"/>
    <n v="6"/>
    <x v="3"/>
    <d v="2024-06-17T00:00:00"/>
    <s v="Rogers"/>
    <x v="0"/>
    <x v="2"/>
    <n v="66745.039999999994"/>
    <n v="66745.039999999994"/>
    <n v="0"/>
    <n v="398.48999999999961"/>
    <n v="398.48999999999961"/>
    <n v="0"/>
    <n v="1335.1700000000005"/>
    <n v="1335.1700000000005"/>
    <n v="0"/>
    <n v="-23812.489999999998"/>
    <n v="-23137.489999999998"/>
    <n v="675"/>
    <n v="-0.95000000000000007"/>
    <n v="-0.95000000000000007"/>
    <n v="0"/>
    <n v="-20"/>
    <n v="-20"/>
    <n v="0"/>
    <n v="44645.2599999999"/>
    <n v="45320.259999999893"/>
    <n v="675"/>
    <n v="17423.729999999934"/>
    <n v="7263.0600000000077"/>
    <n v="-10160.669999999991"/>
    <n v="27221.530000000057"/>
    <n v="38057.199999999983"/>
    <n v="10835.669999999989"/>
    <n v="-2797.0199999999991"/>
    <n v="0"/>
    <n v="2797.0199999999991"/>
    <n v="30018.550000000003"/>
    <n v="38057.199999999983"/>
    <n v="8038.6500000000024"/>
    <n v="735"/>
  </r>
  <r>
    <n v="2024"/>
    <n v="6"/>
    <x v="3"/>
    <d v="2024-06-18T00:00:00"/>
    <s v="Rogers"/>
    <x v="0"/>
    <x v="2"/>
    <n v="47962.15"/>
    <n v="47962.15"/>
    <n v="0"/>
    <n v="257.67999999999995"/>
    <n v="217.67999999999998"/>
    <n v="-40"/>
    <n v="1154.2800000000004"/>
    <n v="1138.2900000000004"/>
    <n v="-15.99"/>
    <n v="-17118.96"/>
    <n v="-17033.96"/>
    <n v="85"/>
    <n v="0"/>
    <n v="0"/>
    <n v="0"/>
    <n v="-19.8"/>
    <n v="-19.8"/>
    <n v="0"/>
    <n v="32235.350000000002"/>
    <n v="32264.360000000004"/>
    <n v="29.010000000000005"/>
    <n v="12254.029999999982"/>
    <n v="5121.0300000000025"/>
    <n v="-7133.0000000000082"/>
    <n v="19981.320000000025"/>
    <n v="27143.330000000013"/>
    <n v="7162.0100000000075"/>
    <n v="-1898.6000000000004"/>
    <n v="0"/>
    <n v="1898.6000000000004"/>
    <n v="21879.920000000042"/>
    <n v="27143.330000000013"/>
    <n v="5263.4100000000062"/>
    <n v="525"/>
  </r>
  <r>
    <n v="2024"/>
    <n v="6"/>
    <x v="3"/>
    <d v="2024-06-19T00:00:00"/>
    <s v="Rogers"/>
    <x v="0"/>
    <x v="2"/>
    <n v="60089.22"/>
    <n v="60089.22"/>
    <n v="0"/>
    <n v="381.71999999999952"/>
    <n v="381.71999999999952"/>
    <n v="0"/>
    <n v="1217.2300000000005"/>
    <n v="1217.2300000000005"/>
    <n v="0"/>
    <n v="-21554.71"/>
    <n v="-20742.96"/>
    <n v="811.75"/>
    <n v="0"/>
    <n v="0"/>
    <n v="0"/>
    <n v="-24.8"/>
    <n v="-24.8"/>
    <n v="0"/>
    <n v="40108.65999999996"/>
    <n v="40920.40999999996"/>
    <n v="811.75"/>
    <n v="14818.449999999959"/>
    <n v="9829.0499999999993"/>
    <n v="-4989.4000000000033"/>
    <n v="25290.210000000057"/>
    <n v="31091.360000000052"/>
    <n v="5801.1500000000033"/>
    <n v="-3249.9"/>
    <n v="0"/>
    <n v="3249.9"/>
    <n v="28540.110000000015"/>
    <n v="31091.360000000052"/>
    <n v="2551.2499999999986"/>
    <n v="675"/>
  </r>
  <r>
    <n v="2024"/>
    <n v="6"/>
    <x v="3"/>
    <d v="2024-06-20T00:00:00"/>
    <s v="Rogers"/>
    <x v="0"/>
    <x v="2"/>
    <n v="75202.559999999983"/>
    <n v="75202.559999999983"/>
    <n v="0"/>
    <n v="394.23999999999933"/>
    <n v="394.23999999999933"/>
    <n v="0"/>
    <n v="1631.9700000000007"/>
    <n v="1640.9600000000007"/>
    <n v="8.99"/>
    <n v="-25974.65"/>
    <n v="-25392.15"/>
    <n v="582.5"/>
    <n v="0"/>
    <n v="0"/>
    <n v="0"/>
    <n v="-10"/>
    <n v="-10"/>
    <n v="0"/>
    <n v="51244.11999999985"/>
    <n v="51835.609999999841"/>
    <n v="591.49"/>
    <n v="19027.949999999946"/>
    <n v="9498.6099999999988"/>
    <n v="-9529.3399999999983"/>
    <n v="32216.170000000078"/>
    <n v="42336.999999999935"/>
    <n v="10120.829999999993"/>
    <n v="-3035.86"/>
    <n v="0"/>
    <n v="3035.86"/>
    <n v="35252.030000000042"/>
    <n v="42336.999999999935"/>
    <n v="7084.9700000000093"/>
    <n v="852"/>
  </r>
  <r>
    <n v="2024"/>
    <n v="6"/>
    <x v="3"/>
    <d v="2024-06-21T00:00:00"/>
    <s v="Rogers"/>
    <x v="0"/>
    <x v="2"/>
    <n v="75897.66"/>
    <n v="75897.66"/>
    <n v="0"/>
    <n v="481.36999999999813"/>
    <n v="481.36999999999813"/>
    <n v="0"/>
    <n v="1691.9100000000008"/>
    <n v="1675.9200000000008"/>
    <n v="-15.99"/>
    <n v="-25771.460000000003"/>
    <n v="-25332.810000000005"/>
    <n v="438.65"/>
    <n v="0"/>
    <n v="0"/>
    <n v="0"/>
    <n v="0"/>
    <n v="0"/>
    <n v="0"/>
    <n v="52299.479999999843"/>
    <n v="52722.139999999839"/>
    <n v="422.66"/>
    <n v="19496.63999999993"/>
    <n v="10378.759999999987"/>
    <n v="-9117.8799999999992"/>
    <n v="32802.840000000026"/>
    <n v="42343.379999999976"/>
    <n v="9540.5399999999936"/>
    <n v="-3259.6799999999967"/>
    <n v="0"/>
    <n v="3259.6799999999967"/>
    <n v="36062.520000000004"/>
    <n v="42343.379999999976"/>
    <n v="6280.8600000000079"/>
    <n v="865"/>
  </r>
  <r>
    <n v="2024"/>
    <n v="6"/>
    <x v="3"/>
    <d v="2024-06-22T00:00:00"/>
    <s v="Rogers"/>
    <x v="0"/>
    <x v="2"/>
    <n v="76809.169999999984"/>
    <n v="76809.169999999984"/>
    <n v="0"/>
    <n v="452.93999999999841"/>
    <n v="452.93999999999841"/>
    <n v="0"/>
    <n v="1707.9200000000008"/>
    <n v="1707.9200000000008"/>
    <n v="0"/>
    <n v="-26518.760000000006"/>
    <n v="-26029.760000000006"/>
    <n v="489"/>
    <n v="-1.4000000000000001"/>
    <n v="-1.4000000000000001"/>
    <n v="0"/>
    <n v="-24.5"/>
    <n v="-24.5"/>
    <n v="0"/>
    <n v="52425.369999999799"/>
    <n v="52914.369999999799"/>
    <n v="489"/>
    <n v="20128.729999999952"/>
    <n v="10039.689999999999"/>
    <n v="-10089.039999999994"/>
    <n v="32296.640000000054"/>
    <n v="42874.679999999957"/>
    <n v="10578.039999999988"/>
    <n v="-3329.1599999999939"/>
    <n v="0"/>
    <n v="3329.1599999999939"/>
    <n v="35625.800000000017"/>
    <n v="42874.679999999957"/>
    <n v="7248.8800000000037"/>
    <n v="873"/>
  </r>
  <r>
    <n v="2024"/>
    <n v="6"/>
    <x v="3"/>
    <d v="2024-06-16T00:00:00"/>
    <s v="Rogers"/>
    <x v="1"/>
    <x v="3"/>
    <n v="12602.689999999908"/>
    <n v="12602.689999999908"/>
    <n v="0"/>
    <n v="1124.8700000000008"/>
    <n v="1170.8700000000008"/>
    <n v="46"/>
    <n v="21.98"/>
    <n v="21.98"/>
    <n v="0"/>
    <n v="-1442.3500000000001"/>
    <n v="-1442.3500000000001"/>
    <n v="0"/>
    <n v="0"/>
    <n v="0"/>
    <n v="0"/>
    <n v="0"/>
    <n v="0"/>
    <n v="0"/>
    <n v="12307.18999999992"/>
    <n v="12353.189999999919"/>
    <n v="46"/>
    <n v="86.61"/>
    <m/>
    <n v="-86.61"/>
    <n v="12220.579999999922"/>
    <n v="12353.189999999919"/>
    <n v="132.61000000000001"/>
    <n v="4046.4700000000012"/>
    <n v="0"/>
    <n v="-4046.4700000000012"/>
    <n v="8174.109999999986"/>
    <n v="12353.189999999919"/>
    <n v="4179.0800000000045"/>
    <n v="432"/>
  </r>
  <r>
    <n v="2024"/>
    <n v="6"/>
    <x v="3"/>
    <d v="2024-06-17T00:00:00"/>
    <s v="Rogers"/>
    <x v="1"/>
    <x v="3"/>
    <n v="18412.899999999994"/>
    <n v="18412.899999999994"/>
    <n v="0"/>
    <n v="43.2"/>
    <n v="43.2"/>
    <n v="0"/>
    <n v="15.99"/>
    <n v="15.99"/>
    <n v="0"/>
    <n v="-5300.6500000000142"/>
    <n v="-5300.6500000000142"/>
    <n v="0"/>
    <n v="0"/>
    <n v="0"/>
    <n v="0"/>
    <n v="0"/>
    <n v="0"/>
    <n v="0"/>
    <n v="13171.439999999957"/>
    <n v="13171.439999999957"/>
    <n v="0"/>
    <n v="29.3"/>
    <n v="29.3"/>
    <n v="0"/>
    <n v="13142.139999999956"/>
    <n v="13142.139999999956"/>
    <n v="0"/>
    <n v="3376.900000000001"/>
    <n v="0"/>
    <n v="-3376.900000000001"/>
    <n v="9765.2400000000016"/>
    <n v="13142.139999999956"/>
    <n v="3376.900000000001"/>
    <n v="290"/>
  </r>
  <r>
    <n v="2024"/>
    <n v="6"/>
    <x v="3"/>
    <d v="2024-06-18T00:00:00"/>
    <s v="Rogers"/>
    <x v="1"/>
    <x v="3"/>
    <n v="347"/>
    <n v="347"/>
    <n v="0"/>
    <n v="3.7600000000000002"/>
    <n v="3.7600000000000002"/>
    <n v="0"/>
    <n v="0"/>
    <n v="0"/>
    <n v="0"/>
    <n v="-107.45"/>
    <n v="-107.45"/>
    <n v="0"/>
    <n v="0"/>
    <n v="0"/>
    <n v="0"/>
    <n v="0"/>
    <n v="0"/>
    <n v="0"/>
    <n v="243.31"/>
    <n v="243.31"/>
    <n v="0"/>
    <n v="59.3"/>
    <n v="30"/>
    <n v="-29.3"/>
    <n v="184.01"/>
    <n v="213.31"/>
    <n v="29.299999999999997"/>
    <n v="21.669999999999998"/>
    <n v="0"/>
    <n v="-21.669999999999998"/>
    <n v="162.33999999999997"/>
    <n v="213.31"/>
    <n v="50.97"/>
    <n v="5"/>
  </r>
  <r>
    <n v="2024"/>
    <n v="6"/>
    <x v="3"/>
    <d v="2024-06-19T00:00:00"/>
    <s v="Rogers"/>
    <x v="1"/>
    <x v="3"/>
    <n v="3801.0800000000077"/>
    <n v="3801.0800000000077"/>
    <n v="0"/>
    <n v="611.42999999999995"/>
    <n v="611.42999999999995"/>
    <n v="0"/>
    <n v="0"/>
    <n v="0"/>
    <n v="0"/>
    <n v="-496.05000000000007"/>
    <n v="-496.05000000000007"/>
    <n v="0"/>
    <n v="-11"/>
    <n v="-11"/>
    <n v="0"/>
    <n v="0"/>
    <n v="0"/>
    <n v="0"/>
    <n v="3905.4600000000055"/>
    <n v="3905.4600000000055"/>
    <n v="0"/>
    <n v="60"/>
    <n v="30"/>
    <n v="-30"/>
    <n v="3845.4600000000055"/>
    <n v="3875.4600000000055"/>
    <n v="29.999999999999996"/>
    <n v="1274.1299999999997"/>
    <n v="0"/>
    <n v="-1274.1299999999997"/>
    <n v="2571.3299999999986"/>
    <n v="3875.4600000000055"/>
    <n v="1304.1299999999999"/>
    <n v="148"/>
  </r>
  <r>
    <n v="2024"/>
    <n v="6"/>
    <x v="3"/>
    <d v="2024-06-20T00:00:00"/>
    <s v="Rogers"/>
    <x v="1"/>
    <x v="3"/>
    <n v="7519.3000000000147"/>
    <n v="7519.3000000000147"/>
    <n v="0"/>
    <n v="526.40999999999985"/>
    <n v="526.40999999999985"/>
    <n v="0"/>
    <n v="0"/>
    <n v="0"/>
    <n v="0"/>
    <n v="-1366.45"/>
    <n v="-1366.45"/>
    <n v="0"/>
    <n v="0"/>
    <n v="0"/>
    <n v="0"/>
    <n v="0"/>
    <n v="0"/>
    <n v="0"/>
    <n v="6679.2600000000139"/>
    <n v="6679.2600000000139"/>
    <n v="0"/>
    <n v="80.38"/>
    <n v="50.38"/>
    <n v="-30"/>
    <n v="6598.8800000000128"/>
    <n v="6628.8800000000128"/>
    <n v="30"/>
    <n v="2317.7399999999998"/>
    <n v="0"/>
    <n v="-2317.7399999999998"/>
    <n v="4281.1400000000003"/>
    <n v="6628.8800000000128"/>
    <n v="2347.7399999999993"/>
    <n v="211"/>
  </r>
  <r>
    <n v="2024"/>
    <n v="6"/>
    <x v="3"/>
    <d v="2024-06-21T00:00:00"/>
    <s v="Rogers"/>
    <x v="1"/>
    <x v="3"/>
    <n v="5947.7500000000064"/>
    <n v="5947.7500000000064"/>
    <n v="0"/>
    <n v="524.3599999999999"/>
    <n v="524.3599999999999"/>
    <n v="0"/>
    <n v="24.98"/>
    <n v="24.98"/>
    <n v="0"/>
    <n v="-1029.1500000000001"/>
    <n v="-1029.1500000000001"/>
    <n v="0"/>
    <n v="0"/>
    <n v="0"/>
    <n v="0"/>
    <n v="0"/>
    <n v="0"/>
    <n v="0"/>
    <n v="5467.9400000000041"/>
    <n v="5467.9400000000041"/>
    <n v="0"/>
    <n v="65.38"/>
    <n v="15"/>
    <n v="-50.38"/>
    <n v="5402.560000000004"/>
    <n v="5452.9400000000041"/>
    <n v="50.379999999999995"/>
    <n v="1499.9399999999991"/>
    <n v="0"/>
    <n v="-1499.9399999999991"/>
    <n v="3902.62"/>
    <n v="5452.9400000000041"/>
    <n v="1550.3199999999993"/>
    <n v="149"/>
  </r>
  <r>
    <n v="2024"/>
    <n v="6"/>
    <x v="3"/>
    <d v="2024-06-22T00:00:00"/>
    <s v="Rogers"/>
    <x v="1"/>
    <x v="3"/>
    <n v="9737.9799999999868"/>
    <n v="9737.9799999999868"/>
    <n v="0"/>
    <n v="506.02999999999986"/>
    <n v="506.02999999999986"/>
    <n v="0"/>
    <n v="50.970000000000006"/>
    <n v="50.970000000000006"/>
    <n v="0"/>
    <n v="-1925.7499999999993"/>
    <n v="-1925.7499999999993"/>
    <n v="0"/>
    <n v="0"/>
    <n v="0"/>
    <n v="0"/>
    <n v="0"/>
    <n v="0"/>
    <n v="0"/>
    <n v="8369.230000000005"/>
    <n v="8369.230000000005"/>
    <n v="0"/>
    <n v="120.75"/>
    <n v="105.75"/>
    <n v="-15"/>
    <n v="8248.4800000000068"/>
    <n v="8263.4800000000068"/>
    <n v="15"/>
    <n v="2476.8200000000038"/>
    <n v="0"/>
    <n v="-2476.8200000000038"/>
    <n v="5771.6599999999962"/>
    <n v="8263.4800000000068"/>
    <n v="2491.8200000000038"/>
    <n v="246"/>
  </r>
  <r>
    <n v="2024"/>
    <n v="6"/>
    <x v="3"/>
    <d v="2024-06-16T00:00:00"/>
    <s v="Rogers"/>
    <x v="1"/>
    <x v="4"/>
    <n v="14915.099999999999"/>
    <n v="14915.099999999999"/>
    <n v="0"/>
    <n v="160.88"/>
    <n v="160.88"/>
    <n v="0"/>
    <n v="106.91999999999999"/>
    <n v="106.91999999999999"/>
    <n v="0"/>
    <n v="-5596.5999999999985"/>
    <n v="-5585.5999999999985"/>
    <n v="11"/>
    <n v="-14.9"/>
    <n v="-14.9"/>
    <n v="0"/>
    <n v="0"/>
    <n v="0"/>
    <n v="0"/>
    <n v="9571.4000000000015"/>
    <n v="9582.4000000000015"/>
    <n v="11"/>
    <n v="1348.43"/>
    <n v="433.47"/>
    <n v="-914.96000000000038"/>
    <n v="8222.9699999999975"/>
    <n v="9148.9299999999985"/>
    <n v="925.96000000000038"/>
    <n v="1283.5500000000002"/>
    <n v="0"/>
    <n v="-1283.5500000000002"/>
    <n v="6939.4200000000019"/>
    <n v="9148.9299999999985"/>
    <n v="2209.5100000000011"/>
    <n v="184"/>
  </r>
  <r>
    <n v="2024"/>
    <n v="6"/>
    <x v="3"/>
    <d v="2024-06-17T00:00:00"/>
    <s v="Rogers"/>
    <x v="1"/>
    <x v="4"/>
    <n v="15508.5"/>
    <n v="15508.5"/>
    <n v="0"/>
    <n v="118.75999999999996"/>
    <n v="118.75999999999996"/>
    <n v="0"/>
    <n v="142.91999999999999"/>
    <n v="142.91999999999999"/>
    <n v="0"/>
    <n v="-5722.1499999999969"/>
    <n v="-5693.149999999996"/>
    <n v="29"/>
    <n v="-15"/>
    <n v="-15"/>
    <n v="0"/>
    <n v="0"/>
    <n v="0"/>
    <n v="0"/>
    <n v="10033.029999999995"/>
    <n v="10062.029999999995"/>
    <n v="28.999999999999993"/>
    <n v="702.35999999999967"/>
    <n v="268.89000000000004"/>
    <n v="-433.46999999999997"/>
    <n v="9330.6699999999983"/>
    <n v="9793.139999999994"/>
    <n v="462.46999999999997"/>
    <n v="1620.5999999999997"/>
    <n v="0"/>
    <n v="-1620.5999999999997"/>
    <n v="7710.07"/>
    <n v="9793.139999999994"/>
    <n v="2083.0699999999997"/>
    <n v="197"/>
  </r>
  <r>
    <n v="2024"/>
    <n v="6"/>
    <x v="3"/>
    <d v="2024-06-18T00:00:00"/>
    <s v="Rogers"/>
    <x v="1"/>
    <x v="4"/>
    <n v="1829.5"/>
    <n v="1829.5"/>
    <n v="0"/>
    <n v="41.210000000000008"/>
    <n v="41.210000000000008"/>
    <n v="0"/>
    <n v="50.97"/>
    <n v="50.97"/>
    <n v="0"/>
    <n v="-583"/>
    <n v="-576"/>
    <n v="7"/>
    <n v="0"/>
    <n v="0"/>
    <n v="0"/>
    <n v="0"/>
    <n v="0"/>
    <n v="0"/>
    <n v="1338.68"/>
    <n v="1345.68"/>
    <n v="7"/>
    <n v="421.90000000000003"/>
    <n v="120.8"/>
    <n v="-301.10000000000002"/>
    <n v="916.78000000000009"/>
    <n v="1224.8800000000001"/>
    <n v="308.09999999999997"/>
    <n v="-50.13"/>
    <n v="0"/>
    <n v="50.13"/>
    <n v="966.91000000000008"/>
    <n v="1224.8800000000001"/>
    <n v="257.97000000000003"/>
    <n v="20"/>
  </r>
  <r>
    <n v="2024"/>
    <n v="6"/>
    <x v="3"/>
    <d v="2024-06-19T00:00:00"/>
    <s v="Rogers"/>
    <x v="1"/>
    <x v="4"/>
    <n v="7792.1500000000005"/>
    <n v="7792.1500000000005"/>
    <n v="0"/>
    <n v="211.85"/>
    <n v="211.85"/>
    <n v="0"/>
    <n v="60.96"/>
    <n v="60.96"/>
    <n v="0"/>
    <n v="-2818.15"/>
    <n v="-2738.15"/>
    <n v="80"/>
    <n v="-15"/>
    <n v="-15"/>
    <n v="0"/>
    <n v="-5"/>
    <n v="-5"/>
    <n v="0"/>
    <n v="5226.8100000000004"/>
    <n v="5306.81"/>
    <n v="80"/>
    <n v="1059.4000000000001"/>
    <n v="938.6"/>
    <n v="-120.8"/>
    <n v="4167.41"/>
    <n v="4368.21"/>
    <n v="200.8"/>
    <n v="-99.20000000000006"/>
    <n v="0"/>
    <n v="99.20000000000006"/>
    <n v="4266.6100000000015"/>
    <n v="4368.21"/>
    <n v="101.59999999999998"/>
    <n v="90"/>
  </r>
  <r>
    <n v="2024"/>
    <n v="6"/>
    <x v="3"/>
    <d v="2024-06-20T00:00:00"/>
    <s v="Rogers"/>
    <x v="1"/>
    <x v="4"/>
    <n v="17508.2"/>
    <n v="17508.2"/>
    <n v="0"/>
    <n v="159.98999999999998"/>
    <n v="159.98999999999998"/>
    <n v="0"/>
    <n v="229.85000000000005"/>
    <n v="229.85000000000005"/>
    <n v="0"/>
    <n v="-6083.5999999999995"/>
    <n v="-6083.5999999999995"/>
    <n v="0"/>
    <n v="-10"/>
    <n v="-10"/>
    <n v="0"/>
    <n v="-15"/>
    <n v="-15"/>
    <n v="0"/>
    <n v="11789.439999999997"/>
    <n v="11789.439999999997"/>
    <n v="0"/>
    <n v="1430.4700000000003"/>
    <n v="474.78"/>
    <n v="-955.68999999999983"/>
    <n v="10358.969999999999"/>
    <n v="11314.659999999998"/>
    <n v="955.68999999999983"/>
    <n v="1167.8"/>
    <n v="0"/>
    <n v="-1167.8"/>
    <n v="9191.1699999999946"/>
    <n v="11314.659999999998"/>
    <n v="2123.4900000000011"/>
    <n v="213"/>
  </r>
  <r>
    <n v="2024"/>
    <n v="6"/>
    <x v="3"/>
    <d v="2024-06-21T00:00:00"/>
    <s v="Rogers"/>
    <x v="1"/>
    <x v="4"/>
    <n v="15584.399999999998"/>
    <n v="15584.399999999998"/>
    <n v="0"/>
    <n v="324.24999999999994"/>
    <n v="324.24999999999994"/>
    <n v="0"/>
    <n v="280.8300000000001"/>
    <n v="280.8300000000001"/>
    <n v="0"/>
    <n v="-4737.8999999999996"/>
    <n v="-4737.8999999999996"/>
    <n v="0"/>
    <n v="-22.6"/>
    <n v="-22.6"/>
    <n v="0"/>
    <n v="-10"/>
    <n v="-10"/>
    <n v="0"/>
    <n v="11418.980000000007"/>
    <n v="11418.980000000007"/>
    <n v="0"/>
    <n v="896.41999999999962"/>
    <n v="413.0100000000001"/>
    <n v="-483.41"/>
    <n v="10522.560000000012"/>
    <n v="11005.97000000001"/>
    <n v="483.41"/>
    <n v="1930.1599999999985"/>
    <n v="9.23"/>
    <n v="-1920.9299999999985"/>
    <n v="8592.4000000000087"/>
    <n v="10996.740000000009"/>
    <n v="2404.3400000000006"/>
    <n v="210"/>
  </r>
  <r>
    <n v="2024"/>
    <n v="6"/>
    <x v="3"/>
    <d v="2024-06-22T00:00:00"/>
    <s v="Rogers"/>
    <x v="1"/>
    <x v="4"/>
    <n v="10629"/>
    <n v="10629"/>
    <n v="0"/>
    <n v="195.99999999999997"/>
    <n v="195.99999999999997"/>
    <n v="0"/>
    <n v="149.9"/>
    <n v="149.9"/>
    <n v="0"/>
    <n v="-3211.7"/>
    <n v="-3211.7"/>
    <n v="0"/>
    <n v="-19"/>
    <n v="-19"/>
    <n v="0"/>
    <n v="0"/>
    <n v="0"/>
    <n v="0"/>
    <n v="7744.2000000000007"/>
    <n v="7744.2000000000007"/>
    <n v="0"/>
    <n v="873.85999999999979"/>
    <n v="425.85"/>
    <n v="-448.01000000000005"/>
    <n v="6870.34"/>
    <n v="7318.3500000000013"/>
    <n v="448.01"/>
    <n v="984.02"/>
    <n v="18.02"/>
    <n v="-966"/>
    <n v="5886.3200000000024"/>
    <n v="7300.3300000000008"/>
    <n v="1414.0100000000007"/>
    <n v="126"/>
  </r>
  <r>
    <n v="2024"/>
    <n v="6"/>
    <x v="3"/>
    <d v="2024-06-16T00:00:00"/>
    <s v="Rogers"/>
    <x v="1"/>
    <x v="5"/>
    <n v="44428.05"/>
    <n v="44428.05"/>
    <n v="0"/>
    <n v="500.51999999999856"/>
    <n v="500.51999999999856"/>
    <n v="0"/>
    <n v="1638.9700000000007"/>
    <n v="1638.9700000000007"/>
    <n v="0"/>
    <n v="-13711.23"/>
    <n v="-13003.23"/>
    <n v="708"/>
    <n v="-0.70000000000000007"/>
    <n v="-0.70000000000000007"/>
    <n v="0"/>
    <n v="-10"/>
    <n v="-10"/>
    <n v="0"/>
    <n v="32845.61"/>
    <n v="33553.61"/>
    <n v="708"/>
    <n v="8993.7000000000025"/>
    <n v="5049.4700000000048"/>
    <n v="-3944.2300000000032"/>
    <n v="23851.910000000018"/>
    <n v="28504.14"/>
    <n v="4652.2300000000041"/>
    <n v="-2530.6300000000015"/>
    <n v="0"/>
    <n v="2530.6300000000015"/>
    <n v="26382.540000000026"/>
    <n v="28504.14"/>
    <n v="2121.6000000000013"/>
    <n v="498"/>
  </r>
  <r>
    <n v="2024"/>
    <n v="6"/>
    <x v="3"/>
    <d v="2024-06-17T00:00:00"/>
    <s v="Rogers"/>
    <x v="1"/>
    <x v="5"/>
    <n v="39667"/>
    <n v="39667"/>
    <n v="0"/>
    <n v="459.09999999999968"/>
    <n v="459.09999999999968"/>
    <n v="0"/>
    <n v="1536.0400000000006"/>
    <n v="1536.0400000000006"/>
    <n v="0"/>
    <n v="-12102.900000000001"/>
    <n v="-11566.150000000001"/>
    <n v="536.75"/>
    <n v="-5.7"/>
    <n v="-5.7"/>
    <n v="0"/>
    <n v="-56.980000000000004"/>
    <n v="-56.980000000000004"/>
    <n v="0"/>
    <n v="29496.560000000045"/>
    <n v="30033.310000000049"/>
    <n v="536.75"/>
    <n v="8232.7700000000114"/>
    <n v="3318.2700000000027"/>
    <n v="-4914.5000000000045"/>
    <n v="21263.790000000034"/>
    <n v="26715.040000000052"/>
    <n v="5451.2500000000055"/>
    <n v="-1761.9899999999998"/>
    <n v="0"/>
    <n v="1761.9899999999998"/>
    <n v="23025.780000000017"/>
    <n v="26715.040000000052"/>
    <n v="3689.2600000000048"/>
    <n v="447"/>
  </r>
  <r>
    <n v="2024"/>
    <n v="6"/>
    <x v="3"/>
    <d v="2024-06-18T00:00:00"/>
    <s v="Rogers"/>
    <x v="1"/>
    <x v="5"/>
    <n v="28728"/>
    <n v="28728"/>
    <n v="0"/>
    <n v="336.34999999999957"/>
    <n v="336.34999999999957"/>
    <n v="0"/>
    <n v="844.48000000000036"/>
    <n v="844.48000000000036"/>
    <n v="0"/>
    <n v="-8503.1"/>
    <n v="-8481.1"/>
    <n v="22"/>
    <n v="-5"/>
    <n v="-5"/>
    <n v="0"/>
    <n v="-56.980000000000004"/>
    <n v="-56.980000000000004"/>
    <n v="0"/>
    <n v="21343.75"/>
    <n v="21365.75"/>
    <n v="22"/>
    <n v="6151.5100000000075"/>
    <n v="3013.510000000002"/>
    <n v="-3138.0000000000027"/>
    <n v="15192.240000000005"/>
    <n v="18352.240000000005"/>
    <n v="3160.0000000000018"/>
    <n v="-1554.1800000000003"/>
    <n v="0"/>
    <n v="1554.1800000000003"/>
    <n v="16746.420000000009"/>
    <n v="18352.240000000005"/>
    <n v="1605.8199999999997"/>
    <n v="328"/>
  </r>
  <r>
    <n v="2024"/>
    <n v="6"/>
    <x v="3"/>
    <d v="2024-06-19T00:00:00"/>
    <s v="Rogers"/>
    <x v="1"/>
    <x v="5"/>
    <n v="36013"/>
    <n v="36013"/>
    <n v="0"/>
    <n v="613.02999999999975"/>
    <n v="613.02999999999975"/>
    <n v="0"/>
    <n v="1053.3800000000003"/>
    <n v="1053.3800000000003"/>
    <n v="0"/>
    <n v="-11082.07"/>
    <n v="-10378.07"/>
    <n v="704"/>
    <n v="-45"/>
    <n v="-45"/>
    <n v="0"/>
    <n v="-30"/>
    <n v="-30"/>
    <n v="0"/>
    <n v="26522.340000000033"/>
    <n v="27226.340000000037"/>
    <n v="704"/>
    <n v="7308.3700000000081"/>
    <n v="4294.8600000000033"/>
    <n v="-3013.5100000000016"/>
    <n v="19213.970000000027"/>
    <n v="22931.480000000029"/>
    <n v="3717.5100000000025"/>
    <n v="-2168.8399999999983"/>
    <n v="0"/>
    <n v="2168.8399999999983"/>
    <n v="21382.81000000003"/>
    <n v="22931.480000000029"/>
    <n v="1548.6700000000005"/>
    <n v="409"/>
  </r>
  <r>
    <n v="2024"/>
    <n v="6"/>
    <x v="3"/>
    <d v="2024-06-20T00:00:00"/>
    <s v="Rogers"/>
    <x v="1"/>
    <x v="5"/>
    <n v="37833.050000000003"/>
    <n v="37833.050000000003"/>
    <n v="0"/>
    <n v="645.32000000000016"/>
    <n v="645.32000000000016"/>
    <n v="0"/>
    <n v="1280.2000000000005"/>
    <n v="1264.2100000000005"/>
    <n v="-15.99"/>
    <n v="-10904.900000000001"/>
    <n v="-10541.900000000001"/>
    <n v="363"/>
    <n v="-35"/>
    <n v="-35"/>
    <n v="0"/>
    <n v="-30.990000000000002"/>
    <n v="-30.990000000000002"/>
    <n v="0"/>
    <n v="28787.680000000026"/>
    <n v="29134.690000000028"/>
    <n v="347.01"/>
    <n v="8643.29000000001"/>
    <n v="4526.9400000000032"/>
    <n v="-4116.350000000004"/>
    <n v="20144.390000000021"/>
    <n v="24607.750000000018"/>
    <n v="4463.3600000000042"/>
    <n v="-2199.6299999999992"/>
    <n v="0"/>
    <n v="2199.6299999999992"/>
    <n v="22344.020000000026"/>
    <n v="24607.750000000018"/>
    <n v="2263.7300000000005"/>
    <n v="433"/>
  </r>
  <r>
    <n v="2024"/>
    <n v="6"/>
    <x v="3"/>
    <d v="2024-06-21T00:00:00"/>
    <s v="Rogers"/>
    <x v="1"/>
    <x v="5"/>
    <n v="37886.1"/>
    <n v="37886.1"/>
    <n v="0"/>
    <n v="584.8399999999998"/>
    <n v="584.8399999999998"/>
    <n v="0"/>
    <n v="1593.9800000000007"/>
    <n v="1577.9900000000007"/>
    <n v="-15.99"/>
    <n v="-10955.56"/>
    <n v="-10670.56"/>
    <n v="285"/>
    <n v="-20"/>
    <n v="-20"/>
    <n v="0"/>
    <n v="-59.980000000000004"/>
    <n v="-59.980000000000004"/>
    <n v="0"/>
    <n v="29029.380000000019"/>
    <n v="29298.390000000021"/>
    <n v="269.01"/>
    <n v="8009.570000000007"/>
    <n v="3595.2700000000027"/>
    <n v="-4414.3000000000038"/>
    <n v="21019.810000000016"/>
    <n v="25703.120000000021"/>
    <n v="4683.310000000004"/>
    <n v="-1746.3899999999992"/>
    <n v="0"/>
    <n v="1746.3899999999992"/>
    <n v="22766.2"/>
    <n v="25703.120000000021"/>
    <n v="2936.9200000000028"/>
    <n v="440"/>
  </r>
  <r>
    <n v="2024"/>
    <n v="6"/>
    <x v="3"/>
    <d v="2024-06-22T00:00:00"/>
    <s v="Rogers"/>
    <x v="1"/>
    <x v="5"/>
    <n v="39442"/>
    <n v="39442"/>
    <n v="0"/>
    <n v="601.72000000000071"/>
    <n v="601.72000000000071"/>
    <n v="0"/>
    <n v="1459.1100000000006"/>
    <n v="1459.1100000000006"/>
    <n v="0"/>
    <n v="-12469.14"/>
    <n v="-11960.94"/>
    <n v="508.19999999999993"/>
    <n v="-45"/>
    <n v="-45"/>
    <n v="0"/>
    <n v="-45.99"/>
    <n v="-45.99"/>
    <n v="0"/>
    <n v="28942.699999999983"/>
    <n v="29450.899999999987"/>
    <n v="508.19999999999993"/>
    <n v="8006.5500000000084"/>
    <n v="4411.2800000000043"/>
    <n v="-3595.2700000000032"/>
    <n v="20936.150000000016"/>
    <n v="25039.620000000017"/>
    <n v="4103.470000000003"/>
    <n v="-2260.3300000000004"/>
    <n v="0"/>
    <n v="2260.3300000000004"/>
    <n v="23196.48000000001"/>
    <n v="25039.620000000017"/>
    <n v="1843.1400000000019"/>
    <n v="447"/>
  </r>
  <r>
    <n v="2024"/>
    <n v="6"/>
    <x v="3"/>
    <d v="2024-06-16T00:00:00"/>
    <s v="Rogers"/>
    <x v="1"/>
    <x v="6"/>
    <n v="4401.8500000000004"/>
    <n v="4401.8500000000004"/>
    <n v="0"/>
    <n v="12.5"/>
    <n v="12.5"/>
    <n v="0"/>
    <n v="18.990000000000002"/>
    <n v="18.990000000000002"/>
    <n v="0"/>
    <n v="-1025.0499999999995"/>
    <n v="-1025.0499999999995"/>
    <n v="0"/>
    <n v="0"/>
    <n v="0"/>
    <n v="0"/>
    <n v="0"/>
    <n v="0"/>
    <n v="0"/>
    <n v="3408.29"/>
    <n v="3408.29"/>
    <n v="0"/>
    <n v="82.25"/>
    <n v="47.25"/>
    <n v="-35"/>
    <n v="3326.0400000000004"/>
    <n v="3361.0400000000004"/>
    <n v="35"/>
    <n v="804.4899999999999"/>
    <n v="0"/>
    <n v="-804.4899999999999"/>
    <n v="2521.5499999999997"/>
    <n v="3361.0400000000004"/>
    <n v="839.4899999999999"/>
    <n v="77"/>
  </r>
  <r>
    <n v="2024"/>
    <n v="6"/>
    <x v="3"/>
    <d v="2024-06-17T00:00:00"/>
    <s v="Rogers"/>
    <x v="1"/>
    <x v="6"/>
    <n v="4477.75"/>
    <n v="4477.75"/>
    <n v="0"/>
    <n v="37.5"/>
    <n v="37.5"/>
    <n v="0"/>
    <n v="18.990000000000002"/>
    <n v="18.990000000000002"/>
    <n v="0"/>
    <n v="-1167.55"/>
    <n v="-1167.55"/>
    <n v="0"/>
    <n v="0"/>
    <n v="0"/>
    <n v="0"/>
    <n v="0"/>
    <n v="0"/>
    <n v="0"/>
    <n v="3366.6899999999996"/>
    <n v="3366.6899999999996"/>
    <n v="0"/>
    <n v="47.25"/>
    <m/>
    <n v="-47.25"/>
    <n v="3319.4399999999996"/>
    <n v="3366.6899999999996"/>
    <n v="47.25"/>
    <n v="1051.329999999999"/>
    <n v="0"/>
    <n v="-1051.329999999999"/>
    <n v="2268.1099999999997"/>
    <n v="3366.6899999999996"/>
    <n v="1098.579999999999"/>
    <n v="86"/>
  </r>
  <r>
    <n v="2024"/>
    <n v="6"/>
    <x v="3"/>
    <d v="2024-06-18T00:00:00"/>
    <s v="Rogers"/>
    <x v="1"/>
    <x v="6"/>
    <n v="249"/>
    <n v="249"/>
    <n v="0"/>
    <n v="0.95000000000000007"/>
    <n v="0.95000000000000007"/>
    <n v="0"/>
    <n v="8.99"/>
    <n v="8.99"/>
    <n v="0"/>
    <n v="-40.5"/>
    <n v="-40.5"/>
    <n v="0"/>
    <n v="0"/>
    <n v="0"/>
    <n v="0"/>
    <n v="0"/>
    <n v="0"/>
    <n v="0"/>
    <n v="218.44"/>
    <n v="218.44"/>
    <n v="0"/>
    <n v="71.38"/>
    <n v="71.38"/>
    <n v="0"/>
    <n v="147.06"/>
    <n v="147.06"/>
    <n v="0"/>
    <n v="-32.21"/>
    <n v="0"/>
    <n v="32.21"/>
    <n v="179.27"/>
    <n v="147.06"/>
    <n v="-32.210000000000008"/>
    <n v="4"/>
  </r>
  <r>
    <n v="2024"/>
    <n v="6"/>
    <x v="3"/>
    <d v="2024-06-19T00:00:00"/>
    <s v="Rogers"/>
    <x v="1"/>
    <x v="6"/>
    <n v="4019.5"/>
    <n v="4019.5"/>
    <n v="0"/>
    <n v="30.95"/>
    <n v="30.95"/>
    <n v="0"/>
    <n v="8.99"/>
    <n v="8.99"/>
    <n v="0"/>
    <n v="-1635.1999999999989"/>
    <n v="-1635.1999999999989"/>
    <n v="0"/>
    <n v="-12"/>
    <n v="-12"/>
    <n v="0"/>
    <n v="0"/>
    <n v="0"/>
    <n v="0"/>
    <n v="2412.2399999999984"/>
    <n v="2412.2399999999984"/>
    <n v="0"/>
    <n v="71.38"/>
    <m/>
    <n v="-71.38"/>
    <n v="2340.8599999999992"/>
    <n v="2412.2399999999984"/>
    <n v="71.38"/>
    <n v="798.70999999999958"/>
    <n v="0"/>
    <n v="-798.70999999999958"/>
    <n v="1542.1499999999985"/>
    <n v="2412.2399999999984"/>
    <n v="870.08999999999958"/>
    <n v="62"/>
  </r>
  <r>
    <n v="2024"/>
    <n v="6"/>
    <x v="3"/>
    <d v="2024-06-20T00:00:00"/>
    <s v="Rogers"/>
    <x v="1"/>
    <x v="6"/>
    <n v="10887.35"/>
    <n v="10887.35"/>
    <n v="0"/>
    <n v="71.400000000000006"/>
    <n v="71.400000000000006"/>
    <n v="0"/>
    <n v="0"/>
    <n v="0"/>
    <n v="0"/>
    <n v="-1803.7000000000003"/>
    <n v="-1803.7000000000003"/>
    <n v="0"/>
    <n v="-4"/>
    <n v="-4"/>
    <n v="0"/>
    <n v="0"/>
    <n v="0"/>
    <n v="0"/>
    <n v="9151.0499999999993"/>
    <n v="9151.0499999999993"/>
    <n v="0"/>
    <n v="68.33"/>
    <n v="68.33"/>
    <n v="0"/>
    <n v="9082.7200000000012"/>
    <n v="9082.7200000000012"/>
    <n v="0"/>
    <n v="3953.4000000000042"/>
    <n v="0"/>
    <n v="-3953.4000000000042"/>
    <n v="5129.3199999999961"/>
    <n v="9082.7200000000012"/>
    <n v="3953.4000000000042"/>
    <n v="215"/>
  </r>
  <r>
    <n v="2024"/>
    <n v="6"/>
    <x v="3"/>
    <d v="2024-06-21T00:00:00"/>
    <s v="Rogers"/>
    <x v="1"/>
    <x v="6"/>
    <n v="4624.8000000000011"/>
    <n v="4624.8000000000011"/>
    <n v="0"/>
    <n v="60"/>
    <n v="60"/>
    <n v="0"/>
    <n v="0"/>
    <n v="0"/>
    <n v="0"/>
    <n v="-845.59999999999991"/>
    <n v="-845.59999999999991"/>
    <n v="0"/>
    <n v="-24"/>
    <n v="-24"/>
    <n v="0"/>
    <n v="0"/>
    <n v="0"/>
    <n v="0"/>
    <n v="3815.2000000000012"/>
    <n v="3815.2000000000012"/>
    <n v="0"/>
    <n v="86.66"/>
    <n v="38.33"/>
    <n v="-48.33"/>
    <n v="3728.5400000000013"/>
    <n v="3776.8700000000013"/>
    <n v="48.33"/>
    <n v="945.19000000000028"/>
    <n v="0"/>
    <n v="-945.19000000000028"/>
    <n v="2783.3500000000017"/>
    <n v="3776.8700000000013"/>
    <n v="993.52000000000032"/>
    <n v="86"/>
  </r>
  <r>
    <n v="2024"/>
    <n v="6"/>
    <x v="3"/>
    <d v="2024-06-22T00:00:00"/>
    <s v="Rogers"/>
    <x v="1"/>
    <x v="6"/>
    <n v="12762.550000000001"/>
    <n v="12762.550000000001"/>
    <n v="0"/>
    <n v="177.35999999999999"/>
    <n v="177.35999999999999"/>
    <n v="0"/>
    <n v="0"/>
    <n v="0"/>
    <n v="0"/>
    <n v="-3867.2499999999991"/>
    <n v="-3867.2499999999991"/>
    <n v="0"/>
    <n v="-34.5"/>
    <n v="-34.5"/>
    <n v="0"/>
    <n v="0"/>
    <n v="0"/>
    <n v="0"/>
    <n v="9038.159999999998"/>
    <n v="9038.159999999998"/>
    <n v="0"/>
    <n v="465.70999999999981"/>
    <n v="57.5"/>
    <n v="-408.20999999999987"/>
    <n v="8572.4500000000007"/>
    <n v="8980.659999999998"/>
    <n v="408.20999999999964"/>
    <n v="1810.1800000000055"/>
    <n v="177.24999999999991"/>
    <n v="-1632.9300000000037"/>
    <n v="6762.2700000000114"/>
    <n v="8803.4099999999908"/>
    <n v="2041.1400000000046"/>
    <n v="206"/>
  </r>
  <r>
    <n v="2024"/>
    <n v="6"/>
    <x v="4"/>
    <d v="2024-06-23T00:00:00"/>
    <s v="Fido"/>
    <x v="0"/>
    <x v="0"/>
    <n v="148664.75"/>
    <n v="148664.75"/>
    <n v="0"/>
    <n v="1585.9900000000248"/>
    <n v="1592.9900000000248"/>
    <n v="7"/>
    <n v="2958.9499999999866"/>
    <n v="2958.9499999999866"/>
    <n v="0"/>
    <n v="-13716.35"/>
    <n v="-12547.35"/>
    <n v="1169"/>
    <n v="-15.390000000000002"/>
    <n v="-15.390000000000002"/>
    <n v="0"/>
    <n v="-113.47999999999999"/>
    <n v="-113.47999999999999"/>
    <n v="0"/>
    <n v="139364.47000000099"/>
    <n v="140540.4700000009"/>
    <n v="1176"/>
    <n v="59353.460000000072"/>
    <n v="27536.549999999839"/>
    <n v="-31816.909999999742"/>
    <n v="80011.010000000024"/>
    <n v="113003.92000000116"/>
    <n v="32992.909999999742"/>
    <n v="-13072.549999999996"/>
    <n v="0"/>
    <n v="13072.549999999996"/>
    <n v="93083.560000000332"/>
    <n v="113003.92000000116"/>
    <n v="19920.359999999939"/>
    <n v="2582"/>
  </r>
  <r>
    <n v="2024"/>
    <n v="6"/>
    <x v="4"/>
    <d v="2024-06-24T00:00:00"/>
    <s v="Fido"/>
    <x v="0"/>
    <x v="0"/>
    <n v="133899.25"/>
    <n v="133899.25"/>
    <n v="0"/>
    <n v="1385.6900000000151"/>
    <n v="1392.6900000000151"/>
    <n v="7"/>
    <n v="2852.9899999999889"/>
    <n v="2852.9899999999889"/>
    <n v="0"/>
    <n v="-12362.95"/>
    <n v="-10988.95"/>
    <n v="1374"/>
    <n v="-7.9700000000000006"/>
    <n v="-7.9700000000000006"/>
    <n v="0"/>
    <n v="-70.990000000000009"/>
    <n v="-70.990000000000009"/>
    <n v="0"/>
    <n v="125696.02000000131"/>
    <n v="127077.02000000131"/>
    <n v="1381"/>
    <n v="50982.6"/>
    <n v="23780.449999999844"/>
    <n v="-27202.149999999838"/>
    <n v="74713.419999999955"/>
    <n v="103296.57000000062"/>
    <n v="28583.149999999834"/>
    <n v="-11331.28000000001"/>
    <n v="0"/>
    <n v="11331.28000000001"/>
    <n v="86044.700000000012"/>
    <n v="103296.57000000062"/>
    <n v="17251.86999999993"/>
    <n v="2308"/>
  </r>
  <r>
    <n v="2024"/>
    <n v="6"/>
    <x v="4"/>
    <d v="2024-06-25T00:00:00"/>
    <s v="Fido"/>
    <x v="0"/>
    <x v="0"/>
    <n v="128340.75"/>
    <n v="128340.75"/>
    <n v="0"/>
    <n v="1300.4000000000185"/>
    <n v="1307.4000000000187"/>
    <n v="7"/>
    <n v="2573.1599999999926"/>
    <n v="2564.1699999999928"/>
    <n v="-8.99"/>
    <n v="-11845.7"/>
    <n v="-10303.700000000001"/>
    <n v="1542"/>
    <n v="-7.9100000000000019"/>
    <n v="-7.9100000000000019"/>
    <n v="0"/>
    <n v="-74.98"/>
    <n v="-74.98"/>
    <n v="0"/>
    <n v="120285.72000000114"/>
    <n v="121825.73000000115"/>
    <n v="1540.01"/>
    <n v="48390.819999999992"/>
    <n v="24867.449999999815"/>
    <n v="-23523.369999999832"/>
    <n v="71894.899999999805"/>
    <n v="96958.280000000421"/>
    <n v="25063.379999999826"/>
    <n v="-12088.199999999999"/>
    <n v="0"/>
    <n v="12088.199999999999"/>
    <n v="83983.100000000268"/>
    <n v="96958.280000000421"/>
    <n v="12975.179999999995"/>
    <n v="2236"/>
  </r>
  <r>
    <n v="2024"/>
    <n v="6"/>
    <x v="4"/>
    <d v="2024-06-26T00:00:00"/>
    <s v="Fido"/>
    <x v="0"/>
    <x v="0"/>
    <n v="148770.5"/>
    <n v="148770.5"/>
    <n v="0"/>
    <n v="1486.1000000000215"/>
    <n v="1500.1000000000222"/>
    <n v="14"/>
    <n v="3077.7799999999847"/>
    <n v="3077.7799999999847"/>
    <n v="0"/>
    <n v="-13525.5"/>
    <n v="-11917.5"/>
    <n v="1608"/>
    <n v="-5.73"/>
    <n v="-6.19"/>
    <n v="-0.46"/>
    <n v="-49.5"/>
    <n v="-49.5"/>
    <n v="0"/>
    <n v="139753.65000000122"/>
    <n v="141375.19000000111"/>
    <n v="1621.54"/>
    <n v="57108.87999999991"/>
    <n v="32691.849999999762"/>
    <n v="-24417.029999999853"/>
    <n v="82644.770000000164"/>
    <n v="108683.34000000086"/>
    <n v="26038.569999999829"/>
    <n v="-15498.100000000002"/>
    <n v="0"/>
    <n v="15498.100000000002"/>
    <n v="98142.870000000155"/>
    <n v="108683.34000000086"/>
    <n v="10540.47000000001"/>
    <n v="2576"/>
  </r>
  <r>
    <n v="2024"/>
    <n v="6"/>
    <x v="4"/>
    <d v="2024-06-27T00:00:00"/>
    <s v="Fido"/>
    <x v="0"/>
    <x v="0"/>
    <n v="160971.75"/>
    <n v="160971.75"/>
    <n v="0"/>
    <n v="1899.3600000000324"/>
    <n v="1899.3600000000324"/>
    <n v="0"/>
    <n v="3510.469999999978"/>
    <n v="3510.469999999978"/>
    <n v="0"/>
    <n v="-15177"/>
    <n v="-13345"/>
    <n v="1832"/>
    <n v="-4.82"/>
    <n v="-5.28"/>
    <n v="-0.46"/>
    <n v="-83.490000000000009"/>
    <n v="-83.490000000000009"/>
    <n v="0"/>
    <n v="151116.27000000075"/>
    <n v="152947.81000000067"/>
    <n v="1831.54"/>
    <n v="61794.360000000044"/>
    <n v="29545.439999999777"/>
    <n v="-32248.919999999722"/>
    <n v="89321.910000000396"/>
    <n v="123402.37000000094"/>
    <n v="34080.459999999752"/>
    <n v="-13652.720000000025"/>
    <n v="0"/>
    <n v="13652.720000000025"/>
    <n v="102974.63000000057"/>
    <n v="123402.37000000094"/>
    <n v="20427.739999999889"/>
    <n v="2802"/>
  </r>
  <r>
    <n v="2024"/>
    <n v="6"/>
    <x v="4"/>
    <d v="2024-06-28T00:00:00"/>
    <s v="Fido"/>
    <x v="0"/>
    <x v="0"/>
    <n v="159266.75"/>
    <n v="159266.75"/>
    <n v="0"/>
    <n v="2006.6200000000297"/>
    <n v="1999.6200000000294"/>
    <n v="-7"/>
    <n v="3110.8299999999854"/>
    <n v="3110.8299999999854"/>
    <n v="0"/>
    <n v="-15583.5"/>
    <n v="-14933.5"/>
    <n v="650"/>
    <n v="-9.8800000000000026"/>
    <n v="-9.8800000000000026"/>
    <n v="0"/>
    <n v="-86.990000000000009"/>
    <n v="-86.990000000000009"/>
    <n v="0"/>
    <n v="148703.83000000141"/>
    <n v="149346.83000000136"/>
    <n v="643"/>
    <n v="61545.069999999942"/>
    <n v="32270.889999999756"/>
    <n v="-29274.179999999789"/>
    <n v="87158.760000000024"/>
    <n v="117075.94000000099"/>
    <n v="29917.179999999793"/>
    <n v="-15222.729999999994"/>
    <n v="0"/>
    <n v="15222.729999999994"/>
    <n v="102381.49000000019"/>
    <n v="117075.94000000099"/>
    <n v="14694.449999999964"/>
    <n v="2781"/>
  </r>
  <r>
    <n v="2024"/>
    <n v="6"/>
    <x v="4"/>
    <d v="2024-06-29T00:00:00"/>
    <s v="Fido"/>
    <x v="0"/>
    <x v="0"/>
    <n v="165081"/>
    <n v="165081"/>
    <n v="0"/>
    <n v="1965.7300000000319"/>
    <n v="1965.7300000000319"/>
    <n v="0"/>
    <n v="3160.8099999999845"/>
    <n v="3160.8099999999845"/>
    <n v="0"/>
    <n v="-16629.48"/>
    <n v="-13425.48"/>
    <n v="3204"/>
    <n v="-8.0400000000000009"/>
    <n v="-8.0400000000000009"/>
    <n v="0"/>
    <n v="-73"/>
    <n v="-73"/>
    <n v="0"/>
    <n v="153497.02000000075"/>
    <n v="156701.02000000063"/>
    <n v="3204"/>
    <n v="64901.410000000105"/>
    <n v="32798.839999999698"/>
    <n v="-32102.56999999972"/>
    <n v="88595.610000000102"/>
    <n v="123902.1800000012"/>
    <n v="35306.56999999976"/>
    <n v="-15483.050000000014"/>
    <n v="0"/>
    <n v="15483.050000000014"/>
    <n v="104078.66000000025"/>
    <n v="123902.1800000012"/>
    <n v="19823.519999999891"/>
    <n v="2904"/>
  </r>
  <r>
    <n v="2024"/>
    <n v="6"/>
    <x v="4"/>
    <d v="2024-06-23T00:00:00"/>
    <s v="Rogers"/>
    <x v="0"/>
    <x v="1"/>
    <n v="184817"/>
    <n v="184817"/>
    <n v="0"/>
    <n v="1424.6400000000142"/>
    <n v="1424.6400000000142"/>
    <n v="0"/>
    <n v="7739.0399999999217"/>
    <n v="7723.049999999922"/>
    <n v="-15.99"/>
    <n v="-31412.25"/>
    <n v="-30504.25"/>
    <n v="908"/>
    <n v="-16.11"/>
    <n v="-16.11"/>
    <n v="0"/>
    <n v="-172.08999999999997"/>
    <n v="-172.08999999999997"/>
    <n v="0"/>
    <n v="162380.23000000033"/>
    <n v="163272.24000000028"/>
    <n v="892.01"/>
    <n v="48948.669999999765"/>
    <n v="28118.399999999929"/>
    <n v="-20830.269999999935"/>
    <n v="113431.56000000046"/>
    <n v="135153.84000000058"/>
    <n v="21722.279999999937"/>
    <n v="-13458.740000000047"/>
    <n v="0"/>
    <n v="13458.740000000047"/>
    <n v="126890.29999999986"/>
    <n v="135153.84000000058"/>
    <n v="8263.5400000000227"/>
    <n v="2351"/>
  </r>
  <r>
    <n v="2024"/>
    <n v="6"/>
    <x v="4"/>
    <d v="2024-06-24T00:00:00"/>
    <s v="Rogers"/>
    <x v="0"/>
    <x v="1"/>
    <n v="178049"/>
    <n v="178049"/>
    <n v="0"/>
    <n v="1129.1600000000112"/>
    <n v="1129.1600000000112"/>
    <n v="0"/>
    <n v="7761.0199999999204"/>
    <n v="7726.0399999999208"/>
    <n v="-34.980000000000004"/>
    <n v="-30032.25"/>
    <n v="-29094.75"/>
    <n v="937.5"/>
    <n v="-21.910000000000004"/>
    <n v="-21.910000000000004"/>
    <n v="0"/>
    <n v="-190.69"/>
    <n v="-190.69"/>
    <n v="0"/>
    <n v="156694.33000000071"/>
    <n v="157596.85000000068"/>
    <n v="902.52"/>
    <n v="47214.009999999784"/>
    <n v="19792.199999999943"/>
    <n v="-27421.809999999954"/>
    <n v="109480.32000000046"/>
    <n v="137804.65000000078"/>
    <n v="28324.329999999958"/>
    <n v="-9512.8399999999911"/>
    <n v="0"/>
    <n v="9512.8399999999911"/>
    <n v="118993.15999999996"/>
    <n v="137804.65000000078"/>
    <n v="18811.489999999903"/>
    <n v="2249"/>
  </r>
  <r>
    <n v="2024"/>
    <n v="6"/>
    <x v="4"/>
    <d v="2024-06-25T00:00:00"/>
    <s v="Rogers"/>
    <x v="0"/>
    <x v="1"/>
    <n v="141825"/>
    <n v="141825"/>
    <n v="0"/>
    <n v="873.55000000000155"/>
    <n v="873.55000000000155"/>
    <n v="0"/>
    <n v="5716.2999999999502"/>
    <n v="5716.2999999999502"/>
    <n v="0"/>
    <n v="-23660.92"/>
    <n v="-22797.17"/>
    <n v="863.75"/>
    <n v="-12.21"/>
    <n v="-12.21"/>
    <n v="0"/>
    <n v="-120.7"/>
    <n v="-125.5"/>
    <n v="-4.8"/>
    <n v="124621.02000000073"/>
    <n v="125479.97000000073"/>
    <n v="858.95"/>
    <n v="35741.749999999862"/>
    <n v="16568.449999999964"/>
    <n v="-19173.299999999948"/>
    <n v="88879.270000000222"/>
    <n v="108911.52000000053"/>
    <n v="20032.249999999953"/>
    <n v="-7957.030000000007"/>
    <n v="0"/>
    <n v="7957.030000000007"/>
    <n v="96836.300000000119"/>
    <n v="108911.52000000053"/>
    <n v="12075.219999999941"/>
    <n v="1803"/>
  </r>
  <r>
    <n v="2024"/>
    <n v="6"/>
    <x v="4"/>
    <d v="2024-06-26T00:00:00"/>
    <s v="Rogers"/>
    <x v="0"/>
    <x v="1"/>
    <n v="166275"/>
    <n v="166275"/>
    <n v="0"/>
    <n v="1197.3600000000117"/>
    <n v="1197.3600000000117"/>
    <n v="0"/>
    <n v="6368.9499999999416"/>
    <n v="6352.9599999999418"/>
    <n v="-15.99"/>
    <n v="-28031.919999999998"/>
    <n v="-26902.92"/>
    <n v="1129"/>
    <n v="-11.63"/>
    <n v="-11.63"/>
    <n v="0"/>
    <n v="-125.37"/>
    <n v="-125.37"/>
    <n v="0"/>
    <n v="145672.39000000092"/>
    <n v="146785.40000000087"/>
    <n v="1113.01"/>
    <n v="42374.319999999803"/>
    <n v="26167.639999999948"/>
    <n v="-16206.679999999951"/>
    <n v="103298.0700000005"/>
    <n v="120617.76000000078"/>
    <n v="17319.689999999948"/>
    <n v="-12375.150000000029"/>
    <n v="0"/>
    <n v="12375.150000000029"/>
    <n v="115673.2200000001"/>
    <n v="120617.76000000078"/>
    <n v="4944.5400000000172"/>
    <n v="2115"/>
  </r>
  <r>
    <n v="2024"/>
    <n v="6"/>
    <x v="4"/>
    <d v="2024-06-27T00:00:00"/>
    <s v="Rogers"/>
    <x v="0"/>
    <x v="1"/>
    <n v="188008"/>
    <n v="188008"/>
    <n v="0"/>
    <n v="1398.5400000000113"/>
    <n v="1398.5400000000113"/>
    <n v="0"/>
    <n v="7143.4099999999298"/>
    <n v="7143.4099999999298"/>
    <n v="0"/>
    <n v="-30402.5"/>
    <n v="-29639.25"/>
    <n v="763.25"/>
    <n v="-20.450000000000003"/>
    <n v="-20.450000000000003"/>
    <n v="0"/>
    <n v="-164.17"/>
    <n v="-164.17"/>
    <n v="0"/>
    <n v="165962.83000000016"/>
    <n v="166726.08000000016"/>
    <n v="763.25"/>
    <n v="48536.78999999979"/>
    <n v="23012.529999999937"/>
    <n v="-25524.25999999994"/>
    <n v="117426.04000000053"/>
    <n v="143713.55000000042"/>
    <n v="26287.509999999937"/>
    <n v="-10974.970000000028"/>
    <n v="-11.870000000000001"/>
    <n v="10963.100000000029"/>
    <n v="128401.00999999992"/>
    <n v="143725.42000000045"/>
    <n v="15324.409999999889"/>
    <n v="2428"/>
  </r>
  <r>
    <n v="2024"/>
    <n v="6"/>
    <x v="4"/>
    <d v="2024-06-28T00:00:00"/>
    <s v="Rogers"/>
    <x v="0"/>
    <x v="1"/>
    <n v="181258"/>
    <n v="181258"/>
    <n v="0"/>
    <n v="1239.8600000000106"/>
    <n v="1239.8600000000106"/>
    <n v="0"/>
    <n v="6900.5299999999324"/>
    <n v="6827.5699999999333"/>
    <n v="-72.960000000000008"/>
    <n v="-30007"/>
    <n v="-29735.75"/>
    <n v="271.25"/>
    <n v="-19.91"/>
    <n v="-19.91"/>
    <n v="0"/>
    <n v="-185.28999999999996"/>
    <n v="-180.48999999999998"/>
    <n v="4.8"/>
    <n v="159186.19000000061"/>
    <n v="159389.28000000058"/>
    <n v="203.09000000000003"/>
    <n v="45691.489999999823"/>
    <n v="23448.839999999942"/>
    <n v="-22242.649999999925"/>
    <n v="113494.70000000049"/>
    <n v="135940.44000000067"/>
    <n v="22445.739999999922"/>
    <n v="-11189.42000000002"/>
    <n v="0"/>
    <n v="11189.42000000002"/>
    <n v="124684.11999999992"/>
    <n v="135940.44000000067"/>
    <n v="11256.319999999969"/>
    <n v="2334"/>
  </r>
  <r>
    <n v="2024"/>
    <n v="6"/>
    <x v="4"/>
    <d v="2024-06-29T00:00:00"/>
    <s v="Rogers"/>
    <x v="0"/>
    <x v="1"/>
    <n v="172963"/>
    <n v="172963"/>
    <n v="0"/>
    <n v="1285.5900000000129"/>
    <n v="1285.5900000000129"/>
    <n v="0"/>
    <n v="6023.0699999999451"/>
    <n v="6023.0699999999451"/>
    <n v="0"/>
    <n v="-29367.05"/>
    <n v="-26764.05"/>
    <n v="2603"/>
    <n v="-16.740000000000006"/>
    <n v="-16.740000000000006"/>
    <n v="0"/>
    <n v="-133.18"/>
    <n v="-133.18"/>
    <n v="0"/>
    <n v="150754.6900000007"/>
    <n v="153357.6900000007"/>
    <n v="2603"/>
    <n v="44291.199999999852"/>
    <n v="21192.419999999936"/>
    <n v="-23098.779999999915"/>
    <n v="106463.49000000037"/>
    <n v="132165.2700000008"/>
    <n v="25701.779999999897"/>
    <n v="-10193.910000000005"/>
    <n v="0"/>
    <n v="10193.910000000005"/>
    <n v="116657.39999999995"/>
    <n v="132165.2700000008"/>
    <n v="15507.869999999926"/>
    <n v="2230"/>
  </r>
  <r>
    <n v="2024"/>
    <n v="6"/>
    <x v="4"/>
    <d v="2024-06-23T00:00:00"/>
    <s v="Rogers"/>
    <x v="0"/>
    <x v="2"/>
    <n v="73311.449999999983"/>
    <n v="73311.449999999983"/>
    <n v="0"/>
    <n v="446.59999999999917"/>
    <n v="446.59999999999917"/>
    <n v="0"/>
    <n v="1881.8400000000008"/>
    <n v="1862.8500000000008"/>
    <n v="-18.990000000000002"/>
    <n v="-25858.870000000003"/>
    <n v="-25366.450000000004"/>
    <n v="492.41999999999996"/>
    <n v="-1.4100000000000001"/>
    <n v="-1.4100000000000001"/>
    <n v="0"/>
    <n v="-20"/>
    <n v="-20"/>
    <n v="0"/>
    <n v="49759.609999999855"/>
    <n v="50233.039999999855"/>
    <n v="473.43"/>
    <n v="19602.01999999995"/>
    <n v="9828.8899999999976"/>
    <n v="-9773.130000000001"/>
    <n v="30157.590000000069"/>
    <n v="40404.149999999994"/>
    <n v="10246.559999999996"/>
    <n v="-3425.3299999999972"/>
    <n v="0"/>
    <n v="3425.3299999999972"/>
    <n v="33582.92000000002"/>
    <n v="40404.149999999994"/>
    <n v="6821.2300000000041"/>
    <n v="822"/>
  </r>
  <r>
    <n v="2024"/>
    <n v="6"/>
    <x v="4"/>
    <d v="2024-06-24T00:00:00"/>
    <s v="Rogers"/>
    <x v="0"/>
    <x v="2"/>
    <n v="62117.22"/>
    <n v="62117.22"/>
    <n v="0"/>
    <n v="313.42999999999972"/>
    <n v="313.42999999999972"/>
    <n v="0"/>
    <n v="1788.9000000000008"/>
    <n v="1788.9000000000008"/>
    <n v="0"/>
    <n v="-21998.79"/>
    <n v="-21589.79"/>
    <n v="409"/>
    <n v="-4.45"/>
    <n v="-4.45"/>
    <n v="0"/>
    <n v="-15"/>
    <n v="-15"/>
    <n v="0"/>
    <n v="42201.309999999947"/>
    <n v="42610.309999999939"/>
    <n v="409"/>
    <n v="16232.149999999956"/>
    <n v="7109.9300000000067"/>
    <n v="-9122.2200000000012"/>
    <n v="25969.160000000058"/>
    <n v="35500.380000000019"/>
    <n v="9531.2199999999993"/>
    <n v="-2703.0199999999995"/>
    <n v="0"/>
    <n v="2703.0199999999995"/>
    <n v="28672.180000000018"/>
    <n v="35500.380000000019"/>
    <n v="6828.2000000000053"/>
    <n v="687"/>
  </r>
  <r>
    <n v="2024"/>
    <n v="6"/>
    <x v="4"/>
    <d v="2024-06-25T00:00:00"/>
    <s v="Rogers"/>
    <x v="0"/>
    <x v="2"/>
    <n v="46992.12"/>
    <n v="46992.12"/>
    <n v="0"/>
    <n v="236.8599999999999"/>
    <n v="236.8599999999999"/>
    <n v="0"/>
    <n v="1493.0500000000006"/>
    <n v="1477.0600000000006"/>
    <n v="-15.99"/>
    <n v="-16607.140000000003"/>
    <n v="-16365.140000000003"/>
    <n v="242"/>
    <n v="-3.5"/>
    <n v="-3.5"/>
    <n v="0"/>
    <n v="-10"/>
    <n v="-10"/>
    <n v="0"/>
    <n v="32101.390000000032"/>
    <n v="32327.400000000031"/>
    <n v="226.01"/>
    <n v="11549.979999999985"/>
    <n v="4647.5300000000034"/>
    <n v="-6902.4500000000071"/>
    <n v="20551.410000000025"/>
    <n v="27679.870000000028"/>
    <n v="7128.4600000000064"/>
    <n v="-1730.5500000000004"/>
    <n v="0"/>
    <n v="1730.5500000000004"/>
    <n v="22281.960000000046"/>
    <n v="27679.870000000028"/>
    <n v="5397.9100000000044"/>
    <n v="517"/>
  </r>
  <r>
    <n v="2024"/>
    <n v="6"/>
    <x v="4"/>
    <d v="2024-06-26T00:00:00"/>
    <s v="Rogers"/>
    <x v="0"/>
    <x v="2"/>
    <n v="57843.090000000004"/>
    <n v="57843.090000000004"/>
    <n v="0"/>
    <n v="348.29999999999967"/>
    <n v="348.29999999999967"/>
    <n v="0"/>
    <n v="1575.0000000000007"/>
    <n v="1556.0100000000007"/>
    <n v="-18.990000000000002"/>
    <n v="-20214.740000000002"/>
    <n v="-19728.740000000002"/>
    <n v="486"/>
    <n v="-5"/>
    <n v="-5"/>
    <n v="0"/>
    <n v="-15"/>
    <n v="-15"/>
    <n v="0"/>
    <n v="39531.649999999936"/>
    <n v="39998.659999999931"/>
    <n v="467.01"/>
    <n v="14537.589999999969"/>
    <n v="10070.109999999999"/>
    <n v="-4467.4800000000014"/>
    <n v="24994.060000000052"/>
    <n v="29928.550000000057"/>
    <n v="4934.4900000000016"/>
    <n v="-3652.7899999999995"/>
    <n v="0"/>
    <n v="3652.7899999999995"/>
    <n v="28646.850000000024"/>
    <n v="29928.550000000057"/>
    <n v="1281.7000000000003"/>
    <n v="657"/>
  </r>
  <r>
    <n v="2024"/>
    <n v="6"/>
    <x v="4"/>
    <d v="2024-06-27T00:00:00"/>
    <s v="Rogers"/>
    <x v="0"/>
    <x v="2"/>
    <n v="79069.700000000012"/>
    <n v="79069.700000000012"/>
    <n v="0"/>
    <n v="338.1799999999991"/>
    <n v="338.1799999999991"/>
    <n v="0"/>
    <n v="1912.8000000000009"/>
    <n v="1912.8000000000009"/>
    <n v="0"/>
    <n v="-27250.75"/>
    <n v="-26696.85"/>
    <n v="553.9"/>
    <n v="-5.23"/>
    <n v="-5.23"/>
    <n v="0"/>
    <n v="-15"/>
    <n v="-15"/>
    <n v="0"/>
    <n v="54049.69999999983"/>
    <n v="54603.599999999831"/>
    <n v="553.9"/>
    <n v="20267.369999999937"/>
    <n v="10416.640000000003"/>
    <n v="-9850.7300000000032"/>
    <n v="33782.330000000075"/>
    <n v="44186.959999999934"/>
    <n v="10404.630000000001"/>
    <n v="-3397.019999999995"/>
    <n v="0"/>
    <n v="3397.019999999995"/>
    <n v="37179.350000000042"/>
    <n v="44186.959999999934"/>
    <n v="7007.6100000000079"/>
    <n v="906"/>
  </r>
  <r>
    <n v="2024"/>
    <n v="6"/>
    <x v="4"/>
    <d v="2024-06-28T00:00:00"/>
    <s v="Rogers"/>
    <x v="0"/>
    <x v="2"/>
    <n v="77176.009999999951"/>
    <n v="77176.009999999951"/>
    <n v="0"/>
    <n v="367.97999999999928"/>
    <n v="367.97999999999928"/>
    <n v="0"/>
    <n v="1781.8800000000008"/>
    <n v="1781.8800000000008"/>
    <n v="0"/>
    <n v="-27259.11"/>
    <n v="-27259.11"/>
    <n v="0"/>
    <n v="-0.46"/>
    <n v="-0.46"/>
    <n v="0"/>
    <n v="-30.2"/>
    <n v="-30.2"/>
    <n v="0"/>
    <n v="52036.099999999875"/>
    <n v="52036.099999999875"/>
    <n v="0"/>
    <n v="19981.819999999952"/>
    <n v="9801.7300000000032"/>
    <n v="-10180.089999999995"/>
    <n v="32054.280000000083"/>
    <n v="42234.369999999988"/>
    <n v="10180.089999999995"/>
    <n v="-3455.0799999999986"/>
    <n v="0"/>
    <n v="3455.0799999999986"/>
    <n v="35509.360000000037"/>
    <n v="42234.369999999988"/>
    <n v="6725.0100000000093"/>
    <n v="859"/>
  </r>
  <r>
    <n v="2024"/>
    <n v="6"/>
    <x v="4"/>
    <d v="2024-06-29T00:00:00"/>
    <s v="Rogers"/>
    <x v="0"/>
    <x v="2"/>
    <n v="69119.78"/>
    <n v="69119.78"/>
    <n v="0"/>
    <n v="351.4399999999996"/>
    <n v="351.4399999999996"/>
    <n v="0"/>
    <n v="1462.0800000000006"/>
    <n v="1462.0800000000006"/>
    <n v="0"/>
    <n v="-25176.530000000002"/>
    <n v="-24200.530000000002"/>
    <n v="976"/>
    <n v="-0.72"/>
    <n v="-0.72"/>
    <n v="0"/>
    <n v="-29.5"/>
    <n v="-29.5"/>
    <n v="0"/>
    <n v="45726.549999999901"/>
    <n v="46702.549999999908"/>
    <n v="976"/>
    <n v="17435.089999999949"/>
    <n v="7849.9100000000071"/>
    <n v="-9585.1799999999985"/>
    <n v="28291.460000000032"/>
    <n v="38852.63999999997"/>
    <n v="10561.179999999993"/>
    <n v="-2772.1099999999983"/>
    <n v="0"/>
    <n v="2772.1099999999983"/>
    <n v="31063.57000000004"/>
    <n v="38852.63999999997"/>
    <n v="7789.0700000000106"/>
    <n v="768"/>
  </r>
  <r>
    <n v="2024"/>
    <n v="6"/>
    <x v="4"/>
    <d v="2024-06-23T00:00:00"/>
    <s v="Rogers"/>
    <x v="1"/>
    <x v="3"/>
    <n v="16932.249999999993"/>
    <n v="16932.249999999993"/>
    <n v="0"/>
    <n v="538.9799999999999"/>
    <n v="538.9799999999999"/>
    <n v="0"/>
    <n v="15.99"/>
    <n v="15.99"/>
    <n v="0"/>
    <n v="-3963.650000000001"/>
    <n v="-3963.650000000001"/>
    <n v="0"/>
    <n v="0"/>
    <n v="0"/>
    <n v="0"/>
    <n v="0"/>
    <n v="0"/>
    <n v="0"/>
    <n v="13523.570000000002"/>
    <n v="13523.570000000002"/>
    <n v="0"/>
    <n v="143.38"/>
    <n v="37.630000000000003"/>
    <n v="-105.75"/>
    <n v="13380.190000000004"/>
    <n v="13485.940000000002"/>
    <n v="105.75000000000003"/>
    <n v="4277.1999999999962"/>
    <n v="0"/>
    <n v="-4277.1999999999962"/>
    <n v="9102.99"/>
    <n v="13485.940000000002"/>
    <n v="4382.9499999999953"/>
    <n v="375"/>
  </r>
  <r>
    <n v="2024"/>
    <n v="6"/>
    <x v="4"/>
    <d v="2024-06-24T00:00:00"/>
    <s v="Rogers"/>
    <x v="1"/>
    <x v="3"/>
    <n v="16018.599999999982"/>
    <n v="16018.599999999982"/>
    <n v="0"/>
    <n v="20.46"/>
    <n v="20.46"/>
    <n v="0"/>
    <n v="0"/>
    <n v="0"/>
    <n v="0"/>
    <n v="-5397.8000000000102"/>
    <n v="-5397.8000000000102"/>
    <n v="0"/>
    <n v="-8.75"/>
    <n v="-8.75"/>
    <n v="0"/>
    <n v="0"/>
    <n v="0"/>
    <n v="0"/>
    <n v="10632.509999999969"/>
    <n v="10632.509999999969"/>
    <n v="0"/>
    <n v="52.63"/>
    <n v="15"/>
    <n v="-37.630000000000003"/>
    <n v="10579.87999999997"/>
    <n v="10617.509999999969"/>
    <n v="37.630000000000003"/>
    <n v="2020.170000000003"/>
    <n v="0"/>
    <n v="-2020.170000000003"/>
    <n v="8559.7099999999809"/>
    <n v="10617.509999999969"/>
    <n v="2057.8000000000029"/>
    <n v="295"/>
  </r>
  <r>
    <n v="2024"/>
    <n v="6"/>
    <x v="4"/>
    <d v="2024-06-25T00:00:00"/>
    <s v="Rogers"/>
    <x v="1"/>
    <x v="3"/>
    <n v="303"/>
    <n v="303"/>
    <n v="0"/>
    <n v="10.46"/>
    <n v="10.46"/>
    <n v="0"/>
    <n v="0"/>
    <n v="0"/>
    <n v="0"/>
    <n v="-118"/>
    <n v="-118"/>
    <n v="0"/>
    <n v="0"/>
    <n v="0"/>
    <n v="0"/>
    <n v="0"/>
    <n v="0"/>
    <n v="0"/>
    <n v="195.46"/>
    <n v="195.46"/>
    <n v="0"/>
    <n v="45"/>
    <n v="30"/>
    <n v="-15"/>
    <n v="150.46"/>
    <n v="165.46"/>
    <n v="15"/>
    <n v="-11.120000000000001"/>
    <n v="0"/>
    <n v="11.120000000000001"/>
    <n v="161.58000000000001"/>
    <n v="165.46"/>
    <n v="3.8799999999999955"/>
    <n v="3"/>
  </r>
  <r>
    <n v="2024"/>
    <n v="6"/>
    <x v="4"/>
    <d v="2024-06-26T00:00:00"/>
    <s v="Rogers"/>
    <x v="1"/>
    <x v="3"/>
    <n v="3866.9500000000094"/>
    <n v="3866.9500000000094"/>
    <n v="0"/>
    <n v="649.05000000000007"/>
    <n v="649.05000000000007"/>
    <n v="0"/>
    <n v="56.96"/>
    <n v="56.96"/>
    <n v="0"/>
    <n v="-440.1"/>
    <n v="-468.6"/>
    <n v="-28.5"/>
    <n v="-10"/>
    <n v="-10"/>
    <n v="0"/>
    <n v="-5"/>
    <n v="-5"/>
    <n v="0"/>
    <n v="4117.8600000000079"/>
    <n v="4089.3600000000074"/>
    <n v="-28.5"/>
    <n v="172.72"/>
    <n v="142.72"/>
    <n v="-30"/>
    <n v="3945.1400000000067"/>
    <n v="3946.6400000000067"/>
    <n v="1.5"/>
    <n v="1284.6500000000003"/>
    <n v="0"/>
    <n v="-1284.6500000000003"/>
    <n v="2660.4899999999993"/>
    <n v="3946.6400000000067"/>
    <n v="1286.1500000000003"/>
    <n v="151"/>
  </r>
  <r>
    <n v="2024"/>
    <n v="6"/>
    <x v="4"/>
    <d v="2024-06-27T00:00:00"/>
    <s v="Rogers"/>
    <x v="1"/>
    <x v="3"/>
    <n v="17620.599999999995"/>
    <n v="17620.599999999995"/>
    <n v="0"/>
    <n v="1028.1000000000006"/>
    <n v="1028.1000000000006"/>
    <n v="0"/>
    <n v="31.98"/>
    <n v="31.98"/>
    <n v="0"/>
    <n v="-3430.7999999999993"/>
    <n v="-3430.7999999999993"/>
    <n v="0"/>
    <n v="-10"/>
    <n v="-10"/>
    <n v="0"/>
    <n v="0"/>
    <n v="0"/>
    <n v="0"/>
    <n v="15239.879999999983"/>
    <n v="15239.879999999983"/>
    <n v="0"/>
    <n v="157.72"/>
    <n v="15"/>
    <n v="-142.72"/>
    <n v="15082.159999999985"/>
    <n v="15224.879999999983"/>
    <n v="142.72"/>
    <n v="5513.4400000000014"/>
    <n v="0"/>
    <n v="-5513.4400000000014"/>
    <n v="9568.7199999999921"/>
    <n v="15224.879999999983"/>
    <n v="5656.1600000000035"/>
    <n v="485"/>
  </r>
  <r>
    <n v="2024"/>
    <n v="6"/>
    <x v="4"/>
    <d v="2024-06-28T00:00:00"/>
    <s v="Rogers"/>
    <x v="1"/>
    <x v="3"/>
    <n v="9189.1999999999935"/>
    <n v="9189.1999999999935"/>
    <n v="0"/>
    <n v="608.25000000000011"/>
    <n v="608.25000000000011"/>
    <n v="0"/>
    <n v="15.99"/>
    <n v="15.99"/>
    <n v="0"/>
    <n v="-941.45000000000027"/>
    <n v="-941.45000000000027"/>
    <n v="0"/>
    <n v="0"/>
    <n v="0"/>
    <n v="0"/>
    <n v="0"/>
    <n v="0"/>
    <n v="0"/>
    <n v="8871.9900000000143"/>
    <n v="8871.9900000000143"/>
    <n v="0"/>
    <n v="57.63"/>
    <n v="42.63"/>
    <n v="-15"/>
    <n v="8814.3600000000151"/>
    <n v="8829.3600000000151"/>
    <n v="15"/>
    <n v="2805.6899999999914"/>
    <n v="0"/>
    <n v="-2805.6899999999914"/>
    <n v="6008.6700000000073"/>
    <n v="8829.3600000000151"/>
    <n v="2820.6899999999914"/>
    <n v="253"/>
  </r>
  <r>
    <n v="2024"/>
    <n v="6"/>
    <x v="4"/>
    <d v="2024-06-29T00:00:00"/>
    <s v="Rogers"/>
    <x v="1"/>
    <x v="3"/>
    <n v="26929.000000000084"/>
    <n v="26929.000000000084"/>
    <n v="0"/>
    <n v="693.7"/>
    <n v="693.7"/>
    <n v="0"/>
    <n v="0"/>
    <n v="0"/>
    <n v="0"/>
    <n v="-4139.5999999999985"/>
    <n v="-4139.5999999999985"/>
    <n v="0"/>
    <n v="-2"/>
    <n v="-2"/>
    <n v="0"/>
    <n v="0"/>
    <n v="0"/>
    <n v="0"/>
    <n v="23481.100000000097"/>
    <n v="23481.100000000097"/>
    <n v="0"/>
    <n v="42.63"/>
    <m/>
    <n v="-42.63"/>
    <n v="23438.470000000099"/>
    <n v="23481.100000000097"/>
    <n v="42.629999999999995"/>
    <n v="7855.9900000000707"/>
    <n v="0"/>
    <n v="-7855.9900000000707"/>
    <n v="15582.480000000061"/>
    <n v="23481.100000000097"/>
    <n v="7898.6200000000736"/>
    <n v="591"/>
  </r>
  <r>
    <n v="2024"/>
    <n v="6"/>
    <x v="4"/>
    <d v="2024-06-23T00:00:00"/>
    <s v="Rogers"/>
    <x v="1"/>
    <x v="4"/>
    <n v="12824.449999999993"/>
    <n v="12824.449999999993"/>
    <n v="0"/>
    <n v="185.85"/>
    <n v="185.85"/>
    <n v="0"/>
    <n v="225.86000000000007"/>
    <n v="225.86000000000007"/>
    <n v="0"/>
    <n v="-4657.2499999999991"/>
    <n v="-4646.2499999999991"/>
    <n v="11"/>
    <n v="-5"/>
    <n v="-5"/>
    <n v="0"/>
    <n v="-25.990000000000002"/>
    <n v="-25.990000000000002"/>
    <n v="0"/>
    <n v="8547.9200000000037"/>
    <n v="8558.9200000000037"/>
    <n v="11"/>
    <n v="1037.97"/>
    <n v="612.12"/>
    <n v="-425.85"/>
    <n v="7509.9500000000053"/>
    <n v="7946.8000000000056"/>
    <n v="436.85"/>
    <n v="1177.1499999999999"/>
    <n v="0"/>
    <n v="-1177.1499999999999"/>
    <n v="6332.8000000000011"/>
    <n v="7946.8000000000056"/>
    <n v="1613.9999999999995"/>
    <n v="160"/>
  </r>
  <r>
    <n v="2024"/>
    <n v="6"/>
    <x v="4"/>
    <d v="2024-06-24T00:00:00"/>
    <s v="Rogers"/>
    <x v="1"/>
    <x v="4"/>
    <n v="10825"/>
    <n v="10825"/>
    <n v="0"/>
    <n v="139.62"/>
    <n v="139.62"/>
    <n v="0"/>
    <n v="187.89000000000004"/>
    <n v="187.89000000000004"/>
    <n v="0"/>
    <n v="-3843.699999999998"/>
    <n v="-3843.699999999998"/>
    <n v="0"/>
    <n v="-14.4"/>
    <n v="-14.4"/>
    <n v="0"/>
    <n v="-20.990000000000002"/>
    <n v="-20.990000000000002"/>
    <n v="0"/>
    <n v="7273.420000000001"/>
    <n v="7273.420000000001"/>
    <n v="0"/>
    <n v="636.82000000000005"/>
    <n v="93.08"/>
    <n v="-543.74"/>
    <n v="6636.6000000000013"/>
    <n v="7180.3400000000011"/>
    <n v="543.74"/>
    <n v="1312.2299999999998"/>
    <n v="0"/>
    <n v="-1312.2299999999998"/>
    <n v="5324.369999999999"/>
    <n v="7180.3400000000011"/>
    <n v="1855.9699999999993"/>
    <n v="134"/>
  </r>
  <r>
    <n v="2024"/>
    <n v="6"/>
    <x v="4"/>
    <d v="2024-06-25T00:00:00"/>
    <s v="Rogers"/>
    <x v="1"/>
    <x v="4"/>
    <n v="1647"/>
    <n v="1647"/>
    <n v="0"/>
    <n v="45.45"/>
    <n v="45.45"/>
    <n v="0"/>
    <n v="117.93"/>
    <n v="117.93"/>
    <n v="0"/>
    <n v="-533.25"/>
    <n v="-533.25"/>
    <n v="0"/>
    <n v="-5"/>
    <n v="-5"/>
    <n v="0"/>
    <n v="-10"/>
    <n v="-10"/>
    <n v="0"/>
    <n v="1262.1300000000001"/>
    <n v="1262.1300000000001"/>
    <n v="0"/>
    <n v="315.64"/>
    <n v="222.56"/>
    <n v="-93.08"/>
    <n v="946.49000000000012"/>
    <n v="1039.5700000000002"/>
    <n v="93.079999999999984"/>
    <n v="-52.940000000000005"/>
    <n v="0"/>
    <n v="52.940000000000005"/>
    <n v="999.43"/>
    <n v="1039.5700000000002"/>
    <n v="40.139999999999958"/>
    <n v="18"/>
  </r>
  <r>
    <n v="2024"/>
    <n v="6"/>
    <x v="4"/>
    <d v="2024-06-26T00:00:00"/>
    <s v="Rogers"/>
    <x v="1"/>
    <x v="4"/>
    <n v="5844.2000000000007"/>
    <n v="5844.2000000000007"/>
    <n v="0"/>
    <n v="100.8"/>
    <n v="100.8"/>
    <n v="0"/>
    <n v="145.91"/>
    <n v="145.91"/>
    <n v="0"/>
    <n v="-2292.6000000000004"/>
    <n v="-2259.6000000000004"/>
    <n v="33"/>
    <n v="-10"/>
    <n v="-10"/>
    <n v="0"/>
    <n v="-10"/>
    <n v="-10"/>
    <n v="0"/>
    <n v="3778.309999999999"/>
    <n v="3811.309999999999"/>
    <n v="33"/>
    <n v="650.25"/>
    <n v="427.68999999999994"/>
    <n v="-222.56"/>
    <n v="3128.0599999999981"/>
    <n v="3383.6199999999985"/>
    <n v="255.56000000000003"/>
    <n v="263.81000000000006"/>
    <n v="0"/>
    <n v="-263.81000000000006"/>
    <n v="2864.2499999999991"/>
    <n v="3383.6199999999985"/>
    <n v="519.36999999999989"/>
    <n v="68"/>
  </r>
  <r>
    <n v="2024"/>
    <n v="6"/>
    <x v="4"/>
    <d v="2024-06-27T00:00:00"/>
    <s v="Rogers"/>
    <x v="1"/>
    <x v="4"/>
    <n v="13397.299999999996"/>
    <n v="13397.299999999996"/>
    <n v="0"/>
    <n v="209.29999999999998"/>
    <n v="209.29999999999998"/>
    <n v="0"/>
    <n v="158.9"/>
    <n v="158.9"/>
    <n v="0"/>
    <n v="-4571.1299999999965"/>
    <n v="-4550.1299999999965"/>
    <n v="21"/>
    <n v="-15.5"/>
    <n v="-15.5"/>
    <n v="0"/>
    <n v="-5"/>
    <n v="-5"/>
    <n v="0"/>
    <n v="9173.8699999999953"/>
    <n v="9194.8699999999953"/>
    <n v="21"/>
    <n v="905.41000000000008"/>
    <n v="477.71999999999986"/>
    <n v="-427.69"/>
    <n v="8268.4599999999955"/>
    <n v="8717.1499999999978"/>
    <n v="448.69"/>
    <n v="1473.34"/>
    <n v="0"/>
    <n v="-1473.34"/>
    <n v="6795.119999999999"/>
    <n v="8717.1499999999978"/>
    <n v="1922.0300000000002"/>
    <n v="169"/>
  </r>
  <r>
    <n v="2024"/>
    <n v="6"/>
    <x v="4"/>
    <d v="2024-06-28T00:00:00"/>
    <s v="Rogers"/>
    <x v="1"/>
    <x v="4"/>
    <n v="14781"/>
    <n v="14781"/>
    <n v="0"/>
    <n v="266.64999999999998"/>
    <n v="266.64999999999998"/>
    <n v="0"/>
    <n v="204.88000000000002"/>
    <n v="204.88000000000002"/>
    <n v="0"/>
    <n v="-5050.7300000000005"/>
    <n v="-5040.7300000000005"/>
    <n v="10"/>
    <n v="-65.900000000000006"/>
    <n v="-65.900000000000006"/>
    <n v="0"/>
    <n v="0"/>
    <n v="0"/>
    <n v="0"/>
    <n v="10135.899999999998"/>
    <n v="10145.899999999998"/>
    <n v="10"/>
    <n v="907.16000000000008"/>
    <n v="426.09999999999997"/>
    <n v="-481.06000000000006"/>
    <n v="9228.739999999998"/>
    <n v="9719.7999999999975"/>
    <n v="491.06000000000006"/>
    <n v="1754.3299999999992"/>
    <n v="0"/>
    <n v="-1754.3299999999992"/>
    <n v="7474.409999999998"/>
    <n v="9719.7999999999975"/>
    <n v="2245.3900000000017"/>
    <n v="202"/>
  </r>
  <r>
    <n v="2024"/>
    <n v="6"/>
    <x v="4"/>
    <d v="2024-06-29T00:00:00"/>
    <s v="Rogers"/>
    <x v="1"/>
    <x v="4"/>
    <n v="18191.05"/>
    <n v="18191.05"/>
    <n v="0"/>
    <n v="156.74"/>
    <n v="156.74"/>
    <n v="0"/>
    <n v="270.84000000000003"/>
    <n v="270.84000000000003"/>
    <n v="0"/>
    <n v="-6072.9999999999991"/>
    <n v="-6076.7499999999991"/>
    <n v="-3.75"/>
    <n v="0"/>
    <n v="0"/>
    <n v="0"/>
    <n v="0"/>
    <n v="0"/>
    <n v="0"/>
    <n v="12545.630000000034"/>
    <n v="12541.880000000034"/>
    <n v="-3.75"/>
    <n v="822.52999999999986"/>
    <n v="396.43"/>
    <n v="-426.1"/>
    <n v="11723.100000000037"/>
    <n v="12145.450000000035"/>
    <n v="422.35"/>
    <n v="2218.6200000000022"/>
    <n v="0"/>
    <n v="-2218.6200000000022"/>
    <n v="9504.4799999999941"/>
    <n v="12145.450000000035"/>
    <n v="2640.970000000003"/>
    <n v="235"/>
  </r>
  <r>
    <n v="2024"/>
    <n v="6"/>
    <x v="4"/>
    <d v="2024-06-23T00:00:00"/>
    <s v="Rogers"/>
    <x v="1"/>
    <x v="5"/>
    <n v="40543"/>
    <n v="40543"/>
    <n v="0"/>
    <n v="518.09999999999968"/>
    <n v="518.09999999999968"/>
    <n v="0"/>
    <n v="1426.1800000000005"/>
    <n v="1426.1800000000005"/>
    <n v="0"/>
    <n v="-12269.13"/>
    <n v="-11894.71"/>
    <n v="374.42"/>
    <n v="-35"/>
    <n v="-35"/>
    <n v="0"/>
    <n v="-65.990000000000009"/>
    <n v="-65.990000000000009"/>
    <n v="0"/>
    <n v="30117.160000000033"/>
    <n v="30491.580000000027"/>
    <n v="374.41999999999996"/>
    <n v="8433.6100000000079"/>
    <n v="4064.9600000000032"/>
    <n v="-4368.6500000000024"/>
    <n v="21683.550000000032"/>
    <n v="26426.620000000043"/>
    <n v="4743.0700000000024"/>
    <n v="-2125.7599999999998"/>
    <n v="0"/>
    <n v="2125.7599999999998"/>
    <n v="23809.310000000027"/>
    <n v="26426.620000000043"/>
    <n v="2617.3100000000009"/>
    <n v="457"/>
  </r>
  <r>
    <n v="2024"/>
    <n v="6"/>
    <x v="4"/>
    <d v="2024-06-24T00:00:00"/>
    <s v="Rogers"/>
    <x v="1"/>
    <x v="5"/>
    <n v="34569"/>
    <n v="34569"/>
    <n v="0"/>
    <n v="444.39999999999907"/>
    <n v="444.39999999999907"/>
    <n v="0"/>
    <n v="1075.3500000000004"/>
    <n v="1075.3500000000004"/>
    <n v="0"/>
    <n v="-9994.68"/>
    <n v="-9492.98"/>
    <n v="501.7"/>
    <n v="-5"/>
    <n v="-5"/>
    <n v="0"/>
    <n v="-51.980000000000004"/>
    <n v="-51.980000000000004"/>
    <n v="0"/>
    <n v="26037.090000000018"/>
    <n v="26538.790000000019"/>
    <n v="501.7"/>
    <n v="7889.1200000000072"/>
    <n v="3910.7500000000027"/>
    <n v="-3978.3700000000022"/>
    <n v="18147.970000000023"/>
    <n v="22628.040000000034"/>
    <n v="4480.0700000000024"/>
    <n v="-2055.0899999999992"/>
    <n v="0"/>
    <n v="2055.0899999999992"/>
    <n v="20203.060000000023"/>
    <n v="22628.040000000034"/>
    <n v="2424.9800000000023"/>
    <n v="402"/>
  </r>
  <r>
    <n v="2024"/>
    <n v="6"/>
    <x v="4"/>
    <d v="2024-06-25T00:00:00"/>
    <s v="Rogers"/>
    <x v="1"/>
    <x v="5"/>
    <n v="30410"/>
    <n v="30410"/>
    <n v="0"/>
    <n v="365.17999999999995"/>
    <n v="377.67999999999995"/>
    <n v="12.5"/>
    <n v="829.50000000000034"/>
    <n v="829.50000000000034"/>
    <n v="0"/>
    <n v="-8775.4"/>
    <n v="-8269.5"/>
    <n v="505.9"/>
    <n v="-5"/>
    <n v="-5"/>
    <n v="0"/>
    <n v="-41.980000000000004"/>
    <n v="-41.980000000000004"/>
    <n v="0"/>
    <n v="22782.3"/>
    <n v="23300.7"/>
    <n v="518.4"/>
    <n v="6771.4700000000075"/>
    <n v="2977.6900000000019"/>
    <n v="-3793.7800000000043"/>
    <n v="16010.830000000007"/>
    <n v="20323.009999999995"/>
    <n v="4312.1800000000039"/>
    <n v="-1543.9599999999998"/>
    <n v="0"/>
    <n v="1543.9599999999998"/>
    <n v="17554.790000000015"/>
    <n v="20323.009999999995"/>
    <n v="2768.2200000000034"/>
    <n v="352"/>
  </r>
  <r>
    <n v="2024"/>
    <n v="6"/>
    <x v="4"/>
    <d v="2024-06-26T00:00:00"/>
    <s v="Rogers"/>
    <x v="1"/>
    <x v="5"/>
    <n v="37554.149999999994"/>
    <n v="37554.149999999994"/>
    <n v="0"/>
    <n v="461.69999999999953"/>
    <n v="461.69999999999953"/>
    <n v="0"/>
    <n v="1386.1400000000006"/>
    <n v="1386.1400000000006"/>
    <n v="0"/>
    <n v="-11055.74"/>
    <n v="-10461.74"/>
    <n v="594"/>
    <n v="0"/>
    <n v="0"/>
    <n v="0"/>
    <n v="-30"/>
    <n v="-30"/>
    <n v="0"/>
    <n v="28316.250000000025"/>
    <n v="28910.250000000025"/>
    <n v="594"/>
    <n v="7575.3500000000067"/>
    <n v="4665.2900000000036"/>
    <n v="-2910.0600000000013"/>
    <n v="20740.90000000002"/>
    <n v="24244.960000000032"/>
    <n v="3504.0600000000013"/>
    <n v="-2321.2099999999996"/>
    <n v="0"/>
    <n v="2321.2099999999996"/>
    <n v="23062.110000000004"/>
    <n v="24244.960000000032"/>
    <n v="1182.8499999999995"/>
    <n v="423"/>
  </r>
  <r>
    <n v="2024"/>
    <n v="6"/>
    <x v="4"/>
    <d v="2024-06-27T00:00:00"/>
    <s v="Rogers"/>
    <x v="1"/>
    <x v="5"/>
    <n v="47463.1"/>
    <n v="47463.1"/>
    <n v="0"/>
    <n v="645.59999999999945"/>
    <n v="645.59999999999945"/>
    <n v="0"/>
    <n v="2096.6800000000003"/>
    <n v="2096.6800000000003"/>
    <n v="0"/>
    <n v="-14279.84"/>
    <n v="-13543.09"/>
    <n v="736.75"/>
    <n v="-25"/>
    <n v="-25"/>
    <n v="0"/>
    <n v="-76.98"/>
    <n v="-76.98"/>
    <n v="0"/>
    <n v="35823.560000000012"/>
    <n v="36560.310000000012"/>
    <n v="736.75"/>
    <n v="9966.0499999999956"/>
    <n v="5337.4700000000048"/>
    <n v="-4628.5800000000036"/>
    <n v="25857.51000000006"/>
    <n v="31222.840000000058"/>
    <n v="5365.3300000000036"/>
    <n v="-2624.5599999999968"/>
    <n v="0"/>
    <n v="2624.5599999999968"/>
    <n v="28482.07000000004"/>
    <n v="31222.840000000058"/>
    <n v="2740.7700000000036"/>
    <n v="530"/>
  </r>
  <r>
    <n v="2024"/>
    <n v="6"/>
    <x v="4"/>
    <d v="2024-06-28T00:00:00"/>
    <s v="Rogers"/>
    <x v="1"/>
    <x v="5"/>
    <n v="47557.150000000009"/>
    <n v="47557.150000000009"/>
    <n v="0"/>
    <n v="735.57999999999993"/>
    <n v="735.57999999999993"/>
    <n v="0"/>
    <n v="2191.6499999999987"/>
    <n v="2191.6499999999987"/>
    <n v="0"/>
    <n v="-14115.84"/>
    <n v="-14053.34"/>
    <n v="62.5"/>
    <n v="-45"/>
    <n v="-45"/>
    <n v="0"/>
    <n v="-89.97"/>
    <n v="-89.97"/>
    <n v="0"/>
    <n v="36233.569999999985"/>
    <n v="36296.069999999985"/>
    <n v="62.5"/>
    <n v="9863.3799999999974"/>
    <n v="4744.3700000000035"/>
    <n v="-5119.0100000000048"/>
    <n v="26370.190000000053"/>
    <n v="31551.700000000055"/>
    <n v="5181.5100000000039"/>
    <n v="-2411.3599999999992"/>
    <n v="0"/>
    <n v="2411.3599999999992"/>
    <n v="28781.550000000028"/>
    <n v="31551.700000000055"/>
    <n v="2770.1500000000024"/>
    <n v="536"/>
  </r>
  <r>
    <n v="2024"/>
    <n v="6"/>
    <x v="4"/>
    <d v="2024-06-29T00:00:00"/>
    <s v="Rogers"/>
    <x v="1"/>
    <x v="5"/>
    <n v="45550.149999999994"/>
    <n v="45550.149999999994"/>
    <n v="0"/>
    <n v="738.41999999999985"/>
    <n v="738.41999999999985"/>
    <n v="0"/>
    <n v="1567.0300000000007"/>
    <n v="1567.0300000000007"/>
    <n v="0"/>
    <n v="-13772.65"/>
    <n v="-12518.4"/>
    <n v="1254.25"/>
    <n v="-30"/>
    <n v="-30"/>
    <n v="0"/>
    <n v="-72.97"/>
    <n v="-72.97"/>
    <n v="0"/>
    <n v="33979.979999999989"/>
    <n v="35234.229999999974"/>
    <n v="1254.25"/>
    <n v="9886.3699999999953"/>
    <n v="5240.3800000000047"/>
    <n v="-4645.9900000000052"/>
    <n v="24093.610000000022"/>
    <n v="29993.850000000013"/>
    <n v="5900.2400000000052"/>
    <n v="-2764.8599999999979"/>
    <n v="0"/>
    <n v="2764.8599999999979"/>
    <n v="26858.470000000016"/>
    <n v="29993.850000000013"/>
    <n v="3135.380000000006"/>
    <n v="523"/>
  </r>
  <r>
    <n v="2024"/>
    <n v="6"/>
    <x v="4"/>
    <d v="2024-06-23T00:00:00"/>
    <s v="Rogers"/>
    <x v="1"/>
    <x v="6"/>
    <n v="3865.6000000000004"/>
    <n v="3865.6000000000004"/>
    <n v="0"/>
    <n v="30.7"/>
    <n v="30.7"/>
    <n v="0"/>
    <n v="0"/>
    <n v="0"/>
    <n v="0"/>
    <n v="-1123.4499999999998"/>
    <n v="-1123.4499999999998"/>
    <n v="0"/>
    <n v="0"/>
    <n v="0"/>
    <n v="0"/>
    <n v="0"/>
    <n v="0"/>
    <n v="0"/>
    <n v="2772.8500000000004"/>
    <n v="2772.8500000000004"/>
    <n v="0"/>
    <n v="208.02000000000007"/>
    <n v="92.210000000000008"/>
    <n v="-115.80999999999999"/>
    <n v="2564.8300000000008"/>
    <n v="2680.6400000000003"/>
    <n v="115.80999999999999"/>
    <n v="718.52999999999986"/>
    <n v="40.120000000000005"/>
    <n v="-678.40999999999974"/>
    <n v="1846.2999999999993"/>
    <n v="2640.5200000000009"/>
    <n v="794.2199999999998"/>
    <n v="62"/>
  </r>
  <r>
    <n v="2024"/>
    <n v="6"/>
    <x v="4"/>
    <d v="2024-06-24T00:00:00"/>
    <s v="Rogers"/>
    <x v="1"/>
    <x v="6"/>
    <n v="2699.75"/>
    <n v="2699.75"/>
    <n v="0"/>
    <n v="0"/>
    <n v="0"/>
    <n v="0"/>
    <n v="0"/>
    <n v="0"/>
    <n v="0"/>
    <n v="-875.24999999999989"/>
    <n v="-875.24999999999989"/>
    <n v="0"/>
    <n v="0"/>
    <n v="0"/>
    <n v="0"/>
    <n v="0"/>
    <n v="0"/>
    <n v="0"/>
    <n v="1824.4999999999995"/>
    <n v="1824.4999999999995"/>
    <n v="0"/>
    <n v="92.210000000000008"/>
    <m/>
    <n v="-92.210000000000008"/>
    <n v="1732.2899999999997"/>
    <n v="1824.4999999999995"/>
    <n v="92.21"/>
    <n v="455.14000000000004"/>
    <n v="0"/>
    <n v="-455.14000000000004"/>
    <n v="1277.1500000000001"/>
    <n v="1824.4999999999995"/>
    <n v="547.35000000000014"/>
    <n v="38"/>
  </r>
  <r>
    <n v="2024"/>
    <n v="6"/>
    <x v="4"/>
    <d v="2024-06-25T00:00:00"/>
    <s v="Rogers"/>
    <x v="1"/>
    <x v="6"/>
    <n v="135"/>
    <n v="135"/>
    <n v="0"/>
    <n v="0"/>
    <n v="0"/>
    <n v="0"/>
    <n v="0"/>
    <n v="0"/>
    <n v="0"/>
    <n v="-29.000000000000004"/>
    <n v="-29.000000000000004"/>
    <n v="0"/>
    <n v="0"/>
    <n v="0"/>
    <n v="0"/>
    <n v="0"/>
    <n v="0"/>
    <n v="0"/>
    <n v="106"/>
    <n v="106"/>
    <n v="0"/>
    <m/>
    <m/>
    <n v="0"/>
    <n v="106"/>
    <n v="106"/>
    <n v="0"/>
    <n v="30.24"/>
    <n v="0"/>
    <n v="-30.24"/>
    <n v="75.759999999999991"/>
    <n v="106"/>
    <n v="30.240000000000002"/>
    <n v="2"/>
  </r>
  <r>
    <n v="2024"/>
    <n v="6"/>
    <x v="4"/>
    <d v="2024-06-26T00:00:00"/>
    <s v="Rogers"/>
    <x v="1"/>
    <x v="6"/>
    <n v="777.8"/>
    <n v="777.8"/>
    <n v="0"/>
    <n v="50"/>
    <n v="50"/>
    <n v="0"/>
    <n v="0"/>
    <n v="0"/>
    <n v="0"/>
    <n v="-70.550000000000011"/>
    <n v="-70.550000000000011"/>
    <n v="0"/>
    <n v="-20"/>
    <n v="-20"/>
    <n v="0"/>
    <n v="0"/>
    <n v="0"/>
    <n v="0"/>
    <n v="737.25"/>
    <n v="737.25"/>
    <n v="0"/>
    <m/>
    <m/>
    <n v="0"/>
    <n v="737.25"/>
    <n v="737.25"/>
    <n v="0"/>
    <n v="151.77000000000001"/>
    <n v="0"/>
    <n v="-151.77000000000001"/>
    <n v="585.48000000000013"/>
    <n v="737.25"/>
    <n v="151.77000000000001"/>
    <n v="17"/>
  </r>
  <r>
    <n v="2024"/>
    <n v="6"/>
    <x v="4"/>
    <d v="2024-06-27T00:00:00"/>
    <s v="Rogers"/>
    <x v="1"/>
    <x v="6"/>
    <n v="2574.0500000000002"/>
    <n v="2574.0500000000002"/>
    <n v="0"/>
    <n v="20"/>
    <n v="20"/>
    <n v="0"/>
    <n v="0"/>
    <n v="0"/>
    <n v="0"/>
    <n v="-564.05000000000007"/>
    <n v="-564.05000000000007"/>
    <n v="0"/>
    <n v="-4"/>
    <n v="-4"/>
    <n v="0"/>
    <n v="0"/>
    <n v="0"/>
    <n v="0"/>
    <n v="2026.0000000000002"/>
    <n v="2026.0000000000002"/>
    <n v="0"/>
    <n v="20"/>
    <n v="20"/>
    <n v="0"/>
    <n v="2006.0000000000002"/>
    <n v="2006.0000000000002"/>
    <n v="0"/>
    <n v="568.91"/>
    <n v="0"/>
    <n v="-568.91"/>
    <n v="1437.0900000000001"/>
    <n v="2006.0000000000002"/>
    <n v="568.91"/>
    <n v="46"/>
  </r>
  <r>
    <n v="2024"/>
    <n v="6"/>
    <x v="4"/>
    <d v="2024-06-28T00:00:00"/>
    <s v="Rogers"/>
    <x v="1"/>
    <x v="6"/>
    <n v="3835.8999999999996"/>
    <n v="3835.8999999999996"/>
    <n v="0"/>
    <n v="20"/>
    <n v="20"/>
    <n v="0"/>
    <n v="0"/>
    <n v="0"/>
    <n v="0"/>
    <n v="-940.84999999999968"/>
    <n v="-940.84999999999968"/>
    <n v="0"/>
    <n v="-8"/>
    <n v="-8"/>
    <n v="0"/>
    <n v="0"/>
    <n v="0"/>
    <n v="0"/>
    <n v="2907.0499999999988"/>
    <n v="2907.0499999999988"/>
    <n v="0"/>
    <n v="70.75"/>
    <n v="50.75"/>
    <n v="-20"/>
    <n v="2836.2999999999993"/>
    <n v="2856.2999999999988"/>
    <n v="20"/>
    <n v="909.25999999999988"/>
    <n v="0"/>
    <n v="-909.25999999999988"/>
    <n v="1927.0400000000002"/>
    <n v="2856.2999999999988"/>
    <n v="929.25999999999988"/>
    <n v="65"/>
  </r>
  <r>
    <n v="2024"/>
    <n v="6"/>
    <x v="4"/>
    <d v="2024-06-29T00:00:00"/>
    <s v="Rogers"/>
    <x v="1"/>
    <x v="6"/>
    <n v="5950.4000000000005"/>
    <n v="5950.4000000000005"/>
    <n v="0"/>
    <n v="0"/>
    <n v="0"/>
    <n v="0"/>
    <n v="0"/>
    <n v="0"/>
    <n v="0"/>
    <n v="-1531.8500000000004"/>
    <n v="-1531.8500000000004"/>
    <n v="0"/>
    <n v="0"/>
    <n v="0"/>
    <n v="0"/>
    <n v="0"/>
    <n v="0"/>
    <n v="0"/>
    <n v="4418.5499999999993"/>
    <n v="4418.5499999999993"/>
    <n v="0"/>
    <n v="81.5"/>
    <n v="30.75"/>
    <n v="-50.75"/>
    <n v="4337.0499999999993"/>
    <n v="4387.7999999999993"/>
    <n v="50.75"/>
    <n v="1023.5600000000007"/>
    <n v="0"/>
    <n v="-1023.5600000000007"/>
    <n v="3313.4899999999993"/>
    <n v="4387.7999999999993"/>
    <n v="1074.3100000000011"/>
    <n v="104"/>
  </r>
  <r>
    <n v="2024"/>
    <n v="6"/>
    <x v="5"/>
    <d v="2024-06-30T00:00:00"/>
    <s v="Fido"/>
    <x v="0"/>
    <x v="0"/>
    <n v="101830.5"/>
    <n v="101830.5"/>
    <n v="0"/>
    <n v="1150.3400000000127"/>
    <n v="1150.3400000000127"/>
    <n v="0"/>
    <n v="1851.690000000001"/>
    <n v="1851.690000000001"/>
    <n v="0"/>
    <n v="-8871.380000000001"/>
    <n v="-8004.38"/>
    <n v="867"/>
    <n v="-2.0900000000000003"/>
    <n v="-2.5500000000000003"/>
    <n v="-0.46"/>
    <n v="-50"/>
    <n v="-50"/>
    <n v="0"/>
    <n v="95909.060000000347"/>
    <n v="96775.60000000037"/>
    <n v="866.54"/>
    <n v="39512.539999999753"/>
    <n v="6974.8600000000133"/>
    <n v="-32537.679999999749"/>
    <n v="56396.519999999873"/>
    <n v="89800.740000000238"/>
    <n v="33404.219999999747"/>
    <n v="-3368.220000000003"/>
    <n v="0"/>
    <n v="3368.220000000003"/>
    <n v="59764.739999999918"/>
    <n v="89800.740000000238"/>
    <n v="30035.999999999785"/>
    <n v="1783"/>
  </r>
  <r>
    <n v="2024"/>
    <n v="6"/>
    <x v="5"/>
    <d v="2024-06-30T00:00:00"/>
    <s v="Rogers"/>
    <x v="0"/>
    <x v="1"/>
    <n v="90712"/>
    <n v="90712"/>
    <n v="0"/>
    <n v="696.7700000000001"/>
    <n v="696.7700000000001"/>
    <n v="0"/>
    <n v="3185.9299999999853"/>
    <n v="3169.9399999999855"/>
    <n v="-15.99"/>
    <n v="-14160"/>
    <n v="-13477.75"/>
    <n v="682.25"/>
    <n v="-6.48"/>
    <n v="-6.48"/>
    <n v="0"/>
    <n v="-45.49"/>
    <n v="-45.49"/>
    <n v="0"/>
    <n v="80382.729999999923"/>
    <n v="81048.989999999947"/>
    <n v="666.26"/>
    <n v="24988.089999999935"/>
    <n v="4156.5100000000029"/>
    <n v="-20831.579999999947"/>
    <n v="55394.640000000021"/>
    <n v="76892.479999999909"/>
    <n v="21497.839999999946"/>
    <n v="-2021.1000000000001"/>
    <n v="0"/>
    <n v="2021.1000000000001"/>
    <n v="57415.739999999976"/>
    <n v="76892.479999999909"/>
    <n v="19476.739999999958"/>
    <n v="1173"/>
  </r>
  <r>
    <n v="2024"/>
    <n v="6"/>
    <x v="5"/>
    <d v="2024-06-30T00:00:00"/>
    <s v="Rogers"/>
    <x v="0"/>
    <x v="2"/>
    <n v="36819.07"/>
    <n v="36819.07"/>
    <n v="0"/>
    <n v="165.15000000000006"/>
    <n v="165.15000000000006"/>
    <n v="0"/>
    <n v="859.47000000000037"/>
    <n v="859.47000000000037"/>
    <n v="0"/>
    <n v="-13005.92"/>
    <n v="-12564.92"/>
    <n v="441"/>
    <n v="-0.49"/>
    <n v="-0.49"/>
    <n v="0"/>
    <n v="-11.6"/>
    <n v="-11.6"/>
    <n v="0"/>
    <n v="24825.679999999982"/>
    <n v="25266.679999999986"/>
    <n v="441"/>
    <n v="9247.5700000000033"/>
    <n v="1600.7900000000004"/>
    <n v="-7646.7800000000061"/>
    <n v="15578.10999999999"/>
    <n v="23665.889999999981"/>
    <n v="8087.7800000000061"/>
    <n v="-690.9200000000003"/>
    <n v="0"/>
    <n v="690.9200000000003"/>
    <n v="16269.029999999986"/>
    <n v="23665.889999999981"/>
    <n v="7396.8600000000097"/>
    <n v="405"/>
  </r>
  <r>
    <n v="2024"/>
    <n v="6"/>
    <x v="5"/>
    <d v="2024-06-30T00:00:00"/>
    <s v="Rogers"/>
    <x v="1"/>
    <x v="3"/>
    <n v="133.1"/>
    <n v="133.1"/>
    <n v="0"/>
    <n v="0"/>
    <n v="0"/>
    <n v="0"/>
    <n v="0"/>
    <n v="0"/>
    <n v="0"/>
    <n v="-45.6"/>
    <n v="-45.6"/>
    <n v="0"/>
    <n v="0"/>
    <n v="0"/>
    <n v="0"/>
    <n v="0"/>
    <n v="0"/>
    <n v="0"/>
    <n v="87.5"/>
    <n v="87.5"/>
    <n v="0"/>
    <m/>
    <m/>
    <n v="0"/>
    <n v="87.5"/>
    <n v="87.5"/>
    <n v="0"/>
    <n v="23.75"/>
    <n v="0"/>
    <n v="-23.75"/>
    <n v="63.75"/>
    <n v="87.5"/>
    <n v="23.75"/>
    <n v="3"/>
  </r>
  <r>
    <n v="2024"/>
    <n v="6"/>
    <x v="5"/>
    <d v="2024-06-30T00:00:00"/>
    <s v="Rogers"/>
    <x v="1"/>
    <x v="4"/>
    <n v="3428"/>
    <n v="3428"/>
    <n v="0"/>
    <n v="25.14"/>
    <n v="25.14"/>
    <n v="0"/>
    <n v="111.92999999999999"/>
    <n v="111.92999999999999"/>
    <n v="0"/>
    <n v="-1097.1000000000008"/>
    <n v="-1075.1000000000008"/>
    <n v="22"/>
    <n v="0"/>
    <n v="0"/>
    <n v="0"/>
    <n v="0"/>
    <n v="0"/>
    <n v="0"/>
    <n v="2467.9699999999998"/>
    <n v="2489.9699999999998"/>
    <n v="22"/>
    <n v="421.34"/>
    <n v="30"/>
    <n v="-391.34000000000003"/>
    <n v="2046.6299999999992"/>
    <n v="2459.9699999999993"/>
    <n v="413.34"/>
    <n v="451.85999999999984"/>
    <n v="0"/>
    <n v="-451.85999999999984"/>
    <n v="1594.7700000000011"/>
    <n v="2459.9699999999993"/>
    <n v="865.19999999999948"/>
    <n v="44"/>
  </r>
  <r>
    <n v="2024"/>
    <n v="6"/>
    <x v="5"/>
    <d v="2024-06-30T00:00:00"/>
    <s v="Rogers"/>
    <x v="1"/>
    <x v="5"/>
    <n v="26852"/>
    <n v="26852"/>
    <n v="0"/>
    <n v="491.96999999999895"/>
    <n v="491.96999999999895"/>
    <n v="0"/>
    <n v="1064.3500000000004"/>
    <n v="1064.3500000000004"/>
    <n v="0"/>
    <n v="-7607.1500000000005"/>
    <n v="-7441.1500000000005"/>
    <n v="166"/>
    <n v="-15"/>
    <n v="-15"/>
    <n v="0"/>
    <n v="-49.980000000000004"/>
    <n v="-49.980000000000004"/>
    <n v="0"/>
    <n v="20736.19000000001"/>
    <n v="20902.19000000001"/>
    <n v="166"/>
    <n v="6217.2400000000052"/>
    <n v="1038.9100000000001"/>
    <n v="-5178.3300000000045"/>
    <n v="14518.950000000019"/>
    <n v="19863.28000000001"/>
    <n v="5344.3300000000054"/>
    <n v="-538.86"/>
    <n v="0"/>
    <n v="538.86"/>
    <n v="15057.810000000021"/>
    <n v="19863.28000000001"/>
    <n v="4805.4700000000048"/>
    <n v="311"/>
  </r>
  <r>
    <n v="2024"/>
    <n v="6"/>
    <x v="5"/>
    <d v="2024-06-30T00:00:00"/>
    <s v="Rogers"/>
    <x v="1"/>
    <x v="6"/>
    <n v="111"/>
    <n v="111"/>
    <n v="0"/>
    <n v="0"/>
    <n v="0"/>
    <n v="0"/>
    <n v="0"/>
    <n v="0"/>
    <n v="0"/>
    <n v="-22.8"/>
    <n v="-22.8"/>
    <n v="0"/>
    <n v="0"/>
    <n v="0"/>
    <n v="0"/>
    <n v="0"/>
    <n v="0"/>
    <n v="0"/>
    <n v="88.2"/>
    <n v="88.2"/>
    <n v="0"/>
    <n v="30.75"/>
    <m/>
    <n v="-30.75"/>
    <n v="57.45"/>
    <n v="88.2"/>
    <n v="30.75"/>
    <n v="15.3"/>
    <n v="0"/>
    <n v="-15.3"/>
    <n v="42.150000000000006"/>
    <n v="88.2"/>
    <n v="46.05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n v="2024"/>
    <n v="7"/>
    <x v="0"/>
    <d v="2024-07-01T00:00:00"/>
    <s v="Fido"/>
    <x v="0"/>
    <x v="0"/>
    <n v="103104.25"/>
    <n v="103104.25"/>
    <n v="0"/>
    <n v="1042.0400000000052"/>
    <n v="1049.040000000005"/>
    <n v="7"/>
    <n v="1974.670000000001"/>
    <n v="1974.670000000001"/>
    <n v="0"/>
    <n v="-10836.75"/>
    <n v="-9118.75"/>
    <n v="1718"/>
    <n v="-14.45"/>
    <n v="-7.91"/>
    <n v="6.54"/>
    <n v="-52.1"/>
    <n v="-52.1"/>
    <n v="0"/>
    <n v="95217.660000000367"/>
    <n v="96949.200000000448"/>
    <n v="1731.54"/>
    <n v="37056.079999999696"/>
    <n v="30245.449999999677"/>
    <n v="-6810.6300000000128"/>
    <n v="58161.579999999878"/>
    <n v="66703.749999999753"/>
    <n v="8542.170000000011"/>
    <n v="-14802.540000000008"/>
    <n v="0"/>
    <n v="14802.540000000008"/>
    <n v="72964.119999999966"/>
    <n v="66703.749999999753"/>
    <n v="-6260.3700000000035"/>
    <n v="1782"/>
  </r>
  <r>
    <n v="2024"/>
    <n v="7"/>
    <x v="0"/>
    <d v="2024-07-02T00:00:00"/>
    <s v="Fido"/>
    <x v="0"/>
    <x v="0"/>
    <n v="151771.75"/>
    <n v="151771.75"/>
    <n v="0"/>
    <n v="1541.6600000000294"/>
    <n v="1534.6600000000292"/>
    <n v="-7"/>
    <n v="2742.0999999999908"/>
    <n v="2729.109999999991"/>
    <n v="-12.99"/>
    <n v="-14527.75"/>
    <n v="-13249.75"/>
    <n v="1278"/>
    <n v="-16.900000000000006"/>
    <n v="-16.900000000000006"/>
    <n v="0"/>
    <n v="-71"/>
    <n v="-71"/>
    <n v="0"/>
    <n v="141439.86000000132"/>
    <n v="142697.87000000131"/>
    <n v="1258.01"/>
    <n v="56971.279999999817"/>
    <n v="27050.879999999783"/>
    <n v="-29920.399999999787"/>
    <n v="84468.580000000235"/>
    <n v="115646.99000000086"/>
    <n v="31178.409999999778"/>
    <n v="-12993.150000000027"/>
    <n v="0"/>
    <n v="12993.150000000027"/>
    <n v="97461.730000000112"/>
    <n v="115646.99000000086"/>
    <n v="18185.259999999918"/>
    <n v="2652"/>
  </r>
  <r>
    <n v="2024"/>
    <n v="7"/>
    <x v="0"/>
    <d v="2024-07-03T00:00:00"/>
    <s v="Fido"/>
    <x v="0"/>
    <x v="0"/>
    <n v="171603"/>
    <n v="171603"/>
    <n v="0"/>
    <n v="1798.1200000000179"/>
    <n v="1784.1200000000176"/>
    <n v="-14"/>
    <n v="3303.7299999999832"/>
    <n v="3303.7299999999832"/>
    <n v="0"/>
    <n v="-16212.65"/>
    <n v="-13258.65"/>
    <n v="2954"/>
    <n v="-14.240000000000002"/>
    <n v="-13.780000000000001"/>
    <n v="0.46"/>
    <n v="-77.59"/>
    <n v="-64.599999999999994"/>
    <n v="12.99"/>
    <n v="160400.37000000081"/>
    <n v="163353.82000000082"/>
    <n v="2953.45"/>
    <n v="65888.769999999742"/>
    <n v="38962.199999999742"/>
    <n v="-26926.569999999734"/>
    <n v="94511.600000000399"/>
    <n v="124391.62000000117"/>
    <n v="29880.019999999713"/>
    <n v="-18151.910000000011"/>
    <n v="0"/>
    <n v="18151.910000000011"/>
    <n v="112663.51000000002"/>
    <n v="124391.62000000117"/>
    <n v="11728.109999999919"/>
    <n v="2990"/>
  </r>
  <r>
    <n v="2024"/>
    <n v="7"/>
    <x v="0"/>
    <d v="2024-07-04T00:00:00"/>
    <s v="Fido"/>
    <x v="0"/>
    <x v="0"/>
    <n v="153957"/>
    <n v="153957"/>
    <n v="0"/>
    <n v="1839.1700000000305"/>
    <n v="1832.1700000000305"/>
    <n v="-7"/>
    <n v="3568.5599999999772"/>
    <n v="3568.5599999999772"/>
    <n v="0"/>
    <n v="-13133.75"/>
    <n v="-11996.25"/>
    <n v="1137.5"/>
    <n v="-6.8699999999999992"/>
    <n v="-6.8699999999999992"/>
    <n v="0"/>
    <n v="-55.7"/>
    <n v="-55.7"/>
    <n v="0"/>
    <n v="146168.41000000128"/>
    <n v="147298.91000000131"/>
    <n v="1130.5"/>
    <n v="59670.179999999425"/>
    <n v="21276.169999999875"/>
    <n v="-38394.009999999726"/>
    <n v="86498.230000000374"/>
    <n v="126022.74000000091"/>
    <n v="39524.50999999974"/>
    <n v="-10264.500000000015"/>
    <n v="0"/>
    <n v="10264.500000000015"/>
    <n v="96762.730000000403"/>
    <n v="126022.74000000091"/>
    <n v="29260.009999999678"/>
    <n v="2684"/>
  </r>
  <r>
    <n v="2024"/>
    <n v="7"/>
    <x v="0"/>
    <d v="2024-07-05T00:00:00"/>
    <s v="Fido"/>
    <x v="0"/>
    <x v="0"/>
    <n v="96759.25"/>
    <n v="96759.25"/>
    <n v="0"/>
    <n v="1220.9900000000059"/>
    <n v="1220.9900000000059"/>
    <n v="0"/>
    <n v="2300.3899999999976"/>
    <n v="2300.3899999999976"/>
    <n v="0"/>
    <n v="-8023.1"/>
    <n v="-7237.1"/>
    <n v="786"/>
    <n v="-3.7600000000000002"/>
    <n v="-3.7600000000000002"/>
    <n v="0"/>
    <n v="-55"/>
    <n v="-55"/>
    <n v="0"/>
    <n v="92198.77000000031"/>
    <n v="92984.770000000324"/>
    <n v="786"/>
    <n v="40050.559999999314"/>
    <n v="18773.739999999925"/>
    <n v="-21276.819999999872"/>
    <n v="52148.210000000377"/>
    <n v="74211.030000000057"/>
    <n v="22062.819999999851"/>
    <n v="-8901.5399999999918"/>
    <n v="0"/>
    <n v="8901.5399999999918"/>
    <n v="61049.750000000284"/>
    <n v="74211.030000000057"/>
    <n v="13161.279999999984"/>
    <n v="1693"/>
  </r>
  <r>
    <n v="2024"/>
    <n v="7"/>
    <x v="0"/>
    <d v="2024-07-06T00:00:00"/>
    <s v="Fido"/>
    <x v="0"/>
    <x v="0"/>
    <n v="89626.75"/>
    <n v="89626.75"/>
    <n v="0"/>
    <n v="1074.8800000000153"/>
    <n v="1074.8800000000153"/>
    <n v="0"/>
    <n v="2158.4599999999991"/>
    <n v="2158.4599999999991"/>
    <n v="0"/>
    <n v="-7533.75"/>
    <n v="-6947.75"/>
    <n v="586"/>
    <n v="-5.2600000000000007"/>
    <n v="-5.2600000000000007"/>
    <n v="0"/>
    <n v="-40"/>
    <n v="-40"/>
    <n v="0"/>
    <n v="85281.080000000162"/>
    <n v="85867.080000000176"/>
    <n v="586"/>
    <n v="37702.36999999945"/>
    <n v="18940.539999999917"/>
    <n v="-18761.829999999889"/>
    <n v="47578.710000000348"/>
    <n v="66926.53999999995"/>
    <n v="19347.829999999885"/>
    <n v="-9103.9200000000019"/>
    <n v="0"/>
    <n v="9103.9200000000019"/>
    <n v="56682.630000000347"/>
    <n v="66926.53999999995"/>
    <n v="10243.910000000016"/>
    <n v="1574"/>
  </r>
  <r>
    <n v="2024"/>
    <n v="7"/>
    <x v="0"/>
    <d v="2024-07-01T00:00:00"/>
    <s v="Rogers"/>
    <x v="0"/>
    <x v="1"/>
    <n v="112888"/>
    <n v="112888"/>
    <n v="0"/>
    <n v="694.4800000000007"/>
    <n v="694.4800000000007"/>
    <n v="0"/>
    <n v="4711.9999999999645"/>
    <n v="4711.9999999999645"/>
    <n v="0"/>
    <n v="-19174.5"/>
    <n v="-17932.75"/>
    <n v="1241.75"/>
    <n v="-1.06"/>
    <n v="-1.06"/>
    <n v="0"/>
    <n v="-47.6"/>
    <n v="-47.6"/>
    <n v="0"/>
    <n v="99071.32000000024"/>
    <n v="100313.07000000024"/>
    <n v="1241.75"/>
    <n v="26338.699999999888"/>
    <n v="22260.359999999902"/>
    <n v="-4078.3400000000029"/>
    <n v="72761.920000000056"/>
    <n v="78082.01000000014"/>
    <n v="5320.0900000000038"/>
    <n v="-11032.000000000029"/>
    <n v="0"/>
    <n v="11032.000000000029"/>
    <n v="83793.919999999955"/>
    <n v="78082.01000000014"/>
    <n v="-5711.9099999999926"/>
    <n v="1441"/>
  </r>
  <r>
    <n v="2024"/>
    <n v="7"/>
    <x v="0"/>
    <d v="2024-07-02T00:00:00"/>
    <s v="Rogers"/>
    <x v="0"/>
    <x v="1"/>
    <n v="152418"/>
    <n v="152418"/>
    <n v="0"/>
    <n v="957.29000000001031"/>
    <n v="957.29000000001031"/>
    <n v="0"/>
    <n v="5762.3099999999486"/>
    <n v="5762.3099999999486"/>
    <n v="0"/>
    <n v="-25383.25"/>
    <n v="-24650"/>
    <n v="733.25"/>
    <n v="-3.83"/>
    <n v="-3.83"/>
    <n v="0"/>
    <n v="-91.39"/>
    <n v="-91.39"/>
    <n v="0"/>
    <n v="133659.13000000088"/>
    <n v="134392.38000000085"/>
    <n v="733.25"/>
    <n v="37277.5199999998"/>
    <n v="15855.58999999994"/>
    <n v="-21421.929999999928"/>
    <n v="96381.610000000059"/>
    <n v="118536.79000000055"/>
    <n v="22155.179999999924"/>
    <n v="-7922.7400000000016"/>
    <n v="0"/>
    <n v="7922.7400000000016"/>
    <n v="104304.34999999983"/>
    <n v="118536.79000000055"/>
    <n v="14232.439999999897"/>
    <n v="1959"/>
  </r>
  <r>
    <n v="2024"/>
    <n v="7"/>
    <x v="0"/>
    <d v="2024-07-03T00:00:00"/>
    <s v="Rogers"/>
    <x v="0"/>
    <x v="1"/>
    <n v="186246.5"/>
    <n v="186246.5"/>
    <n v="0"/>
    <n v="1126.1100000000049"/>
    <n v="1126.1100000000049"/>
    <n v="0"/>
    <n v="6910.6499999999351"/>
    <n v="6894.6599999999353"/>
    <n v="-15.99"/>
    <n v="-31580"/>
    <n v="-29524.25"/>
    <n v="2055.75"/>
    <n v="-6.7200000000000006"/>
    <n v="-6.7200000000000006"/>
    <n v="0"/>
    <n v="-106.19"/>
    <n v="-106.19"/>
    <n v="0"/>
    <n v="162590.35000000027"/>
    <n v="164630.11000000025"/>
    <n v="2039.76"/>
    <n v="46061.509999999769"/>
    <n v="30431.059999999896"/>
    <n v="-15630.449999999953"/>
    <n v="116528.8400000004"/>
    <n v="134199.05000000069"/>
    <n v="17670.209999999955"/>
    <n v="-14658.540000000026"/>
    <n v="0"/>
    <n v="14658.540000000026"/>
    <n v="131187.37999999989"/>
    <n v="134199.05000000069"/>
    <n v="3011.6700000000128"/>
    <n v="2385"/>
  </r>
  <r>
    <n v="2024"/>
    <n v="7"/>
    <x v="0"/>
    <d v="2024-07-04T00:00:00"/>
    <s v="Rogers"/>
    <x v="0"/>
    <x v="1"/>
    <n v="194967"/>
    <n v="194967"/>
    <n v="0"/>
    <n v="1330.5300000000173"/>
    <n v="1330.5300000000173"/>
    <n v="0"/>
    <n v="7466.1999999999252"/>
    <n v="7418.2299999999259"/>
    <n v="-47.97"/>
    <n v="-31548.25"/>
    <n v="-30549.75"/>
    <n v="998.5"/>
    <n v="-7.5600000000000005"/>
    <n v="-7.5600000000000005"/>
    <n v="0"/>
    <n v="-155.47999999999999"/>
    <n v="-155.47999999999999"/>
    <n v="0"/>
    <n v="172052.44000000009"/>
    <n v="173002.97000000006"/>
    <n v="950.53"/>
    <n v="48882.439999999609"/>
    <n v="19021.97999999993"/>
    <n v="-29860.459999999915"/>
    <n v="123170.00000000036"/>
    <n v="153980.9900000004"/>
    <n v="30810.989999999914"/>
    <n v="-9488.2700000000059"/>
    <n v="0"/>
    <n v="9488.2700000000059"/>
    <n v="132658.26999999993"/>
    <n v="153980.9900000004"/>
    <n v="21322.719999999885"/>
    <n v="2508"/>
  </r>
  <r>
    <n v="2024"/>
    <n v="7"/>
    <x v="0"/>
    <d v="2024-07-05T00:00:00"/>
    <s v="Rogers"/>
    <x v="0"/>
    <x v="1"/>
    <n v="133727"/>
    <n v="133727"/>
    <n v="0"/>
    <n v="984.8400000000031"/>
    <n v="984.8400000000031"/>
    <n v="0"/>
    <n v="5376.469999999953"/>
    <n v="5357.4799999999532"/>
    <n v="-18.990000000000002"/>
    <n v="-20560.75"/>
    <n v="-19812.75"/>
    <n v="748"/>
    <n v="-3.06"/>
    <n v="-3.06"/>
    <n v="0"/>
    <n v="-103.99000000000001"/>
    <n v="-103.99000000000001"/>
    <n v="0"/>
    <n v="119420.51000000056"/>
    <n v="120149.52000000054"/>
    <n v="729.01"/>
    <n v="33127.979999999785"/>
    <n v="14538.19999999997"/>
    <n v="-18589.779999999933"/>
    <n v="86292.530000000261"/>
    <n v="105611.32000000039"/>
    <n v="19318.789999999924"/>
    <n v="-7400.6499999999969"/>
    <n v="0"/>
    <n v="7400.6499999999969"/>
    <n v="93693.18000000024"/>
    <n v="105611.32000000039"/>
    <n v="11918.139999999968"/>
    <n v="1751"/>
  </r>
  <r>
    <n v="2024"/>
    <n v="7"/>
    <x v="0"/>
    <d v="2024-07-06T00:00:00"/>
    <s v="Rogers"/>
    <x v="0"/>
    <x v="1"/>
    <n v="119114"/>
    <n v="119114"/>
    <n v="0"/>
    <n v="822.63000000000739"/>
    <n v="852.63000000000807"/>
    <n v="30"/>
    <n v="5170.6199999999553"/>
    <n v="5170.6199999999553"/>
    <n v="0"/>
    <n v="-18697.25"/>
    <n v="-17878.75"/>
    <n v="818.5"/>
    <n v="-1.9"/>
    <n v="-1.9"/>
    <n v="0"/>
    <n v="-115.77999999999999"/>
    <n v="-115.78999999999999"/>
    <n v="-9.9999999999997868E-3"/>
    <n v="106292.32000000075"/>
    <n v="107140.81000000075"/>
    <n v="848.49"/>
    <n v="27264.209999999854"/>
    <n v="13126.079999999965"/>
    <n v="-14138.129999999979"/>
    <n v="79028.110000000335"/>
    <n v="94014.740000000544"/>
    <n v="14986.629999999977"/>
    <n v="-6782.0599999999913"/>
    <n v="0"/>
    <n v="6782.0599999999913"/>
    <n v="85810.170000000027"/>
    <n v="94014.740000000544"/>
    <n v="8204.570000000027"/>
    <n v="1544"/>
  </r>
  <r>
    <n v="2024"/>
    <n v="7"/>
    <x v="0"/>
    <d v="2024-07-01T00:00:00"/>
    <s v="Rogers"/>
    <x v="0"/>
    <x v="2"/>
    <n v="36178.5"/>
    <n v="36178.5"/>
    <n v="0"/>
    <n v="143.74999999999994"/>
    <n v="143.74999999999994"/>
    <n v="0"/>
    <n v="1356.1700000000005"/>
    <n v="1356.1700000000005"/>
    <n v="0"/>
    <n v="-12514"/>
    <n v="-12103"/>
    <n v="411"/>
    <n v="0"/>
    <n v="0"/>
    <n v="0"/>
    <n v="-1.6"/>
    <n v="-1.6"/>
    <n v="0"/>
    <n v="25162.820000000018"/>
    <n v="25573.820000000022"/>
    <n v="411"/>
    <n v="8556.6800000000039"/>
    <n v="6991.6400000000058"/>
    <n v="-1565.0400000000004"/>
    <n v="16606.140000000003"/>
    <n v="18582.180000000008"/>
    <n v="1976.0400000000004"/>
    <n v="-2751.6899999999996"/>
    <n v="0"/>
    <n v="2751.6899999999996"/>
    <n v="19357.830000000009"/>
    <n v="18582.180000000008"/>
    <n v="-775.64999999999975"/>
    <n v="400"/>
  </r>
  <r>
    <n v="2024"/>
    <n v="7"/>
    <x v="0"/>
    <d v="2024-07-02T00:00:00"/>
    <s v="Rogers"/>
    <x v="0"/>
    <x v="2"/>
    <n v="50377.57"/>
    <n v="50377.57"/>
    <n v="0"/>
    <n v="179.91000000000003"/>
    <n v="179.91000000000003"/>
    <n v="0"/>
    <n v="1434.1100000000006"/>
    <n v="1386.1400000000006"/>
    <n v="-47.97"/>
    <n v="-17204.97"/>
    <n v="-17143.97"/>
    <n v="61"/>
    <n v="0"/>
    <n v="0"/>
    <n v="0"/>
    <n v="0"/>
    <n v="0"/>
    <n v="0"/>
    <n v="34786.620000000003"/>
    <n v="34799.65"/>
    <n v="13.030000000000015"/>
    <n v="12631.329999999974"/>
    <n v="6044.0800000000072"/>
    <n v="-6587.2500000000055"/>
    <n v="22155.290000000015"/>
    <n v="28755.570000000025"/>
    <n v="6600.2800000000061"/>
    <n v="-2367.0199999999982"/>
    <n v="0"/>
    <n v="2367.0199999999982"/>
    <n v="24522.310000000019"/>
    <n v="28755.570000000025"/>
    <n v="4233.2600000000057"/>
    <n v="561"/>
  </r>
  <r>
    <n v="2024"/>
    <n v="7"/>
    <x v="0"/>
    <d v="2024-07-03T00:00:00"/>
    <s v="Rogers"/>
    <x v="0"/>
    <x v="2"/>
    <n v="73945.899999999994"/>
    <n v="73945.899999999994"/>
    <n v="0"/>
    <n v="307.78999999999945"/>
    <n v="302.78999999999945"/>
    <n v="-5"/>
    <n v="1637.9800000000007"/>
    <n v="1637.9800000000007"/>
    <n v="0"/>
    <n v="-25960.47"/>
    <n v="-24896.47"/>
    <n v="1064"/>
    <n v="-0.68"/>
    <n v="-0.68"/>
    <n v="0"/>
    <n v="-5"/>
    <n v="-5"/>
    <n v="0"/>
    <n v="49925.519999999851"/>
    <n v="50984.519999999859"/>
    <n v="1059"/>
    <n v="18841.129999999946"/>
    <n v="13125.279999999977"/>
    <n v="-5715.8500000000058"/>
    <n v="31084.390000000032"/>
    <n v="37859.24"/>
    <n v="6774.8500000000067"/>
    <n v="-4762.6100000000051"/>
    <n v="0"/>
    <n v="4762.6100000000051"/>
    <n v="35847.000000000015"/>
    <n v="37859.24"/>
    <n v="2012.2399999999964"/>
    <n v="837"/>
  </r>
  <r>
    <n v="2024"/>
    <n v="7"/>
    <x v="0"/>
    <d v="2024-07-04T00:00:00"/>
    <s v="Rogers"/>
    <x v="0"/>
    <x v="2"/>
    <n v="74194.34"/>
    <n v="74194.34"/>
    <n v="0"/>
    <n v="311.0799999999993"/>
    <n v="311.0799999999993"/>
    <n v="0"/>
    <n v="1678.9700000000007"/>
    <n v="1659.9800000000007"/>
    <n v="-18.990000000000002"/>
    <n v="-25568.360000000004"/>
    <n v="-25223.360000000001"/>
    <n v="345"/>
    <n v="-1.68"/>
    <n v="-1.68"/>
    <n v="0"/>
    <n v="-5"/>
    <n v="-5"/>
    <n v="0"/>
    <n v="50609.349999999846"/>
    <n v="50935.359999999848"/>
    <n v="326.01"/>
    <n v="17892.159999999934"/>
    <n v="5365.5300000000052"/>
    <n v="-12526.629999999972"/>
    <n v="32717.190000000057"/>
    <n v="45569.829999999885"/>
    <n v="12852.63999999997"/>
    <n v="-1597.0300000000002"/>
    <n v="0"/>
    <n v="1597.0300000000002"/>
    <n v="34314.220000000023"/>
    <n v="45569.829999999885"/>
    <n v="11255.609999999979"/>
    <n v="835"/>
  </r>
  <r>
    <n v="2024"/>
    <n v="7"/>
    <x v="0"/>
    <d v="2024-07-05T00:00:00"/>
    <s v="Rogers"/>
    <x v="0"/>
    <x v="2"/>
    <n v="44241.29"/>
    <n v="44241.29"/>
    <n v="0"/>
    <n v="232.6099999999999"/>
    <n v="232.6099999999999"/>
    <n v="0"/>
    <n v="848.49000000000035"/>
    <n v="848.49000000000035"/>
    <n v="0"/>
    <n v="-14832.720000000001"/>
    <n v="-14575.720000000001"/>
    <n v="257"/>
    <n v="-1"/>
    <n v="-1"/>
    <n v="0"/>
    <n v="0"/>
    <n v="0"/>
    <n v="0"/>
    <n v="30488.670000000006"/>
    <n v="30745.670000000002"/>
    <n v="257"/>
    <n v="9742.0599999999977"/>
    <n v="4538.3200000000052"/>
    <n v="-5203.7400000000043"/>
    <n v="20746.610000000011"/>
    <n v="26207.350000000013"/>
    <n v="5460.7400000000052"/>
    <n v="-1283.1599999999996"/>
    <n v="0"/>
    <n v="1283.1599999999996"/>
    <n v="22029.770000000011"/>
    <n v="26207.350000000013"/>
    <n v="4177.579999999999"/>
    <n v="509"/>
  </r>
  <r>
    <n v="2024"/>
    <n v="7"/>
    <x v="0"/>
    <d v="2024-07-06T00:00:00"/>
    <s v="Rogers"/>
    <x v="0"/>
    <x v="2"/>
    <n v="37272.25"/>
    <n v="37272.25"/>
    <n v="0"/>
    <n v="168.00999999999968"/>
    <n v="168.00999999999968"/>
    <n v="0"/>
    <n v="890.4400000000004"/>
    <n v="890.4400000000004"/>
    <n v="0"/>
    <n v="-12512.9"/>
    <n v="-12038.9"/>
    <n v="474"/>
    <n v="0"/>
    <n v="0"/>
    <n v="0"/>
    <n v="-5"/>
    <n v="-5"/>
    <n v="0"/>
    <n v="25812.799999999996"/>
    <n v="26286.799999999996"/>
    <n v="474"/>
    <n v="8235.1600000000126"/>
    <n v="3768.4300000000067"/>
    <n v="-4466.7300000000059"/>
    <n v="17577.640000000021"/>
    <n v="22518.370000000021"/>
    <n v="4940.7300000000059"/>
    <n v="-1208.3299999999986"/>
    <n v="0"/>
    <n v="1208.3299999999986"/>
    <n v="18785.970000000016"/>
    <n v="22518.370000000021"/>
    <n v="3732.4000000000028"/>
    <n v="429"/>
  </r>
  <r>
    <n v="2024"/>
    <n v="7"/>
    <x v="0"/>
    <d v="2024-07-01T00:00:00"/>
    <s v="Rogers"/>
    <x v="1"/>
    <x v="3"/>
    <n v="9919.2999999999993"/>
    <n v="9919.2999999999993"/>
    <n v="0"/>
    <n v="104.96000000000001"/>
    <n v="104.96000000000001"/>
    <n v="0"/>
    <n v="18.990000000000002"/>
    <n v="18.990000000000002"/>
    <n v="0"/>
    <n v="-3336.2500000000014"/>
    <n v="-3336.2500000000014"/>
    <n v="0"/>
    <n v="0"/>
    <n v="0"/>
    <n v="0"/>
    <n v="0"/>
    <n v="0"/>
    <n v="0"/>
    <n v="6707.0000000000009"/>
    <n v="6707.0000000000009"/>
    <n v="0"/>
    <n v="4.42"/>
    <n v="4.42"/>
    <n v="0"/>
    <n v="6702.5800000000008"/>
    <n v="6702.5800000000008"/>
    <n v="0"/>
    <n v="1526.3999999999992"/>
    <n v="0"/>
    <n v="-1526.3999999999992"/>
    <n v="5176.1800000000021"/>
    <n v="6702.5800000000008"/>
    <n v="1526.399999999999"/>
    <n v="150"/>
  </r>
  <r>
    <n v="2024"/>
    <n v="7"/>
    <x v="0"/>
    <d v="2024-07-02T00:00:00"/>
    <s v="Rogers"/>
    <x v="1"/>
    <x v="3"/>
    <n v="82"/>
    <n v="82"/>
    <n v="0"/>
    <n v="10.46"/>
    <n v="10.46"/>
    <n v="0"/>
    <n v="0"/>
    <n v="0"/>
    <n v="0"/>
    <n v="-42"/>
    <n v="-42"/>
    <n v="0"/>
    <n v="0"/>
    <n v="0"/>
    <n v="0"/>
    <n v="0"/>
    <n v="0"/>
    <n v="0"/>
    <n v="50.46"/>
    <n v="50.46"/>
    <n v="0"/>
    <n v="4.42"/>
    <m/>
    <n v="-4.42"/>
    <n v="46.04"/>
    <n v="50.46"/>
    <n v="4.4200000000000017"/>
    <n v="0"/>
    <n v="0"/>
    <n v="0"/>
    <n v="46.04"/>
    <n v="50.46"/>
    <n v="4.4200000000000017"/>
    <n v="1"/>
  </r>
  <r>
    <n v="2024"/>
    <n v="7"/>
    <x v="0"/>
    <d v="2024-07-03T00:00:00"/>
    <s v="Rogers"/>
    <x v="1"/>
    <x v="3"/>
    <n v="3838.8300000000099"/>
    <n v="3838.8300000000099"/>
    <n v="0"/>
    <n v="337.11999999999995"/>
    <n v="337.11999999999995"/>
    <n v="0"/>
    <n v="0"/>
    <n v="0"/>
    <n v="0"/>
    <n v="-525.65000000000009"/>
    <n v="-525.65000000000009"/>
    <n v="0"/>
    <n v="0"/>
    <n v="0"/>
    <n v="0"/>
    <n v="0"/>
    <n v="0"/>
    <n v="0"/>
    <n v="3650.3000000000093"/>
    <n v="3650.3000000000093"/>
    <n v="0"/>
    <n v="34.840000000000003"/>
    <n v="34.840000000000003"/>
    <n v="0"/>
    <n v="3615.4600000000091"/>
    <n v="3615.4600000000091"/>
    <n v="0"/>
    <n v="1094.5200000000009"/>
    <n v="0"/>
    <n v="-1094.5200000000009"/>
    <n v="2520.9399999999996"/>
    <n v="3615.4600000000091"/>
    <n v="1094.5200000000009"/>
    <n v="130"/>
  </r>
  <r>
    <n v="2024"/>
    <n v="7"/>
    <x v="0"/>
    <d v="2024-07-04T00:00:00"/>
    <s v="Rogers"/>
    <x v="1"/>
    <x v="3"/>
    <n v="5777.7500000000109"/>
    <n v="5777.7500000000109"/>
    <n v="0"/>
    <n v="720.00000000000011"/>
    <n v="535.79999999999995"/>
    <n v="-184.2"/>
    <n v="15.99"/>
    <n v="15.99"/>
    <n v="0"/>
    <n v="-934.89999999999986"/>
    <n v="-934.89999999999986"/>
    <n v="0"/>
    <n v="-28.2"/>
    <n v="-28.2"/>
    <n v="0"/>
    <n v="0"/>
    <n v="0"/>
    <n v="0"/>
    <n v="5550.6400000000076"/>
    <n v="5366.4400000000096"/>
    <n v="-184.2"/>
    <n v="36.510000000000005"/>
    <n v="1.67"/>
    <n v="-34.840000000000003"/>
    <n v="5514.1300000000074"/>
    <n v="5364.7700000000095"/>
    <n v="-149.35999999999999"/>
    <n v="1818.1699999999967"/>
    <n v="0"/>
    <n v="-1818.1699999999967"/>
    <n v="3695.9599999999959"/>
    <n v="5364.7700000000095"/>
    <n v="1668.8099999999968"/>
    <n v="179"/>
  </r>
  <r>
    <n v="2024"/>
    <n v="7"/>
    <x v="0"/>
    <d v="2024-07-05T00:00:00"/>
    <s v="Rogers"/>
    <x v="1"/>
    <x v="3"/>
    <n v="21488.529999999948"/>
    <n v="21488.529999999948"/>
    <n v="0"/>
    <n v="724.22000000000014"/>
    <n v="724.22000000000014"/>
    <n v="0"/>
    <n v="85.95"/>
    <n v="85.95"/>
    <n v="0"/>
    <n v="-3906.350000000004"/>
    <n v="-3906.350000000004"/>
    <n v="0"/>
    <n v="-9.6300000000000008"/>
    <n v="-9.6300000000000008"/>
    <n v="0"/>
    <n v="0"/>
    <n v="0"/>
    <n v="0"/>
    <n v="18382.719999999968"/>
    <n v="18382.719999999968"/>
    <n v="0"/>
    <n v="20.5"/>
    <n v="20.5"/>
    <n v="0"/>
    <n v="18362.219999999968"/>
    <n v="18362.219999999968"/>
    <n v="0"/>
    <n v="5337.2100000000028"/>
    <n v="0"/>
    <n v="-5337.2100000000028"/>
    <n v="13025.009999999995"/>
    <n v="18362.219999999968"/>
    <n v="5337.2100000000037"/>
    <n v="460"/>
  </r>
  <r>
    <n v="2024"/>
    <n v="7"/>
    <x v="0"/>
    <d v="2024-07-06T00:00:00"/>
    <s v="Rogers"/>
    <x v="1"/>
    <x v="3"/>
    <n v="12816.100000000004"/>
    <n v="12816.100000000004"/>
    <n v="0"/>
    <n v="392.39999999999992"/>
    <n v="361.69999999999993"/>
    <n v="-30.7"/>
    <n v="92.94"/>
    <n v="92.94"/>
    <n v="0"/>
    <n v="-4488.8100000000113"/>
    <n v="-4488.8100000000113"/>
    <n v="0"/>
    <n v="-4.4000000000000004"/>
    <n v="-4.4000000000000004"/>
    <n v="0"/>
    <n v="0"/>
    <n v="0"/>
    <n v="0"/>
    <n v="8808.23"/>
    <n v="8777.5299999999988"/>
    <n v="-30.700000000000003"/>
    <n v="20.5"/>
    <m/>
    <n v="-20.5"/>
    <n v="8787.74"/>
    <n v="8777.5399999999991"/>
    <n v="-10.200000000000003"/>
    <n v="2128.8400000000015"/>
    <n v="0"/>
    <n v="-2128.8400000000015"/>
    <n v="6658.9000000000078"/>
    <n v="8777.5399999999991"/>
    <n v="2118.6400000000021"/>
    <n v="262"/>
  </r>
  <r>
    <n v="2024"/>
    <n v="7"/>
    <x v="0"/>
    <d v="2024-07-01T00:00:00"/>
    <s v="Rogers"/>
    <x v="1"/>
    <x v="4"/>
    <n v="13308"/>
    <n v="13308"/>
    <n v="0"/>
    <n v="148.35"/>
    <n v="148.35"/>
    <n v="0"/>
    <n v="152.91"/>
    <n v="152.91"/>
    <n v="0"/>
    <n v="-4750.699999999998"/>
    <n v="-4750.699999999998"/>
    <n v="0"/>
    <n v="0"/>
    <n v="0"/>
    <n v="0"/>
    <n v="-10"/>
    <n v="-10"/>
    <n v="0"/>
    <n v="8848.5599999999904"/>
    <n v="8848.5599999999904"/>
    <n v="0"/>
    <n v="402.62000000000006"/>
    <n v="372.62000000000006"/>
    <n v="-30"/>
    <n v="8445.9399999999914"/>
    <n v="8475.9399999999914"/>
    <n v="29.999999999999993"/>
    <n v="2262.2599999999989"/>
    <n v="0"/>
    <n v="-2262.2599999999989"/>
    <n v="6183.6800000000039"/>
    <n v="8475.9399999999914"/>
    <n v="2292.2599999999984"/>
    <n v="183"/>
  </r>
  <r>
    <n v="2024"/>
    <n v="7"/>
    <x v="0"/>
    <d v="2024-07-02T00:00:00"/>
    <s v="Rogers"/>
    <x v="1"/>
    <x v="4"/>
    <n v="2238"/>
    <n v="2238"/>
    <n v="0"/>
    <n v="83.36"/>
    <n v="83.36"/>
    <n v="0"/>
    <n v="143.91"/>
    <n v="143.91"/>
    <n v="0"/>
    <n v="-1001.3"/>
    <n v="-979.3"/>
    <n v="22"/>
    <n v="-15"/>
    <n v="-15"/>
    <n v="0"/>
    <n v="-15"/>
    <n v="-15"/>
    <n v="0"/>
    <n v="1433.97"/>
    <n v="1455.97"/>
    <n v="21.999999999999993"/>
    <n v="492.67"/>
    <n v="120.05"/>
    <n v="-372.62"/>
    <n v="941.3"/>
    <n v="1335.9200000000003"/>
    <n v="394.62"/>
    <n v="-64.819999999999993"/>
    <n v="0"/>
    <n v="64.819999999999993"/>
    <n v="1006.1199999999999"/>
    <n v="1335.9200000000003"/>
    <n v="329.8"/>
    <n v="24"/>
  </r>
  <r>
    <n v="2024"/>
    <n v="7"/>
    <x v="0"/>
    <d v="2024-07-03T00:00:00"/>
    <s v="Rogers"/>
    <x v="1"/>
    <x v="4"/>
    <n v="6067.05"/>
    <n v="6067.05"/>
    <n v="0"/>
    <n v="167.01"/>
    <n v="167.01"/>
    <n v="0"/>
    <n v="99.929999999999993"/>
    <n v="99.929999999999993"/>
    <n v="0"/>
    <n v="-2462.8500000000004"/>
    <n v="-2437.8500000000004"/>
    <n v="25"/>
    <n v="-15"/>
    <n v="-15"/>
    <n v="0"/>
    <n v="-15"/>
    <n v="-15"/>
    <n v="0"/>
    <n v="3841.139999999999"/>
    <n v="3866.139999999999"/>
    <n v="25"/>
    <n v="733.43"/>
    <n v="613.38"/>
    <n v="-120.05"/>
    <n v="3107.7099999999996"/>
    <n v="3252.7599999999993"/>
    <n v="145.05000000000001"/>
    <n v="-18.350000000000026"/>
    <n v="0"/>
    <n v="18.350000000000026"/>
    <n v="3126.0600000000009"/>
    <n v="3252.7599999999993"/>
    <n v="126.70000000000002"/>
    <n v="66"/>
  </r>
  <r>
    <n v="2024"/>
    <n v="7"/>
    <x v="0"/>
    <d v="2024-07-04T00:00:00"/>
    <s v="Rogers"/>
    <x v="1"/>
    <x v="4"/>
    <n v="10815.850000000002"/>
    <n v="10815.850000000002"/>
    <n v="0"/>
    <n v="393.15999999999985"/>
    <n v="331.75999999999988"/>
    <n v="-61.4"/>
    <n v="169.89000000000001"/>
    <n v="169.89000000000001"/>
    <n v="0"/>
    <n v="-3992.9199999999992"/>
    <n v="-3948.9199999999996"/>
    <n v="44"/>
    <n v="-15"/>
    <n v="-15"/>
    <n v="0"/>
    <n v="0"/>
    <n v="0"/>
    <n v="0"/>
    <n v="7370.9800000000032"/>
    <n v="7353.5800000000036"/>
    <n v="-17.399999999999999"/>
    <n v="1079.5100000000002"/>
    <n v="466.12999999999994"/>
    <n v="-613.37999999999988"/>
    <n v="6291.4700000000012"/>
    <n v="6887.4500000000025"/>
    <n v="595.9799999999999"/>
    <n v="842.11999999999966"/>
    <n v="0"/>
    <n v="-842.11999999999966"/>
    <n v="5449.3499999999985"/>
    <n v="6887.4500000000025"/>
    <n v="1438.1000000000001"/>
    <n v="155"/>
  </r>
  <r>
    <n v="2024"/>
    <n v="7"/>
    <x v="0"/>
    <d v="2024-07-05T00:00:00"/>
    <s v="Rogers"/>
    <x v="1"/>
    <x v="4"/>
    <n v="9765.4500000000044"/>
    <n v="9765.4500000000044"/>
    <n v="0"/>
    <n v="176.38999999999996"/>
    <n v="176.38999999999996"/>
    <n v="0"/>
    <n v="168.90000000000003"/>
    <n v="168.90000000000003"/>
    <n v="0"/>
    <n v="-3690.5499999999975"/>
    <n v="-3685.5499999999975"/>
    <n v="5"/>
    <n v="-5"/>
    <n v="-5"/>
    <n v="0"/>
    <n v="0"/>
    <n v="0"/>
    <n v="0"/>
    <n v="6415.1900000000087"/>
    <n v="6420.1900000000087"/>
    <n v="5"/>
    <n v="611.28"/>
    <n v="145.15000000000003"/>
    <n v="-466.13"/>
    <n v="5803.910000000008"/>
    <n v="6275.0400000000081"/>
    <n v="471.13"/>
    <n v="1270.6099999999999"/>
    <n v="0"/>
    <n v="-1270.6099999999999"/>
    <n v="4533.2999999999993"/>
    <n v="6275.0400000000081"/>
    <n v="1741.7399999999998"/>
    <n v="138"/>
  </r>
  <r>
    <n v="2024"/>
    <n v="7"/>
    <x v="0"/>
    <d v="2024-07-06T00:00:00"/>
    <s v="Rogers"/>
    <x v="1"/>
    <x v="4"/>
    <n v="10358.9"/>
    <n v="10358.9"/>
    <n v="0"/>
    <n v="184.12000000000003"/>
    <n v="184.12000000000003"/>
    <n v="0"/>
    <n v="117.92"/>
    <n v="117.92"/>
    <n v="0"/>
    <n v="-3655.5499999999979"/>
    <n v="-3645.5499999999979"/>
    <n v="10"/>
    <n v="-5.5"/>
    <n v="-5.5"/>
    <n v="0"/>
    <n v="-15.99"/>
    <n v="-15.99"/>
    <n v="0"/>
    <n v="6983.9"/>
    <n v="6993.9"/>
    <n v="10"/>
    <n v="260.24"/>
    <n v="115.09"/>
    <n v="-145.15"/>
    <n v="6723.6599999999989"/>
    <n v="6878.8099999999995"/>
    <n v="155.14999999999998"/>
    <n v="1772.46"/>
    <n v="0"/>
    <n v="-1772.46"/>
    <n v="4951.2000000000007"/>
    <n v="6878.8099999999995"/>
    <n v="1927.6100000000001"/>
    <n v="168"/>
  </r>
  <r>
    <n v="2024"/>
    <n v="7"/>
    <x v="0"/>
    <d v="2024-07-01T00:00:00"/>
    <s v="Rogers"/>
    <x v="1"/>
    <x v="5"/>
    <n v="23334"/>
    <n v="23334"/>
    <n v="0"/>
    <n v="308.72999999999979"/>
    <n v="308.72999999999979"/>
    <n v="0"/>
    <n v="796.51000000000033"/>
    <n v="796.51000000000033"/>
    <n v="0"/>
    <n v="-6743.0000000000009"/>
    <n v="-6225.7500000000009"/>
    <n v="517.25"/>
    <n v="-20.46"/>
    <n v="-20.46"/>
    <n v="0"/>
    <n v="-10"/>
    <n v="-10"/>
    <n v="0"/>
    <n v="17665.779999999992"/>
    <n v="18183.029999999992"/>
    <n v="517.25"/>
    <n v="4416.0900000000038"/>
    <n v="3402.180000000003"/>
    <n v="-1013.91"/>
    <n v="13249.689999999995"/>
    <n v="14780.849999999995"/>
    <n v="1531.1599999999999"/>
    <n v="-1738.5400000000006"/>
    <n v="0"/>
    <n v="1738.5400000000006"/>
    <n v="14988.229999999996"/>
    <n v="14780.849999999995"/>
    <n v="-207.38000000000025"/>
    <n v="264"/>
  </r>
  <r>
    <n v="2024"/>
    <n v="7"/>
    <x v="0"/>
    <d v="2024-07-02T00:00:00"/>
    <s v="Rogers"/>
    <x v="1"/>
    <x v="5"/>
    <n v="27304"/>
    <n v="27304"/>
    <n v="0"/>
    <n v="367.91999999999973"/>
    <n v="367.91999999999973"/>
    <n v="0"/>
    <n v="859.47000000000037"/>
    <n v="859.47000000000037"/>
    <n v="0"/>
    <n v="-7205.380000000001"/>
    <n v="-7064.380000000001"/>
    <n v="141"/>
    <n v="-20.46"/>
    <n v="-20.46"/>
    <n v="0"/>
    <n v="-10"/>
    <n v="-10"/>
    <n v="0"/>
    <n v="21295.550000000021"/>
    <n v="21436.550000000021"/>
    <n v="141"/>
    <n v="5909.9100000000062"/>
    <n v="2578.4800000000014"/>
    <n v="-3331.4300000000026"/>
    <n v="15385.640000000003"/>
    <n v="18858.070000000018"/>
    <n v="3472.4300000000021"/>
    <n v="-1386.3500000000001"/>
    <n v="0"/>
    <n v="1386.3500000000001"/>
    <n v="16771.990000000013"/>
    <n v="18858.070000000018"/>
    <n v="2086.0800000000004"/>
    <n v="316"/>
  </r>
  <r>
    <n v="2024"/>
    <n v="7"/>
    <x v="0"/>
    <d v="2024-07-03T00:00:00"/>
    <s v="Rogers"/>
    <x v="1"/>
    <x v="5"/>
    <n v="40882.050000000003"/>
    <n v="40882.050000000003"/>
    <n v="0"/>
    <n v="590.56000000000051"/>
    <n v="590.56000000000051"/>
    <n v="0"/>
    <n v="1177.2600000000004"/>
    <n v="1123.2900000000004"/>
    <n v="-53.970000000000006"/>
    <n v="-12071.79"/>
    <n v="-11112.79"/>
    <n v="959"/>
    <n v="-25.95"/>
    <n v="-25.95"/>
    <n v="0"/>
    <n v="-45.99"/>
    <n v="-45.99"/>
    <n v="0"/>
    <n v="30506.140000000018"/>
    <n v="31411.170000000016"/>
    <n v="905.03"/>
    <n v="8548.3300000000036"/>
    <n v="6073.1000000000058"/>
    <n v="-2475.2300000000018"/>
    <n v="21957.810000000038"/>
    <n v="25338.070000000029"/>
    <n v="3380.260000000002"/>
    <n v="-3184.7000000000025"/>
    <n v="0"/>
    <n v="3184.7000000000025"/>
    <n v="25142.51000000002"/>
    <n v="25338.070000000029"/>
    <n v="195.56000000000012"/>
    <n v="477"/>
  </r>
  <r>
    <n v="2024"/>
    <n v="7"/>
    <x v="0"/>
    <d v="2024-07-04T00:00:00"/>
    <s v="Rogers"/>
    <x v="1"/>
    <x v="5"/>
    <n v="39349.199999999997"/>
    <n v="39349.199999999997"/>
    <n v="0"/>
    <n v="604.43000000000006"/>
    <n v="604.43000000000006"/>
    <n v="0"/>
    <n v="1438.0900000000006"/>
    <n v="1438.0900000000006"/>
    <n v="0"/>
    <n v="-11416.66"/>
    <n v="-11196.66"/>
    <n v="220"/>
    <n v="-15.95"/>
    <n v="-15.95"/>
    <n v="0"/>
    <n v="-88.97"/>
    <n v="-88.97"/>
    <n v="0"/>
    <n v="29870.140000000018"/>
    <n v="30090.140000000021"/>
    <n v="220"/>
    <n v="8028.2800000000107"/>
    <n v="2265.8500000000022"/>
    <n v="-5762.4300000000067"/>
    <n v="21841.860000000015"/>
    <n v="27824.290000000015"/>
    <n v="5982.4300000000057"/>
    <n v="-1186.6799999999994"/>
    <n v="0"/>
    <n v="1186.6799999999994"/>
    <n v="23028.54"/>
    <n v="27824.290000000015"/>
    <n v="4795.7500000000045"/>
    <n v="456"/>
  </r>
  <r>
    <n v="2024"/>
    <n v="7"/>
    <x v="0"/>
    <d v="2024-07-05T00:00:00"/>
    <s v="Rogers"/>
    <x v="1"/>
    <x v="5"/>
    <n v="27132.1"/>
    <n v="27132.1"/>
    <n v="0"/>
    <n v="490.94999999999908"/>
    <n v="490.94999999999908"/>
    <n v="0"/>
    <n v="1244.2200000000005"/>
    <n v="1244.2200000000005"/>
    <n v="0"/>
    <n v="-7674.87"/>
    <n v="-7392.87"/>
    <n v="282"/>
    <n v="-25"/>
    <n v="-25"/>
    <n v="0"/>
    <n v="-74.98"/>
    <n v="-74.98"/>
    <n v="0"/>
    <n v="21092.420000000009"/>
    <n v="21374.420000000013"/>
    <n v="282"/>
    <n v="4576.7200000000066"/>
    <n v="2287.5400000000022"/>
    <n v="-2289.1800000000021"/>
    <n v="16515.700000000019"/>
    <n v="19086.880000000019"/>
    <n v="2571.1800000000021"/>
    <n v="-1322.0999999999997"/>
    <n v="0"/>
    <n v="1322.0999999999997"/>
    <n v="17837.800000000007"/>
    <n v="19086.880000000019"/>
    <n v="1249.0800000000011"/>
    <n v="309"/>
  </r>
  <r>
    <n v="2024"/>
    <n v="7"/>
    <x v="0"/>
    <d v="2024-07-06T00:00:00"/>
    <s v="Rogers"/>
    <x v="1"/>
    <x v="5"/>
    <n v="20647"/>
    <n v="20647"/>
    <n v="0"/>
    <n v="326.70999999999998"/>
    <n v="326.70999999999998"/>
    <n v="0"/>
    <n v="895.4400000000004"/>
    <n v="876.45000000000039"/>
    <n v="-18.990000000000002"/>
    <n v="-5673.27"/>
    <n v="-5437.47"/>
    <n v="235.8"/>
    <n v="-10"/>
    <n v="-10"/>
    <n v="0"/>
    <n v="-25"/>
    <n v="-25"/>
    <n v="0"/>
    <n v="16160.879999999992"/>
    <n v="16377.68999999999"/>
    <n v="216.81"/>
    <n v="3699.4300000000044"/>
    <n v="1445.8900000000003"/>
    <n v="-2253.5400000000018"/>
    <n v="12461.449999999995"/>
    <n v="14931.799999999992"/>
    <n v="2470.3500000000017"/>
    <n v="-865.68000000000018"/>
    <n v="0"/>
    <n v="865.68000000000018"/>
    <n v="13327.130000000008"/>
    <n v="14931.799999999992"/>
    <n v="1604.6700000000008"/>
    <n v="243"/>
  </r>
  <r>
    <n v="2024"/>
    <n v="7"/>
    <x v="0"/>
    <d v="2024-07-01T00:00:00"/>
    <s v="Rogers"/>
    <x v="1"/>
    <x v="6"/>
    <n v="869"/>
    <n v="869"/>
    <n v="0"/>
    <n v="0"/>
    <n v="0"/>
    <n v="0"/>
    <n v="0"/>
    <n v="0"/>
    <n v="0"/>
    <n v="-171.9"/>
    <n v="-171.9"/>
    <n v="0"/>
    <n v="0"/>
    <n v="0"/>
    <n v="0"/>
    <n v="0"/>
    <n v="0"/>
    <n v="0"/>
    <n v="697.1"/>
    <n v="697.1"/>
    <n v="0"/>
    <n v="26.67"/>
    <n v="26.67"/>
    <n v="0"/>
    <n v="670.43000000000006"/>
    <n v="670.43000000000006"/>
    <n v="0"/>
    <n v="210.49"/>
    <n v="0"/>
    <n v="-210.49"/>
    <n v="459.94000000000005"/>
    <n v="670.43000000000006"/>
    <n v="210.49"/>
    <n v="15"/>
  </r>
  <r>
    <n v="2024"/>
    <n v="7"/>
    <x v="0"/>
    <d v="2024-07-02T00:00:00"/>
    <s v="Rogers"/>
    <x v="1"/>
    <x v="6"/>
    <n v="211"/>
    <n v="211"/>
    <n v="0"/>
    <n v="0"/>
    <n v="0"/>
    <n v="0"/>
    <n v="15.99"/>
    <n v="15.99"/>
    <n v="0"/>
    <n v="-40.5"/>
    <n v="-40.5"/>
    <n v="0"/>
    <n v="0"/>
    <n v="0"/>
    <n v="0"/>
    <n v="0"/>
    <n v="0"/>
    <n v="0"/>
    <n v="186.49"/>
    <n v="186.49"/>
    <n v="0"/>
    <n v="41.67"/>
    <n v="15"/>
    <n v="-26.67"/>
    <n v="144.82"/>
    <n v="171.49"/>
    <n v="26.67"/>
    <n v="0.25"/>
    <n v="0"/>
    <n v="-0.25"/>
    <n v="144.57"/>
    <n v="171.49"/>
    <n v="26.919999999999995"/>
    <n v="3"/>
  </r>
  <r>
    <n v="2024"/>
    <n v="7"/>
    <x v="0"/>
    <d v="2024-07-03T00:00:00"/>
    <s v="Rogers"/>
    <x v="1"/>
    <x v="6"/>
    <n v="1560.75"/>
    <n v="1560.75"/>
    <n v="0"/>
    <n v="0.95000000000000007"/>
    <n v="0.95000000000000007"/>
    <n v="0"/>
    <n v="31.98"/>
    <n v="31.98"/>
    <n v="0"/>
    <n v="-436.6"/>
    <n v="-425.6"/>
    <n v="11"/>
    <n v="0"/>
    <n v="0"/>
    <n v="0"/>
    <n v="0"/>
    <n v="0"/>
    <n v="0"/>
    <n v="1157.0800000000002"/>
    <n v="1168.0800000000002"/>
    <n v="11"/>
    <n v="114.08"/>
    <n v="99.08"/>
    <n v="-15"/>
    <n v="1042.9999999999998"/>
    <n v="1069"/>
    <n v="26.000000000000014"/>
    <n v="222.11"/>
    <n v="0"/>
    <n v="-222.11"/>
    <n v="820.89"/>
    <n v="1069"/>
    <n v="248.10999999999996"/>
    <n v="24"/>
  </r>
  <r>
    <n v="2024"/>
    <n v="7"/>
    <x v="0"/>
    <d v="2024-07-04T00:00:00"/>
    <s v="Rogers"/>
    <x v="1"/>
    <x v="6"/>
    <n v="4573.45"/>
    <n v="4573.45"/>
    <n v="0"/>
    <n v="50"/>
    <n v="50"/>
    <n v="0"/>
    <n v="0"/>
    <n v="0"/>
    <n v="0"/>
    <n v="-1234.05"/>
    <n v="-1234.05"/>
    <n v="0"/>
    <n v="-8"/>
    <n v="-8"/>
    <n v="0"/>
    <n v="0"/>
    <n v="0"/>
    <n v="0"/>
    <n v="3381.3999999999992"/>
    <n v="3381.3999999999992"/>
    <n v="0"/>
    <n v="148.16"/>
    <n v="49.08"/>
    <n v="-99.08"/>
    <n v="3233.2399999999993"/>
    <n v="3332.3199999999993"/>
    <n v="99.08"/>
    <n v="1085.9700000000003"/>
    <n v="0"/>
    <n v="-1085.9700000000003"/>
    <n v="2147.2700000000004"/>
    <n v="3332.3199999999993"/>
    <n v="1185.05"/>
    <n v="76"/>
  </r>
  <r>
    <n v="2024"/>
    <n v="7"/>
    <x v="0"/>
    <d v="2024-07-05T00:00:00"/>
    <s v="Rogers"/>
    <x v="1"/>
    <x v="6"/>
    <n v="4561.6500000000005"/>
    <n v="4561.6500000000005"/>
    <n v="0"/>
    <n v="40"/>
    <n v="40"/>
    <n v="0"/>
    <n v="0"/>
    <n v="0"/>
    <n v="0"/>
    <n v="-1009.8499999999999"/>
    <n v="-1009.8499999999999"/>
    <n v="0"/>
    <n v="-16"/>
    <n v="-16"/>
    <n v="0"/>
    <n v="0"/>
    <n v="0"/>
    <n v="0"/>
    <n v="3575.7999999999997"/>
    <n v="3575.7999999999997"/>
    <n v="0"/>
    <n v="88.16"/>
    <n v="39.08"/>
    <n v="-49.08"/>
    <n v="3487.64"/>
    <n v="3536.72"/>
    <n v="49.08"/>
    <n v="968.94000000000062"/>
    <n v="0"/>
    <n v="-968.94000000000062"/>
    <n v="2518.7000000000003"/>
    <n v="3536.72"/>
    <n v="1018.0200000000006"/>
    <n v="78"/>
  </r>
  <r>
    <n v="2024"/>
    <n v="7"/>
    <x v="0"/>
    <d v="2024-07-06T00:00:00"/>
    <s v="Rogers"/>
    <x v="1"/>
    <x v="6"/>
    <n v="3797.9999999999991"/>
    <n v="3797.9999999999991"/>
    <n v="0"/>
    <n v="10"/>
    <n v="10"/>
    <n v="0"/>
    <n v="0"/>
    <n v="0"/>
    <n v="0"/>
    <n v="-610.99999999999989"/>
    <n v="-610.99999999999989"/>
    <n v="0"/>
    <n v="-4"/>
    <n v="-4"/>
    <n v="0"/>
    <n v="0"/>
    <n v="0"/>
    <n v="0"/>
    <n v="3192.9999999999977"/>
    <n v="3192.9999999999977"/>
    <n v="0"/>
    <n v="47.410000000000004"/>
    <m/>
    <n v="-47.410000000000004"/>
    <n v="3145.5899999999979"/>
    <n v="3192.9999999999977"/>
    <n v="47.41"/>
    <n v="1011.8700000000002"/>
    <n v="5.5200000000000005"/>
    <n v="-1006.3500000000003"/>
    <n v="2133.7200000000007"/>
    <n v="3187.4799999999977"/>
    <n v="1053.76"/>
    <n v="77"/>
  </r>
  <r>
    <n v="2024"/>
    <n v="7"/>
    <x v="1"/>
    <d v="2024-07-07T00:00:00"/>
    <s v="Fido"/>
    <x v="0"/>
    <x v="0"/>
    <n v="40584.25"/>
    <n v="40584.25"/>
    <n v="0"/>
    <n v="569.20999999999924"/>
    <n v="569.20999999999924"/>
    <n v="0"/>
    <n v="1021.2800000000005"/>
    <n v="1021.2800000000005"/>
    <n v="0"/>
    <n v="-3636.25"/>
    <n v="-3534.25"/>
    <n v="102"/>
    <n v="-4.5500000000000007"/>
    <n v="-4.5500000000000007"/>
    <n v="0"/>
    <n v="-35"/>
    <n v="-35"/>
    <n v="0"/>
    <n v="38498.939999999879"/>
    <n v="38600.939999999879"/>
    <n v="102"/>
    <n v="19206.299999999908"/>
    <n v="42.760000000000005"/>
    <n v="-19163.53999999991"/>
    <n v="19292.64000000005"/>
    <n v="38558.179999999884"/>
    <n v="19265.539999999906"/>
    <n v="-2.72"/>
    <n v="0"/>
    <n v="2.72"/>
    <n v="19295.360000000052"/>
    <n v="38558.179999999884"/>
    <n v="19262.819999999909"/>
    <n v="714"/>
  </r>
  <r>
    <n v="2024"/>
    <n v="7"/>
    <x v="1"/>
    <d v="2024-07-08T00:00:00"/>
    <s v="Fido"/>
    <x v="0"/>
    <x v="0"/>
    <n v="44597.5"/>
    <n v="44597.5"/>
    <n v="0"/>
    <n v="514.08999999999844"/>
    <n v="514.08999999999844"/>
    <n v="0"/>
    <n v="1129.2400000000005"/>
    <n v="1129.2400000000005"/>
    <n v="0"/>
    <n v="-4388.3"/>
    <n v="-3754.3"/>
    <n v="634"/>
    <n v="-2.0100000000000002"/>
    <n v="-2.0100000000000002"/>
    <n v="0"/>
    <n v="-35.99"/>
    <n v="-35.99"/>
    <n v="0"/>
    <n v="41814.529999999861"/>
    <n v="42448.529999999853"/>
    <n v="634"/>
    <n v="14188.75999999998"/>
    <n v="14145.99999999998"/>
    <n v="-42.760000000000005"/>
    <n v="27625.77000000008"/>
    <n v="28302.53000000009"/>
    <n v="676.76"/>
    <n v="-6949.5700000000006"/>
    <n v="0"/>
    <n v="6949.5700000000006"/>
    <n v="34575.340000000033"/>
    <n v="28302.53000000009"/>
    <n v="-6272.8099999999977"/>
    <n v="775"/>
  </r>
  <r>
    <n v="2024"/>
    <n v="7"/>
    <x v="1"/>
    <d v="2024-07-09T00:00:00"/>
    <s v="Fido"/>
    <x v="0"/>
    <x v="0"/>
    <n v="76744.5"/>
    <n v="76744.5"/>
    <n v="0"/>
    <n v="860.49000000000694"/>
    <n v="860.49000000000694"/>
    <n v="0"/>
    <n v="1732.8100000000009"/>
    <n v="1716.8200000000008"/>
    <n v="-15.99"/>
    <n v="-6816.3"/>
    <n v="-6292.3"/>
    <n v="524"/>
    <n v="-2.9600000000000004"/>
    <n v="-2.9600000000000004"/>
    <n v="0"/>
    <n v="-45"/>
    <n v="-45"/>
    <n v="0"/>
    <n v="72473.539999999819"/>
    <n v="72981.549999999857"/>
    <n v="508.01"/>
    <n v="29582.829999999693"/>
    <n v="15458.24999999996"/>
    <n v="-14124.579999999985"/>
    <n v="42890.710000000421"/>
    <n v="57523.300000000039"/>
    <n v="14632.589999999986"/>
    <n v="-7603.96"/>
    <n v="0"/>
    <n v="7603.96"/>
    <n v="50494.670000000275"/>
    <n v="57523.300000000039"/>
    <n v="7028.6300000000256"/>
    <n v="1333"/>
  </r>
  <r>
    <n v="2024"/>
    <n v="7"/>
    <x v="1"/>
    <d v="2024-07-10T00:00:00"/>
    <s v="Fido"/>
    <x v="0"/>
    <x v="0"/>
    <n v="109232.5"/>
    <n v="109232.5"/>
    <n v="0"/>
    <n v="1232.1100000000085"/>
    <n v="1232.1100000000085"/>
    <n v="0"/>
    <n v="2407.3699999999958"/>
    <n v="2407.3699999999958"/>
    <n v="0"/>
    <n v="-9313"/>
    <n v="-8632"/>
    <n v="681"/>
    <n v="-6.55"/>
    <n v="-6.55"/>
    <n v="0"/>
    <n v="-88"/>
    <n v="-88"/>
    <n v="0"/>
    <n v="103464.43000000075"/>
    <n v="104145.43000000078"/>
    <n v="681"/>
    <n v="47166.4399999991"/>
    <n v="31871.70999999977"/>
    <n v="-15294.729999999949"/>
    <n v="56297.990000000464"/>
    <n v="72273.720000000016"/>
    <n v="15975.729999999945"/>
    <n v="-15433.520000000006"/>
    <n v="0"/>
    <n v="15433.520000000006"/>
    <n v="71731.510000000242"/>
    <n v="72273.720000000016"/>
    <n v="542.2100000000006"/>
    <n v="1908"/>
  </r>
  <r>
    <n v="2024"/>
    <n v="7"/>
    <x v="1"/>
    <d v="2024-07-11T00:00:00"/>
    <s v="Fido"/>
    <x v="0"/>
    <x v="0"/>
    <n v="122259.75"/>
    <n v="122259.75"/>
    <n v="0"/>
    <n v="1320.0400000000225"/>
    <n v="1320.0400000000225"/>
    <n v="0"/>
    <n v="2889.9999999999886"/>
    <n v="2889.9999999999886"/>
    <n v="0"/>
    <n v="-10530.25"/>
    <n v="-9539.25"/>
    <n v="991"/>
    <n v="-6.4300000000000024"/>
    <n v="-6.4300000000000024"/>
    <n v="0"/>
    <n v="-88.99"/>
    <n v="-88.99"/>
    <n v="0"/>
    <n v="115844.12000000135"/>
    <n v="116835.12000000139"/>
    <n v="991"/>
    <n v="54606.929999998836"/>
    <n v="22996.849999999868"/>
    <n v="-31610.079999999743"/>
    <n v="61237.190000000614"/>
    <n v="93838.270000000644"/>
    <n v="32601.079999999733"/>
    <n v="-10800.370000000015"/>
    <n v="0"/>
    <n v="10800.370000000015"/>
    <n v="72037.560000000478"/>
    <n v="93838.270000000644"/>
    <n v="21800.709999999817"/>
    <n v="2159"/>
  </r>
  <r>
    <n v="2024"/>
    <n v="7"/>
    <x v="1"/>
    <d v="2024-07-12T00:00:00"/>
    <s v="Fido"/>
    <x v="0"/>
    <x v="0"/>
    <n v="95589.5"/>
    <n v="95589.5"/>
    <n v="0"/>
    <n v="1166.2700000000075"/>
    <n v="1166.2700000000075"/>
    <n v="0"/>
    <n v="2043.4900000000011"/>
    <n v="2043.4900000000011"/>
    <n v="0"/>
    <n v="-8445.75"/>
    <n v="-7727"/>
    <n v="718.75"/>
    <n v="-2.1"/>
    <n v="-2.1"/>
    <n v="0"/>
    <n v="-55.99"/>
    <n v="-55.99"/>
    <n v="0"/>
    <n v="90295.420000000478"/>
    <n v="91014.170000000508"/>
    <n v="718.75"/>
    <n v="41234.699999999328"/>
    <n v="18574.579999999929"/>
    <n v="-22660.119999999883"/>
    <n v="49060.720000000445"/>
    <n v="72439.590000000069"/>
    <n v="23378.869999999868"/>
    <n v="-8596.9999999999891"/>
    <n v="0"/>
    <n v="8596.9999999999891"/>
    <n v="57657.72000000038"/>
    <n v="72439.590000000069"/>
    <n v="14781.869999999948"/>
    <n v="1701"/>
  </r>
  <r>
    <n v="2024"/>
    <n v="7"/>
    <x v="1"/>
    <d v="2024-07-13T00:00:00"/>
    <s v="Fido"/>
    <x v="0"/>
    <x v="0"/>
    <n v="88931.25"/>
    <n v="88931.25"/>
    <n v="0"/>
    <n v="1042.9500000000128"/>
    <n v="1042.9500000000128"/>
    <n v="0"/>
    <n v="1955.5400000000011"/>
    <n v="1955.5400000000011"/>
    <n v="0"/>
    <n v="-7806"/>
    <n v="-7071"/>
    <n v="735"/>
    <n v="-2.73"/>
    <n v="-2.73"/>
    <n v="0"/>
    <n v="-25"/>
    <n v="-25"/>
    <n v="0"/>
    <n v="84096.010000000213"/>
    <n v="84831.010000000228"/>
    <n v="735"/>
    <n v="38695.469999999499"/>
    <n v="20188.709999999912"/>
    <n v="-18506.759999999944"/>
    <n v="45400.540000000321"/>
    <n v="64642.299999999923"/>
    <n v="19241.759999999937"/>
    <n v="-9552.2399999999907"/>
    <n v="0"/>
    <n v="9552.2399999999907"/>
    <n v="54952.780000000319"/>
    <n v="64642.299999999923"/>
    <n v="9689.5200000000041"/>
    <n v="1572"/>
  </r>
  <r>
    <n v="2024"/>
    <n v="7"/>
    <x v="1"/>
    <d v="2024-07-07T00:00:00"/>
    <s v="Rogers"/>
    <x v="0"/>
    <x v="1"/>
    <n v="42291"/>
    <n v="42291"/>
    <n v="0"/>
    <n v="325.37999999999988"/>
    <n v="295.37999999999988"/>
    <n v="-30"/>
    <n v="1700.8700000000008"/>
    <n v="1700.8700000000008"/>
    <n v="0"/>
    <n v="-6133.75"/>
    <n v="-5940.75"/>
    <n v="193"/>
    <n v="-0.49"/>
    <n v="-0.49"/>
    <n v="0"/>
    <n v="-23"/>
    <n v="-22.990000000000002"/>
    <n v="9.9999999999997868E-3"/>
    <n v="38160.009999999958"/>
    <n v="38323.01999999996"/>
    <n v="163.01"/>
    <n v="12956.189999999984"/>
    <m/>
    <n v="-12956.189999999984"/>
    <n v="25203.830000000071"/>
    <n v="38323.01999999996"/>
    <n v="13119.189999999981"/>
    <n v="32.94"/>
    <n v="0"/>
    <n v="-32.94"/>
    <n v="25170.890000000069"/>
    <n v="38323.01999999996"/>
    <n v="13152.129999999981"/>
    <n v="565"/>
  </r>
  <r>
    <n v="2024"/>
    <n v="7"/>
    <x v="1"/>
    <d v="2024-07-08T00:00:00"/>
    <s v="Rogers"/>
    <x v="0"/>
    <x v="1"/>
    <n v="62084"/>
    <n v="62084"/>
    <n v="0"/>
    <n v="431.55999999999875"/>
    <n v="431.55999999999875"/>
    <n v="0"/>
    <n v="3012.0999999999881"/>
    <n v="3012.0999999999881"/>
    <n v="0"/>
    <n v="-9731"/>
    <n v="-9174"/>
    <n v="557"/>
    <n v="-0.14000000000000001"/>
    <n v="-0.14000000000000001"/>
    <n v="0"/>
    <n v="-40.1"/>
    <n v="-40.1"/>
    <n v="0"/>
    <n v="55756.41999999986"/>
    <n v="56313.41999999986"/>
    <n v="557"/>
    <n v="10622.099999999989"/>
    <n v="10622.099999999989"/>
    <n v="0"/>
    <n v="45134.320000000087"/>
    <n v="45691.320000000087"/>
    <n v="557"/>
    <n v="-5804.2800000000043"/>
    <n v="0"/>
    <n v="5804.2800000000043"/>
    <n v="50938.60000000002"/>
    <n v="45691.320000000087"/>
    <n v="-5247.2799999999979"/>
    <n v="787"/>
  </r>
  <r>
    <n v="2024"/>
    <n v="7"/>
    <x v="1"/>
    <d v="2024-07-09T00:00:00"/>
    <s v="Rogers"/>
    <x v="0"/>
    <x v="1"/>
    <n v="87354"/>
    <n v="87354"/>
    <n v="0"/>
    <n v="652.55999999999938"/>
    <n v="652.55999999999938"/>
    <n v="0"/>
    <n v="3730.6499999999778"/>
    <n v="3730.6499999999778"/>
    <n v="0"/>
    <n v="-14049"/>
    <n v="-13464.75"/>
    <n v="584.25"/>
    <n v="-4.26"/>
    <n v="-4.26"/>
    <n v="0"/>
    <n v="-46.7"/>
    <n v="-46.7"/>
    <n v="0"/>
    <n v="77637.249999999898"/>
    <n v="78221.499999999898"/>
    <n v="584.25"/>
    <n v="20022.899999999921"/>
    <n v="9544.0199999999968"/>
    <n v="-10478.879999999994"/>
    <n v="57614.350000000108"/>
    <n v="68677.479999999909"/>
    <n v="11063.129999999986"/>
    <n v="-5040.1400000000021"/>
    <n v="0"/>
    <n v="5040.1400000000021"/>
    <n v="62654.4900000001"/>
    <n v="68677.479999999909"/>
    <n v="6022.9900000000107"/>
    <n v="1111"/>
  </r>
  <r>
    <n v="2024"/>
    <n v="7"/>
    <x v="1"/>
    <d v="2024-07-10T00:00:00"/>
    <s v="Rogers"/>
    <x v="0"/>
    <x v="1"/>
    <n v="138949.5"/>
    <n v="138949.5"/>
    <n v="0"/>
    <n v="1033.1700000000092"/>
    <n v="1033.1700000000092"/>
    <n v="0"/>
    <n v="5587.419999999951"/>
    <n v="5520.4599999999518"/>
    <n v="-66.959999999999994"/>
    <n v="-21768.95"/>
    <n v="-20852.2"/>
    <n v="916.75"/>
    <n v="-10.23"/>
    <n v="-10.23"/>
    <n v="0"/>
    <n v="-106.3"/>
    <n v="-106.3"/>
    <n v="0"/>
    <n v="123684.61000000074"/>
    <n v="124534.40000000074"/>
    <n v="849.79"/>
    <n v="32754.849999999853"/>
    <n v="23299.339999999891"/>
    <n v="-9455.5099999999984"/>
    <n v="90929.760000000257"/>
    <n v="101235.0600000003"/>
    <n v="10305.299999999992"/>
    <n v="-12039.02000000002"/>
    <n v="0"/>
    <n v="12039.02000000002"/>
    <n v="102968.78000000009"/>
    <n v="101235.0600000003"/>
    <n v="-1733.7199999999959"/>
    <n v="1782"/>
  </r>
  <r>
    <n v="2024"/>
    <n v="7"/>
    <x v="1"/>
    <d v="2024-07-11T00:00:00"/>
    <s v="Rogers"/>
    <x v="0"/>
    <x v="1"/>
    <n v="140691.5"/>
    <n v="140691.5"/>
    <n v="0"/>
    <n v="1147.5700000000074"/>
    <n v="1147.5700000000074"/>
    <n v="0"/>
    <n v="5819.2399999999489"/>
    <n v="5819.2399999999489"/>
    <n v="0"/>
    <n v="-21893.200000000001"/>
    <n v="-21114.2"/>
    <n v="779"/>
    <n v="-13.410000000000002"/>
    <n v="-13.410000000000002"/>
    <n v="0"/>
    <n v="-130.68"/>
    <n v="-130.68"/>
    <n v="0"/>
    <n v="125621.02000000085"/>
    <n v="126400.02000000086"/>
    <n v="779"/>
    <n v="36572.479999999654"/>
    <n v="13802.479999999978"/>
    <n v="-22769.99999999992"/>
    <n v="89048.540000000372"/>
    <n v="112597.5400000006"/>
    <n v="23548.999999999905"/>
    <n v="-6904.3099999999922"/>
    <n v="0"/>
    <n v="6904.3099999999922"/>
    <n v="95952.850000000341"/>
    <n v="112597.5400000006"/>
    <n v="16644.689999999911"/>
    <n v="1827"/>
  </r>
  <r>
    <n v="2024"/>
    <n v="7"/>
    <x v="1"/>
    <d v="2024-07-12T00:00:00"/>
    <s v="Rogers"/>
    <x v="0"/>
    <x v="1"/>
    <n v="111642"/>
    <n v="111642"/>
    <n v="0"/>
    <n v="863.70000000000721"/>
    <n v="863.70000000000721"/>
    <n v="0"/>
    <n v="4524.109999999966"/>
    <n v="4492.1299999999665"/>
    <n v="-31.98"/>
    <n v="-17342.25"/>
    <n v="-16775.25"/>
    <n v="567"/>
    <n v="-2.7600000000000002"/>
    <n v="-2.7600000000000002"/>
    <n v="0"/>
    <n v="-94.600000000000009"/>
    <n v="-94.600000000000009"/>
    <n v="0"/>
    <n v="99590.200000000346"/>
    <n v="100125.22000000036"/>
    <n v="535.0200000000001"/>
    <n v="27539.849999999849"/>
    <n v="14035.429999999964"/>
    <n v="-13504.419999999971"/>
    <n v="72050.35000000018"/>
    <n v="86089.790000000197"/>
    <n v="14039.439999999971"/>
    <n v="-7012.1400000000058"/>
    <n v="0"/>
    <n v="7012.1400000000058"/>
    <n v="79062.490000000107"/>
    <n v="86089.790000000197"/>
    <n v="7027.3000000000156"/>
    <n v="1472"/>
  </r>
  <r>
    <n v="2024"/>
    <n v="7"/>
    <x v="1"/>
    <d v="2024-07-13T00:00:00"/>
    <s v="Rogers"/>
    <x v="0"/>
    <x v="1"/>
    <n v="119164"/>
    <n v="119164"/>
    <n v="0"/>
    <n v="964.5200000000043"/>
    <n v="964.5200000000043"/>
    <n v="0"/>
    <n v="4589.0099999999657"/>
    <n v="4589.0099999999657"/>
    <n v="0"/>
    <n v="-18763.2"/>
    <n v="-18020.2"/>
    <n v="743"/>
    <n v="-8.4599999999999991"/>
    <n v="-8.4599999999999991"/>
    <n v="0"/>
    <n v="-155.48000000000002"/>
    <n v="-155.48000000000002"/>
    <n v="0"/>
    <n v="105790.39000000049"/>
    <n v="106533.39000000048"/>
    <n v="743"/>
    <n v="29764.599999999766"/>
    <n v="15890.329999999951"/>
    <n v="-13874.269999999975"/>
    <n v="76025.790000000168"/>
    <n v="90643.060000000216"/>
    <n v="14617.269999999968"/>
    <n v="-8070.559999999984"/>
    <n v="0"/>
    <n v="8070.559999999984"/>
    <n v="84096.350000000049"/>
    <n v="90643.060000000216"/>
    <n v="6546.7100000000291"/>
    <n v="1577"/>
  </r>
  <r>
    <n v="2024"/>
    <n v="7"/>
    <x v="1"/>
    <d v="2024-07-07T00:00:00"/>
    <s v="Rogers"/>
    <x v="0"/>
    <x v="2"/>
    <n v="11367.32"/>
    <n v="11367.32"/>
    <n v="0"/>
    <n v="61.780000000000044"/>
    <n v="61.780000000000044"/>
    <n v="0"/>
    <n v="322.79000000000008"/>
    <n v="322.79000000000008"/>
    <n v="0"/>
    <n v="-3681.7200000000003"/>
    <n v="-3674.7200000000003"/>
    <n v="7"/>
    <n v="0"/>
    <n v="0"/>
    <n v="0"/>
    <n v="0"/>
    <n v="0"/>
    <n v="0"/>
    <n v="8070.1699999999955"/>
    <n v="8077.1699999999955"/>
    <n v="7"/>
    <n v="3809.7300000000046"/>
    <m/>
    <n v="-3809.7300000000046"/>
    <n v="4260.4399999999951"/>
    <n v="8077.1699999999955"/>
    <n v="3816.7300000000046"/>
    <n v="0"/>
    <n v="0"/>
    <n v="0"/>
    <n v="4260.4399999999951"/>
    <n v="8077.1699999999955"/>
    <n v="3816.7300000000046"/>
    <n v="131"/>
  </r>
  <r>
    <n v="2024"/>
    <n v="7"/>
    <x v="1"/>
    <d v="2024-07-08T00:00:00"/>
    <s v="Rogers"/>
    <x v="0"/>
    <x v="2"/>
    <n v="12181.14"/>
    <n v="12181.14"/>
    <n v="0"/>
    <n v="26.700000000000017"/>
    <n v="26.700000000000017"/>
    <n v="0"/>
    <n v="299.81000000000012"/>
    <n v="299.81000000000012"/>
    <n v="0"/>
    <n v="-4202.6399999999994"/>
    <n v="-4058.64"/>
    <n v="144"/>
    <n v="0"/>
    <n v="0"/>
    <n v="0"/>
    <n v="0"/>
    <n v="0"/>
    <n v="0"/>
    <n v="8305.0099999999984"/>
    <n v="8449.0099999999984"/>
    <n v="144"/>
    <n v="1676.2700000000002"/>
    <n v="1676.2700000000002"/>
    <n v="0"/>
    <n v="6628.7399999999943"/>
    <n v="6772.7399999999952"/>
    <n v="144.00000000000003"/>
    <n v="-682.11000000000047"/>
    <n v="0"/>
    <n v="682.11000000000047"/>
    <n v="7310.8500000000022"/>
    <n v="6772.7399999999952"/>
    <n v="-538.11000000000013"/>
    <n v="133"/>
  </r>
  <r>
    <n v="2024"/>
    <n v="7"/>
    <x v="1"/>
    <d v="2024-07-09T00:00:00"/>
    <s v="Rogers"/>
    <x v="0"/>
    <x v="2"/>
    <n v="18065.86"/>
    <n v="18065.86"/>
    <n v="0"/>
    <n v="90.469999999999928"/>
    <n v="90.469999999999928"/>
    <n v="0"/>
    <n v="429.74000000000012"/>
    <n v="429.74000000000012"/>
    <n v="0"/>
    <n v="-6191.86"/>
    <n v="-6056.86"/>
    <n v="135"/>
    <n v="0"/>
    <n v="0"/>
    <n v="0"/>
    <n v="0"/>
    <n v="0"/>
    <n v="0"/>
    <n v="12394.209999999988"/>
    <n v="12529.20999999999"/>
    <n v="135"/>
    <n v="3756.1900000000037"/>
    <n v="2079.9200000000005"/>
    <n v="-1676.2700000000009"/>
    <n v="8638.0199999999895"/>
    <n v="10449.28999999999"/>
    <n v="1811.2700000000009"/>
    <n v="-865.96000000000015"/>
    <n v="0"/>
    <n v="865.96000000000015"/>
    <n v="9503.9800000000014"/>
    <n v="10449.28999999999"/>
    <n v="945.30999999999949"/>
    <n v="202"/>
  </r>
  <r>
    <n v="2024"/>
    <n v="7"/>
    <x v="1"/>
    <d v="2024-07-10T00:00:00"/>
    <s v="Rogers"/>
    <x v="0"/>
    <x v="2"/>
    <n v="34023.65"/>
    <n v="34023.65"/>
    <n v="0"/>
    <n v="159.26999999999995"/>
    <n v="159.26999999999995"/>
    <n v="0"/>
    <n v="828.49000000000035"/>
    <n v="828.49000000000035"/>
    <n v="0"/>
    <n v="-11355.7"/>
    <n v="-11130.7"/>
    <n v="225"/>
    <n v="0"/>
    <n v="0"/>
    <n v="0"/>
    <n v="-19.5"/>
    <n v="-19.5"/>
    <n v="0"/>
    <n v="23636.209999999995"/>
    <n v="23861.209999999995"/>
    <n v="225"/>
    <n v="7396.2600000000093"/>
    <n v="5428.3100000000059"/>
    <n v="-1967.950000000001"/>
    <n v="16239.950000000006"/>
    <n v="18432.900000000001"/>
    <n v="2192.9500000000007"/>
    <n v="-1993.7099999999987"/>
    <n v="0"/>
    <n v="1993.7099999999987"/>
    <n v="18233.660000000014"/>
    <n v="18432.900000000001"/>
    <n v="199.23999999999992"/>
    <n v="391"/>
  </r>
  <r>
    <n v="2024"/>
    <n v="7"/>
    <x v="1"/>
    <d v="2024-07-11T00:00:00"/>
    <s v="Rogers"/>
    <x v="0"/>
    <x v="2"/>
    <n v="43397.62"/>
    <n v="43397.62"/>
    <n v="0"/>
    <n v="251.56"/>
    <n v="251.56"/>
    <n v="0"/>
    <n v="1017.3600000000005"/>
    <n v="1017.3600000000005"/>
    <n v="0"/>
    <n v="-13554.57"/>
    <n v="-13370.57"/>
    <n v="184"/>
    <n v="0"/>
    <n v="0"/>
    <n v="0"/>
    <n v="-24.5"/>
    <n v="-24.5"/>
    <n v="0"/>
    <n v="31087.469999999998"/>
    <n v="31271.469999999998"/>
    <n v="184"/>
    <n v="10788.069999999985"/>
    <n v="5566.0200000000068"/>
    <n v="-5222.0500000000047"/>
    <n v="20299.400000000009"/>
    <n v="25705.450000000015"/>
    <n v="5406.0500000000056"/>
    <n v="-1464.059999999999"/>
    <n v="0"/>
    <n v="1464.059999999999"/>
    <n v="21763.459999999992"/>
    <n v="25705.450000000015"/>
    <n v="3941.9900000000066"/>
    <n v="521"/>
  </r>
  <r>
    <n v="2024"/>
    <n v="7"/>
    <x v="1"/>
    <d v="2024-07-12T00:00:00"/>
    <s v="Rogers"/>
    <x v="0"/>
    <x v="2"/>
    <n v="45164.76"/>
    <n v="45164.76"/>
    <n v="0"/>
    <n v="327.00999999999976"/>
    <n v="327.00999999999976"/>
    <n v="0"/>
    <n v="1183.2200000000005"/>
    <n v="1183.2200000000005"/>
    <n v="0"/>
    <n v="-14568.510000000002"/>
    <n v="-14315.510000000002"/>
    <n v="253"/>
    <n v="-0.23"/>
    <n v="-0.23"/>
    <n v="0"/>
    <n v="-15"/>
    <n v="-15"/>
    <n v="0"/>
    <n v="32091.250000000029"/>
    <n v="32344.250000000029"/>
    <n v="253"/>
    <n v="10828.919999999991"/>
    <n v="5476.0000000000064"/>
    <n v="-5352.9200000000055"/>
    <n v="21262.330000000042"/>
    <n v="26868.250000000051"/>
    <n v="5605.9200000000055"/>
    <n v="-1349.0999999999988"/>
    <n v="0"/>
    <n v="1349.0999999999988"/>
    <n v="22611.430000000022"/>
    <n v="26868.250000000051"/>
    <n v="4256.8200000000033"/>
    <n v="535"/>
  </r>
  <r>
    <n v="2024"/>
    <n v="7"/>
    <x v="1"/>
    <d v="2024-07-13T00:00:00"/>
    <s v="Rogers"/>
    <x v="0"/>
    <x v="2"/>
    <n v="44561.58"/>
    <n v="44561.58"/>
    <n v="0"/>
    <n v="244.82000000000008"/>
    <n v="244.82000000000008"/>
    <n v="0"/>
    <n v="1167.2600000000004"/>
    <n v="1167.2600000000004"/>
    <n v="0"/>
    <n v="-14771.950000000003"/>
    <n v="-14491.700000000003"/>
    <n v="280.25"/>
    <n v="-1.1700000000000002"/>
    <n v="-1.1700000000000002"/>
    <n v="0"/>
    <n v="-15"/>
    <n v="-15"/>
    <n v="0"/>
    <n v="31185.540000000012"/>
    <n v="31465.790000000012"/>
    <n v="280.25"/>
    <n v="11166.709999999983"/>
    <n v="5770.5900000000047"/>
    <n v="-5396.1200000000063"/>
    <n v="20018.830000000024"/>
    <n v="25695.200000000008"/>
    <n v="5676.3700000000063"/>
    <n v="-1976.3999999999994"/>
    <n v="0"/>
    <n v="1976.3999999999994"/>
    <n v="21995.23000000001"/>
    <n v="25695.200000000008"/>
    <n v="3699.9700000000021"/>
    <n v="516"/>
  </r>
  <r>
    <n v="2024"/>
    <n v="7"/>
    <x v="1"/>
    <d v="2024-07-07T00:00:00"/>
    <s v="Rogers"/>
    <x v="1"/>
    <x v="3"/>
    <n v="9843.7999999999975"/>
    <n v="9843.7999999999975"/>
    <n v="0"/>
    <n v="0"/>
    <n v="0"/>
    <n v="0"/>
    <n v="0"/>
    <n v="0"/>
    <n v="0"/>
    <n v="-3562.900000000001"/>
    <n v="-3562.900000000001"/>
    <n v="0"/>
    <n v="0"/>
    <n v="0"/>
    <n v="0"/>
    <n v="0"/>
    <n v="0"/>
    <n v="0"/>
    <n v="6280.9"/>
    <n v="6280.9"/>
    <n v="0"/>
    <m/>
    <m/>
    <n v="0"/>
    <n v="6280.9"/>
    <n v="6280.9"/>
    <n v="0"/>
    <n v="1675.5800000000006"/>
    <n v="0"/>
    <n v="-1675.5800000000006"/>
    <n v="4605.3200000000033"/>
    <n v="6280.9"/>
    <n v="1675.5800000000008"/>
    <n v="146"/>
  </r>
  <r>
    <n v="2024"/>
    <n v="7"/>
    <x v="1"/>
    <d v="2024-07-08T00:00:00"/>
    <s v="Rogers"/>
    <x v="1"/>
    <x v="3"/>
    <n v="4622.7000000000007"/>
    <n v="4622.7000000000007"/>
    <n v="0"/>
    <n v="30"/>
    <n v="30"/>
    <n v="0"/>
    <n v="0"/>
    <n v="0"/>
    <n v="0"/>
    <n v="-1197.2500000000007"/>
    <n v="-1089.2500000000005"/>
    <n v="108"/>
    <n v="0"/>
    <n v="0"/>
    <n v="0"/>
    <n v="0"/>
    <n v="0"/>
    <n v="0"/>
    <n v="3455.4500000000025"/>
    <n v="3563.4500000000025"/>
    <n v="108"/>
    <m/>
    <m/>
    <n v="0"/>
    <n v="3455.4500000000025"/>
    <n v="3563.4500000000025"/>
    <n v="108"/>
    <n v="1284.53"/>
    <n v="0"/>
    <n v="-1284.53"/>
    <n v="2170.9199999999992"/>
    <n v="3563.4500000000025"/>
    <n v="1392.5300000000002"/>
    <n v="79"/>
  </r>
  <r>
    <n v="2024"/>
    <n v="7"/>
    <x v="1"/>
    <d v="2024-07-09T00:00:00"/>
    <s v="Rogers"/>
    <x v="1"/>
    <x v="3"/>
    <n v="224.25000000000003"/>
    <n v="224.25000000000003"/>
    <n v="0"/>
    <n v="61.86"/>
    <n v="61.86"/>
    <n v="0"/>
    <n v="0"/>
    <n v="0"/>
    <n v="0"/>
    <n v="-41.6"/>
    <n v="-41.6"/>
    <n v="0"/>
    <n v="0"/>
    <n v="0"/>
    <n v="0"/>
    <n v="0"/>
    <n v="0"/>
    <n v="0"/>
    <n v="244.51000000000005"/>
    <n v="244.51000000000005"/>
    <n v="0"/>
    <n v="32.380000000000003"/>
    <n v="32.380000000000003"/>
    <n v="0"/>
    <n v="212.13000000000005"/>
    <n v="212.13000000000005"/>
    <n v="0"/>
    <n v="64.92"/>
    <n v="0"/>
    <n v="-64.92"/>
    <n v="147.21"/>
    <n v="212.13000000000005"/>
    <n v="64.92"/>
    <n v="7"/>
  </r>
  <r>
    <n v="2024"/>
    <n v="7"/>
    <x v="1"/>
    <d v="2024-07-10T00:00:00"/>
    <s v="Rogers"/>
    <x v="1"/>
    <x v="3"/>
    <n v="5338.8000000000093"/>
    <n v="5338.8000000000093"/>
    <n v="0"/>
    <n v="744.23000000000025"/>
    <n v="713.5300000000002"/>
    <n v="-30.7"/>
    <n v="15.99"/>
    <n v="15.99"/>
    <n v="0"/>
    <n v="-311.95"/>
    <n v="-311.95"/>
    <n v="0"/>
    <n v="0"/>
    <n v="0"/>
    <n v="0"/>
    <n v="0"/>
    <n v="0"/>
    <n v="0"/>
    <n v="5787.0700000000097"/>
    <n v="5756.3700000000099"/>
    <n v="-30.7"/>
    <n v="83.88"/>
    <n v="51.5"/>
    <n v="-32.380000000000003"/>
    <n v="5703.1900000000096"/>
    <n v="5704.8700000000099"/>
    <n v="1.6800000000000033"/>
    <n v="1929.9699999999984"/>
    <n v="0"/>
    <n v="-1929.9699999999984"/>
    <n v="3773.2199999999975"/>
    <n v="5704.8700000000099"/>
    <n v="1931.6499999999985"/>
    <n v="214"/>
  </r>
  <r>
    <n v="2024"/>
    <n v="7"/>
    <x v="1"/>
    <d v="2024-07-11T00:00:00"/>
    <s v="Rogers"/>
    <x v="1"/>
    <x v="3"/>
    <n v="17610.449999999917"/>
    <n v="17610.449999999917"/>
    <n v="0"/>
    <n v="1019.6000000000004"/>
    <n v="1019.6000000000004"/>
    <n v="0"/>
    <n v="15.99"/>
    <n v="15.99"/>
    <n v="0"/>
    <n v="-5528.2499999999936"/>
    <n v="-5495.2499999999936"/>
    <n v="33"/>
    <n v="-29.700000000000003"/>
    <n v="-29.700000000000003"/>
    <n v="0"/>
    <n v="0"/>
    <n v="0"/>
    <n v="0"/>
    <n v="13088.089999999942"/>
    <n v="13121.089999999942"/>
    <n v="33"/>
    <n v="128.75"/>
    <n v="77.25"/>
    <n v="-51.5"/>
    <n v="12959.339999999944"/>
    <n v="13043.839999999944"/>
    <n v="84.5"/>
    <n v="4311.45"/>
    <n v="0"/>
    <n v="-4311.45"/>
    <n v="8647.8899999999776"/>
    <n v="13043.839999999944"/>
    <n v="4395.9500000000007"/>
    <n v="340"/>
  </r>
  <r>
    <n v="2024"/>
    <n v="7"/>
    <x v="1"/>
    <d v="2024-07-12T00:00:00"/>
    <s v="Rogers"/>
    <x v="1"/>
    <x v="3"/>
    <n v="19693.199999999986"/>
    <n v="19693.199999999986"/>
    <n v="0"/>
    <n v="580.95000000000005"/>
    <n v="580.95000000000005"/>
    <n v="0"/>
    <n v="15.99"/>
    <n v="15.99"/>
    <n v="0"/>
    <n v="-8469.2999999999665"/>
    <n v="-8469.2999999999665"/>
    <n v="0"/>
    <n v="-24.33"/>
    <n v="-24.33"/>
    <n v="0"/>
    <n v="0"/>
    <n v="0"/>
    <n v="0"/>
    <n v="11796.510000000057"/>
    <n v="11796.510000000057"/>
    <n v="0"/>
    <n v="143.09"/>
    <n v="65.84"/>
    <n v="-77.25"/>
    <n v="11653.420000000055"/>
    <n v="11730.670000000055"/>
    <n v="77.25"/>
    <n v="3722.7399999999934"/>
    <n v="0"/>
    <n v="-3722.7399999999934"/>
    <n v="7930.680000000043"/>
    <n v="11730.670000000055"/>
    <n v="3799.9899999999939"/>
    <n v="374"/>
  </r>
  <r>
    <n v="2024"/>
    <n v="7"/>
    <x v="1"/>
    <d v="2024-07-13T00:00:00"/>
    <s v="Rogers"/>
    <x v="1"/>
    <x v="3"/>
    <n v="10736.299999999996"/>
    <n v="10736.299999999996"/>
    <n v="0"/>
    <n v="329.26"/>
    <n v="329.26"/>
    <n v="0"/>
    <n v="107.92999999999999"/>
    <n v="107.92999999999999"/>
    <n v="0"/>
    <n v="-2848.2999999999988"/>
    <n v="-2848.2999999999988"/>
    <n v="0"/>
    <n v="-8.8000000000000007"/>
    <n v="-8.8000000000000007"/>
    <n v="0"/>
    <n v="-5"/>
    <n v="-5"/>
    <n v="0"/>
    <n v="8311.3900000000067"/>
    <n v="8311.3900000000067"/>
    <n v="0"/>
    <n v="65.84"/>
    <m/>
    <n v="-65.84"/>
    <n v="8245.5500000000065"/>
    <n v="8311.3900000000067"/>
    <n v="65.84"/>
    <n v="2696.559999999999"/>
    <n v="0"/>
    <n v="-2696.559999999999"/>
    <n v="5548.9899999999971"/>
    <n v="8311.3900000000067"/>
    <n v="2762.3999999999987"/>
    <n v="203"/>
  </r>
  <r>
    <n v="2024"/>
    <n v="7"/>
    <x v="1"/>
    <d v="2024-07-07T00:00:00"/>
    <s v="Rogers"/>
    <x v="1"/>
    <x v="4"/>
    <n v="8124"/>
    <n v="8124"/>
    <n v="0"/>
    <n v="12.96"/>
    <n v="12.96"/>
    <n v="0"/>
    <n v="50.970000000000006"/>
    <n v="50.970000000000006"/>
    <n v="0"/>
    <n v="-3039.9999999999991"/>
    <n v="-3028.9999999999991"/>
    <n v="11"/>
    <n v="0"/>
    <n v="0"/>
    <n v="0"/>
    <n v="0"/>
    <n v="0"/>
    <n v="0"/>
    <n v="5147.9300000000012"/>
    <n v="5158.9300000000012"/>
    <n v="11"/>
    <n v="394.88"/>
    <n v="15.42"/>
    <n v="-379.46"/>
    <n v="4753.0500000000029"/>
    <n v="5143.510000000002"/>
    <n v="390.45999999999987"/>
    <n v="768.55999999999915"/>
    <n v="-346.99999999999994"/>
    <n v="-1115.5599999999993"/>
    <n v="3984.4900000000039"/>
    <n v="5490.5099999999975"/>
    <n v="1506.0199999999986"/>
    <n v="113"/>
  </r>
  <r>
    <n v="2024"/>
    <n v="7"/>
    <x v="1"/>
    <d v="2024-07-08T00:00:00"/>
    <s v="Rogers"/>
    <x v="1"/>
    <x v="4"/>
    <n v="5422"/>
    <n v="5422"/>
    <n v="0"/>
    <n v="13.91"/>
    <n v="13.91"/>
    <n v="0"/>
    <n v="15.99"/>
    <n v="15.99"/>
    <n v="0"/>
    <n v="-1671.2500000000007"/>
    <n v="-1671.2500000000007"/>
    <n v="0"/>
    <n v="0"/>
    <n v="0"/>
    <n v="0"/>
    <n v="0"/>
    <n v="0"/>
    <n v="0"/>
    <n v="3780.6499999999992"/>
    <n v="3780.6499999999992"/>
    <n v="0"/>
    <n v="96.72"/>
    <n v="81.300000000000011"/>
    <n v="-15.42"/>
    <n v="3683.9299999999989"/>
    <n v="3699.349999999999"/>
    <n v="15.42"/>
    <n v="1276.8300000000004"/>
    <n v="0"/>
    <n v="-1276.8300000000004"/>
    <n v="2407.1000000000004"/>
    <n v="3699.349999999999"/>
    <n v="1292.2499999999995"/>
    <n v="77"/>
  </r>
  <r>
    <n v="2024"/>
    <n v="7"/>
    <x v="1"/>
    <d v="2024-07-09T00:00:00"/>
    <s v="Rogers"/>
    <x v="1"/>
    <x v="4"/>
    <n v="784"/>
    <n v="784"/>
    <n v="0"/>
    <n v="25.92"/>
    <n v="25.92"/>
    <n v="0"/>
    <n v="18.990000000000002"/>
    <n v="18.990000000000002"/>
    <n v="0"/>
    <n v="-332.9"/>
    <n v="-332.9"/>
    <n v="0"/>
    <n v="0"/>
    <n v="0"/>
    <n v="0"/>
    <n v="0"/>
    <n v="0"/>
    <n v="0"/>
    <n v="496.01"/>
    <n v="496.01"/>
    <n v="0"/>
    <n v="147.93"/>
    <n v="66.63"/>
    <n v="-81.300000000000011"/>
    <n v="348.08000000000004"/>
    <n v="429.38"/>
    <n v="81.300000000000011"/>
    <n v="-29.799999999999997"/>
    <n v="0"/>
    <n v="29.799999999999997"/>
    <n v="377.88"/>
    <n v="429.38"/>
    <n v="51.500000000000007"/>
    <n v="8"/>
  </r>
  <r>
    <n v="2024"/>
    <n v="7"/>
    <x v="1"/>
    <d v="2024-07-10T00:00:00"/>
    <s v="Rogers"/>
    <x v="1"/>
    <x v="4"/>
    <n v="4432.2500000000045"/>
    <n v="4432.2500000000045"/>
    <n v="0"/>
    <n v="173.62"/>
    <n v="173.62"/>
    <n v="0"/>
    <n v="278.85000000000008"/>
    <n v="278.85000000000008"/>
    <n v="0"/>
    <n v="-1462.2"/>
    <n v="-1455.2"/>
    <n v="7"/>
    <n v="0"/>
    <n v="0"/>
    <n v="0"/>
    <n v="0"/>
    <n v="0"/>
    <n v="0"/>
    <n v="3422.5199999999995"/>
    <n v="3429.5199999999995"/>
    <n v="7"/>
    <n v="448.30999999999989"/>
    <n v="381.67999999999995"/>
    <n v="-66.63"/>
    <n v="2974.21"/>
    <n v="3047.84"/>
    <n v="73.63000000000001"/>
    <n v="-372.20000000000005"/>
    <n v="0"/>
    <n v="372.20000000000005"/>
    <n v="3346.41"/>
    <n v="3047.84"/>
    <n v="-298.57000000000011"/>
    <n v="84"/>
  </r>
  <r>
    <n v="2024"/>
    <n v="7"/>
    <x v="1"/>
    <d v="2024-07-11T00:00:00"/>
    <s v="Rogers"/>
    <x v="1"/>
    <x v="4"/>
    <n v="9954.9500000000007"/>
    <n v="9954.9500000000007"/>
    <n v="0"/>
    <n v="142.58000000000004"/>
    <n v="142.58000000000004"/>
    <n v="0"/>
    <n v="272.85000000000008"/>
    <n v="272.85000000000008"/>
    <n v="0"/>
    <n v="-3721.9499999999971"/>
    <n v="-3714.9499999999971"/>
    <n v="7"/>
    <n v="-16.600000000000001"/>
    <n v="-16.600000000000001"/>
    <n v="0"/>
    <n v="0"/>
    <n v="0"/>
    <n v="0"/>
    <n v="6631.8300000000036"/>
    <n v="6638.8300000000036"/>
    <n v="7"/>
    <n v="718.35999999999967"/>
    <n v="336.68"/>
    <n v="-381.68"/>
    <n v="5913.470000000003"/>
    <n v="6302.1500000000015"/>
    <n v="388.68000000000006"/>
    <n v="901.51"/>
    <n v="0"/>
    <n v="-901.51"/>
    <n v="5011.96"/>
    <n v="6302.1500000000015"/>
    <n v="1290.1899999999982"/>
    <n v="126"/>
  </r>
  <r>
    <n v="2024"/>
    <n v="7"/>
    <x v="1"/>
    <d v="2024-07-12T00:00:00"/>
    <s v="Rogers"/>
    <x v="1"/>
    <x v="4"/>
    <n v="8850.2999999999993"/>
    <n v="8850.2999999999993"/>
    <n v="0"/>
    <n v="213.20999999999995"/>
    <n v="213.20999999999995"/>
    <n v="0"/>
    <n v="143.91"/>
    <n v="143.91"/>
    <n v="0"/>
    <n v="-2563.9999999999995"/>
    <n v="-2563.9999999999995"/>
    <n v="0"/>
    <n v="-29"/>
    <n v="-29"/>
    <n v="0"/>
    <n v="0"/>
    <n v="0"/>
    <n v="0"/>
    <n v="6614.42"/>
    <n v="6614.42"/>
    <n v="0"/>
    <n v="530.15"/>
    <n v="200.64"/>
    <n v="-329.51"/>
    <n v="6084.2699999999995"/>
    <n v="6413.78"/>
    <n v="329.51"/>
    <n v="940.86000000000035"/>
    <n v="0"/>
    <n v="-940.86000000000035"/>
    <n v="5143.4099999999989"/>
    <n v="6413.78"/>
    <n v="1270.3699999999999"/>
    <n v="122"/>
  </r>
  <r>
    <n v="2024"/>
    <n v="7"/>
    <x v="1"/>
    <d v="2024-07-13T00:00:00"/>
    <s v="Rogers"/>
    <x v="1"/>
    <x v="4"/>
    <n v="11775.099999999999"/>
    <n v="11775.099999999999"/>
    <n v="0"/>
    <n v="81.919999999999987"/>
    <n v="81.919999999999987"/>
    <n v="0"/>
    <n v="176.9"/>
    <n v="176.9"/>
    <n v="0"/>
    <n v="-3927.2999999999993"/>
    <n v="-3927.2999999999993"/>
    <n v="0"/>
    <n v="0"/>
    <n v="0"/>
    <n v="0"/>
    <n v="-10"/>
    <n v="-10"/>
    <n v="0"/>
    <n v="8096.6200000000008"/>
    <n v="8096.6200000000008"/>
    <n v="0"/>
    <n v="460.46000000000015"/>
    <n v="248.99000000000018"/>
    <n v="-211.47"/>
    <n v="7636.1600000000035"/>
    <n v="7847.6300000000037"/>
    <n v="211.47"/>
    <n v="1466.3700000000008"/>
    <n v="23.37"/>
    <n v="-1443.0000000000009"/>
    <n v="6169.78999999999"/>
    <n v="7824.2600000000039"/>
    <n v="1654.4700000000007"/>
    <n v="160"/>
  </r>
  <r>
    <n v="2024"/>
    <n v="7"/>
    <x v="1"/>
    <d v="2024-07-07T00:00:00"/>
    <s v="Rogers"/>
    <x v="1"/>
    <x v="5"/>
    <n v="4869"/>
    <n v="4869"/>
    <n v="0"/>
    <n v="64.950000000000017"/>
    <n v="64.950000000000017"/>
    <n v="0"/>
    <n v="252.84000000000006"/>
    <n v="252.84000000000006"/>
    <n v="0"/>
    <n v="-1306.8"/>
    <n v="-1284.8"/>
    <n v="22"/>
    <n v="0"/>
    <n v="0"/>
    <n v="0"/>
    <n v="-5"/>
    <n v="-5"/>
    <n v="0"/>
    <n v="3874.989999999998"/>
    <n v="3896.989999999998"/>
    <n v="22"/>
    <n v="1445.8900000000006"/>
    <m/>
    <n v="-1445.8900000000006"/>
    <n v="2429.0999999999995"/>
    <n v="3896.989999999998"/>
    <n v="1467.8900000000006"/>
    <n v="-1.51"/>
    <n v="0"/>
    <n v="1.51"/>
    <n v="2430.6099999999992"/>
    <n v="3896.989999999998"/>
    <n v="1466.3800000000006"/>
    <n v="61"/>
  </r>
  <r>
    <n v="2024"/>
    <n v="7"/>
    <x v="1"/>
    <d v="2024-07-08T00:00:00"/>
    <s v="Rogers"/>
    <x v="1"/>
    <x v="5"/>
    <n v="8463"/>
    <n v="8463"/>
    <n v="0"/>
    <n v="131.98000000000002"/>
    <n v="131.98000000000002"/>
    <n v="0"/>
    <n v="359.78000000000009"/>
    <n v="359.78000000000009"/>
    <n v="0"/>
    <n v="-2294.1"/>
    <n v="-2147.1"/>
    <n v="147"/>
    <n v="-10"/>
    <n v="-10"/>
    <n v="0"/>
    <n v="0"/>
    <n v="0"/>
    <n v="0"/>
    <n v="6650.6599999999962"/>
    <n v="6797.6599999999962"/>
    <n v="147"/>
    <n v="1072.5000000000002"/>
    <n v="1072.5000000000002"/>
    <n v="0"/>
    <n v="5578.159999999998"/>
    <n v="5725.159999999998"/>
    <n v="147.00000000000006"/>
    <n v="-599.6"/>
    <n v="0"/>
    <n v="599.6"/>
    <n v="6177.7600000000029"/>
    <n v="5725.159999999998"/>
    <n v="-452.6"/>
    <n v="95"/>
  </r>
  <r>
    <n v="2024"/>
    <n v="7"/>
    <x v="1"/>
    <d v="2024-07-09T00:00:00"/>
    <s v="Rogers"/>
    <x v="1"/>
    <x v="5"/>
    <n v="13290"/>
    <n v="13290"/>
    <n v="0"/>
    <n v="265.95"/>
    <n v="265.95"/>
    <n v="0"/>
    <n v="583.62000000000023"/>
    <n v="583.62000000000023"/>
    <n v="0"/>
    <n v="-3854.5"/>
    <n v="-3693.6"/>
    <n v="160.9"/>
    <n v="-15"/>
    <n v="-15"/>
    <n v="0"/>
    <n v="-15"/>
    <n v="-15"/>
    <n v="0"/>
    <n v="10255.069999999989"/>
    <n v="10415.96999999999"/>
    <n v="160.9"/>
    <n v="2168.6500000000015"/>
    <n v="1121.9000000000001"/>
    <n v="-1046.75"/>
    <n v="8086.4199999999919"/>
    <n v="9294.0699999999888"/>
    <n v="1207.6499999999999"/>
    <n v="-610.15999999999985"/>
    <n v="0"/>
    <n v="610.15999999999985"/>
    <n v="8696.58"/>
    <n v="9294.0699999999888"/>
    <n v="597.48999999999978"/>
    <n v="151"/>
  </r>
  <r>
    <n v="2024"/>
    <n v="7"/>
    <x v="1"/>
    <d v="2024-07-10T00:00:00"/>
    <s v="Rogers"/>
    <x v="1"/>
    <x v="5"/>
    <n v="22702.05"/>
    <n v="22702.05"/>
    <n v="0"/>
    <n v="372.48999999999944"/>
    <n v="372.48999999999944"/>
    <n v="0"/>
    <n v="844.50000000000034"/>
    <n v="844.50000000000034"/>
    <n v="0"/>
    <n v="-5874.02"/>
    <n v="-5541.02"/>
    <n v="333"/>
    <n v="-30"/>
    <n v="-30"/>
    <n v="0"/>
    <n v="-25"/>
    <n v="-25"/>
    <n v="0"/>
    <n v="17990.02"/>
    <n v="18323.02"/>
    <n v="333"/>
    <n v="3397.4900000000034"/>
    <n v="2302.2600000000016"/>
    <n v="-1095.23"/>
    <n v="14592.530000000004"/>
    <n v="16020.760000000004"/>
    <n v="1428.2300000000002"/>
    <n v="-1349.13"/>
    <n v="0"/>
    <n v="1349.13"/>
    <n v="15941.660000000011"/>
    <n v="16020.760000000004"/>
    <n v="79.099999999999852"/>
    <n v="263"/>
  </r>
  <r>
    <n v="2024"/>
    <n v="7"/>
    <x v="1"/>
    <d v="2024-07-11T00:00:00"/>
    <s v="Rogers"/>
    <x v="1"/>
    <x v="5"/>
    <n v="24145.149999999998"/>
    <n v="24145.149999999998"/>
    <n v="0"/>
    <n v="453.35999999999962"/>
    <n v="453.35999999999962"/>
    <n v="0"/>
    <n v="745.5400000000003"/>
    <n v="745.5400000000003"/>
    <n v="0"/>
    <n v="-6719.42"/>
    <n v="-6428.42"/>
    <n v="291"/>
    <n v="-40"/>
    <n v="-40"/>
    <n v="0"/>
    <n v="-15"/>
    <n v="-15"/>
    <n v="0"/>
    <n v="18569.629999999997"/>
    <n v="18860.629999999997"/>
    <n v="291"/>
    <n v="4422.2200000000057"/>
    <n v="2119.9600000000014"/>
    <n v="-2302.2600000000011"/>
    <n v="14147.410000000005"/>
    <n v="16740.669999999998"/>
    <n v="2593.260000000002"/>
    <n v="-1178.1900000000005"/>
    <n v="0"/>
    <n v="1178.1900000000005"/>
    <n v="15325.600000000002"/>
    <n v="16740.669999999998"/>
    <n v="1415.0699999999983"/>
    <n v="292"/>
  </r>
  <r>
    <n v="2024"/>
    <n v="7"/>
    <x v="1"/>
    <d v="2024-07-12T00:00:00"/>
    <s v="Rogers"/>
    <x v="1"/>
    <x v="5"/>
    <n v="21006.1"/>
    <n v="21006.1"/>
    <n v="0"/>
    <n v="576.50999999999976"/>
    <n v="576.50999999999976"/>
    <n v="0"/>
    <n v="960.42000000000041"/>
    <n v="960.42000000000041"/>
    <n v="0"/>
    <n v="-6189.14"/>
    <n v="-6115.14"/>
    <n v="74"/>
    <n v="-25"/>
    <n v="-25"/>
    <n v="0"/>
    <n v="-30"/>
    <n v="-30"/>
    <n v="0"/>
    <n v="16298.889999999987"/>
    <n v="16372.889999999987"/>
    <n v="74"/>
    <n v="3875.2800000000057"/>
    <n v="1755.3200000000006"/>
    <n v="-2119.9600000000019"/>
    <n v="12423.610000000002"/>
    <n v="14617.57"/>
    <n v="2193.9600000000014"/>
    <n v="-916.25000000000023"/>
    <n v="0"/>
    <n v="916.25000000000023"/>
    <n v="13339.860000000004"/>
    <n v="14617.57"/>
    <n v="1277.7100000000003"/>
    <n v="248"/>
  </r>
  <r>
    <n v="2024"/>
    <n v="7"/>
    <x v="1"/>
    <d v="2024-07-13T00:00:00"/>
    <s v="Rogers"/>
    <x v="1"/>
    <x v="5"/>
    <n v="20702.149999999998"/>
    <n v="20702.149999999998"/>
    <n v="0"/>
    <n v="393.10999999999973"/>
    <n v="393.10999999999973"/>
    <n v="0"/>
    <n v="849.50000000000034"/>
    <n v="849.50000000000034"/>
    <n v="0"/>
    <n v="-6144.8"/>
    <n v="-5850.8"/>
    <n v="294"/>
    <n v="-15"/>
    <n v="-15"/>
    <n v="0"/>
    <n v="-45.99"/>
    <n v="-45.99"/>
    <n v="0"/>
    <n v="15738.96999999999"/>
    <n v="16032.96999999999"/>
    <n v="294"/>
    <n v="3338.9600000000041"/>
    <n v="1557.8900000000008"/>
    <n v="-1781.0700000000013"/>
    <n v="12400.010000000004"/>
    <n v="14475.079999999996"/>
    <n v="2075.0700000000015"/>
    <n v="-895.63999999999987"/>
    <n v="0"/>
    <n v="895.63999999999987"/>
    <n v="13295.650000000001"/>
    <n v="14475.079999999996"/>
    <n v="1179.4300000000007"/>
    <n v="245"/>
  </r>
  <r>
    <n v="2024"/>
    <n v="7"/>
    <x v="1"/>
    <d v="2024-07-07T00:00:00"/>
    <s v="Rogers"/>
    <x v="1"/>
    <x v="6"/>
    <n v="2448.8000000000002"/>
    <n v="2448.8000000000002"/>
    <n v="0"/>
    <n v="0"/>
    <n v="0"/>
    <n v="0"/>
    <n v="0"/>
    <n v="0"/>
    <n v="0"/>
    <n v="-714.30000000000007"/>
    <n v="-714.30000000000007"/>
    <n v="0"/>
    <n v="0"/>
    <n v="0"/>
    <n v="0"/>
    <n v="0"/>
    <n v="0"/>
    <n v="0"/>
    <n v="1734.5"/>
    <n v="1734.5"/>
    <n v="0"/>
    <n v="8.33"/>
    <m/>
    <n v="-8.33"/>
    <n v="1726.17"/>
    <n v="1734.5"/>
    <n v="8.3299999999999983"/>
    <n v="573.75000000000011"/>
    <n v="0"/>
    <n v="-573.75000000000011"/>
    <n v="1152.4199999999998"/>
    <n v="1734.5"/>
    <n v="582.08000000000004"/>
    <n v="38"/>
  </r>
  <r>
    <n v="2024"/>
    <n v="7"/>
    <x v="1"/>
    <d v="2024-07-08T00:00:00"/>
    <s v="Rogers"/>
    <x v="1"/>
    <x v="6"/>
    <n v="1393.5"/>
    <n v="1393.5"/>
    <n v="0"/>
    <n v="0"/>
    <n v="0"/>
    <n v="0"/>
    <n v="0"/>
    <n v="0"/>
    <n v="0"/>
    <n v="-371.65000000000003"/>
    <n v="-371.65000000000003"/>
    <n v="0"/>
    <n v="0"/>
    <n v="0"/>
    <n v="0"/>
    <n v="0"/>
    <n v="0"/>
    <n v="0"/>
    <n v="1021.8500000000003"/>
    <n v="1021.8500000000003"/>
    <n v="0"/>
    <m/>
    <m/>
    <n v="0"/>
    <n v="1021.8500000000003"/>
    <n v="1021.8500000000003"/>
    <n v="0"/>
    <n v="374.55"/>
    <n v="0"/>
    <n v="-374.55"/>
    <n v="647.29999999999995"/>
    <n v="1021.8500000000003"/>
    <n v="374.55"/>
    <n v="23"/>
  </r>
  <r>
    <n v="2024"/>
    <n v="7"/>
    <x v="1"/>
    <d v="2024-07-09T00:00:00"/>
    <s v="Rogers"/>
    <x v="1"/>
    <x v="6"/>
    <n v="45"/>
    <n v="45"/>
    <n v="0"/>
    <n v="0"/>
    <n v="0"/>
    <n v="0"/>
    <n v="0"/>
    <n v="0"/>
    <n v="0"/>
    <n v="0"/>
    <n v="0"/>
    <n v="0"/>
    <n v="0"/>
    <n v="0"/>
    <n v="0"/>
    <n v="0"/>
    <n v="0"/>
    <n v="0"/>
    <n v="45"/>
    <n v="45"/>
    <n v="0"/>
    <m/>
    <m/>
    <n v="0"/>
    <n v="45"/>
    <n v="45"/>
    <n v="0"/>
    <n v="18.03"/>
    <n v="0"/>
    <n v="-18.03"/>
    <n v="26.97"/>
    <n v="45"/>
    <n v="18.03"/>
    <n v="1"/>
  </r>
  <r>
    <n v="2024"/>
    <n v="7"/>
    <x v="1"/>
    <d v="2024-07-10T00:00:00"/>
    <s v="Rogers"/>
    <x v="1"/>
    <x v="6"/>
    <n v="1764.6999999999998"/>
    <n v="1764.6999999999998"/>
    <n v="0"/>
    <n v="62.5"/>
    <n v="62.5"/>
    <n v="0"/>
    <n v="0"/>
    <n v="0"/>
    <n v="0"/>
    <n v="-522.65"/>
    <n v="-522.65"/>
    <n v="0"/>
    <n v="-16"/>
    <n v="-16"/>
    <n v="0"/>
    <n v="0"/>
    <n v="0"/>
    <n v="0"/>
    <n v="1288.5500000000002"/>
    <n v="1288.5500000000002"/>
    <n v="0"/>
    <n v="73.38000000000001"/>
    <n v="73.38000000000001"/>
    <n v="0"/>
    <n v="1215.17"/>
    <n v="1215.17"/>
    <n v="0"/>
    <n v="247.81"/>
    <n v="0"/>
    <n v="-247.81"/>
    <n v="967.35999999999979"/>
    <n v="1215.17"/>
    <n v="247.81"/>
    <n v="30"/>
  </r>
  <r>
    <n v="2024"/>
    <n v="7"/>
    <x v="1"/>
    <d v="2024-07-11T00:00:00"/>
    <s v="Rogers"/>
    <x v="1"/>
    <x v="6"/>
    <n v="3879.9"/>
    <n v="3879.9"/>
    <n v="0"/>
    <n v="30"/>
    <n v="30"/>
    <n v="0"/>
    <n v="0"/>
    <n v="0"/>
    <n v="0"/>
    <n v="-945.84999999999991"/>
    <n v="-941.38999999999987"/>
    <n v="4.4600000000000009"/>
    <n v="-12"/>
    <n v="-12"/>
    <n v="0"/>
    <n v="0"/>
    <n v="0"/>
    <n v="0"/>
    <n v="2952.0499999999993"/>
    <n v="2956.5099999999993"/>
    <n v="4.4600000000000009"/>
    <n v="155.05000000000001"/>
    <n v="81.67"/>
    <n v="-73.38000000000001"/>
    <n v="2796.9999999999991"/>
    <n v="2874.8399999999992"/>
    <n v="77.84"/>
    <n v="879.31000000000006"/>
    <n v="0"/>
    <n v="-879.31000000000006"/>
    <n v="1917.69"/>
    <n v="2874.8399999999992"/>
    <n v="957.15000000000009"/>
    <n v="66"/>
  </r>
  <r>
    <n v="2024"/>
    <n v="7"/>
    <x v="1"/>
    <d v="2024-07-12T00:00:00"/>
    <s v="Rogers"/>
    <x v="1"/>
    <x v="6"/>
    <n v="7392.7500000000055"/>
    <n v="7392.7500000000055"/>
    <n v="0"/>
    <n v="218.7"/>
    <n v="218.7"/>
    <n v="0"/>
    <n v="0"/>
    <n v="0"/>
    <n v="0"/>
    <n v="-1660.8500000000001"/>
    <n v="-1660.8500000000001"/>
    <n v="0"/>
    <n v="-61"/>
    <n v="-61"/>
    <n v="0"/>
    <n v="0"/>
    <n v="0"/>
    <n v="0"/>
    <n v="5889.6000000000058"/>
    <n v="5889.6000000000058"/>
    <n v="0"/>
    <n v="141.67000000000002"/>
    <n v="60"/>
    <n v="-81.67"/>
    <n v="5747.9300000000057"/>
    <n v="5829.6000000000058"/>
    <n v="81.67"/>
    <n v="1107.5300000000004"/>
    <n v="0"/>
    <n v="-1107.5300000000004"/>
    <n v="4640.4000000000024"/>
    <n v="5829.6000000000058"/>
    <n v="1189.2"/>
    <n v="139"/>
  </r>
  <r>
    <n v="2024"/>
    <n v="7"/>
    <x v="1"/>
    <d v="2024-07-13T00:00:00"/>
    <s v="Rogers"/>
    <x v="1"/>
    <x v="6"/>
    <n v="7017.5000000000045"/>
    <n v="7017.5000000000045"/>
    <n v="0"/>
    <n v="52.5"/>
    <n v="52.5"/>
    <n v="0"/>
    <n v="0"/>
    <n v="0"/>
    <n v="0"/>
    <n v="-1351.6499999999999"/>
    <n v="-1351.6499999999999"/>
    <n v="0"/>
    <n v="-16"/>
    <n v="-16"/>
    <n v="0"/>
    <n v="0"/>
    <n v="0"/>
    <n v="0"/>
    <n v="5702.3500000000031"/>
    <n v="5702.3500000000031"/>
    <n v="0"/>
    <n v="85.75"/>
    <n v="25.75"/>
    <n v="-60"/>
    <n v="5616.6000000000031"/>
    <n v="5676.6000000000031"/>
    <n v="60"/>
    <n v="1397.2199999999993"/>
    <n v="0"/>
    <n v="-1397.2199999999993"/>
    <n v="4219.3799999999983"/>
    <n v="5676.6000000000031"/>
    <n v="1457.2199999999993"/>
    <n v="129"/>
  </r>
  <r>
    <n v="2024"/>
    <n v="7"/>
    <x v="2"/>
    <d v="2024-07-14T00:00:00"/>
    <s v="Fido"/>
    <x v="0"/>
    <x v="0"/>
    <n v="99438.25"/>
    <n v="99438.25"/>
    <n v="0"/>
    <n v="1044.2900000000063"/>
    <n v="1044.2900000000063"/>
    <n v="0"/>
    <n v="2342.2499999999964"/>
    <n v="2342.2499999999964"/>
    <n v="0"/>
    <n v="-8660"/>
    <n v="-7888"/>
    <n v="772"/>
    <n v="-2.8600000000000003"/>
    <n v="-2.8600000000000003"/>
    <n v="0"/>
    <n v="-25"/>
    <n v="-25"/>
    <n v="0"/>
    <n v="94136.930000000546"/>
    <n v="94908.930000000575"/>
    <n v="772"/>
    <n v="42745.279999999286"/>
    <n v="22333.709999999886"/>
    <n v="-20411.569999999887"/>
    <n v="51391.650000000409"/>
    <n v="72575.220000000045"/>
    <n v="21183.56999999988"/>
    <n v="-10751.939999999984"/>
    <n v="0"/>
    <n v="10751.939999999984"/>
    <n v="62143.590000000331"/>
    <n v="72575.220000000045"/>
    <n v="10431.630000000012"/>
    <n v="1756"/>
  </r>
  <r>
    <n v="2024"/>
    <n v="7"/>
    <x v="2"/>
    <d v="2024-07-15T00:00:00"/>
    <s v="Fido"/>
    <x v="0"/>
    <x v="0"/>
    <n v="90968.5"/>
    <n v="90968.5"/>
    <n v="0"/>
    <n v="910.66000000001202"/>
    <n v="910.66000000001202"/>
    <n v="0"/>
    <n v="2534.1399999999931"/>
    <n v="2534.1399999999931"/>
    <n v="0"/>
    <n v="-7624.5"/>
    <n v="-6825.5"/>
    <n v="799"/>
    <n v="-3.3800000000000003"/>
    <n v="-3.3800000000000003"/>
    <n v="0"/>
    <n v="-50"/>
    <n v="-50"/>
    <n v="0"/>
    <n v="86735.420000000187"/>
    <n v="87534.420000000217"/>
    <n v="799"/>
    <n v="37346.039999999448"/>
    <n v="14750.35999999995"/>
    <n v="-22595.679999999873"/>
    <n v="49389.380000000361"/>
    <n v="72784.06"/>
    <n v="23394.679999999866"/>
    <n v="-7228.6599999999971"/>
    <n v="0"/>
    <n v="7228.6599999999971"/>
    <n v="56618.040000000357"/>
    <n v="72784.06"/>
    <n v="16166.019999999948"/>
    <n v="1614"/>
  </r>
  <r>
    <n v="2024"/>
    <n v="7"/>
    <x v="2"/>
    <d v="2024-07-16T00:00:00"/>
    <s v="Fido"/>
    <x v="0"/>
    <x v="0"/>
    <n v="80494.25"/>
    <n v="80494.25"/>
    <n v="0"/>
    <n v="809.68000000000279"/>
    <n v="809.68000000000279"/>
    <n v="0"/>
    <n v="2232.4399999999982"/>
    <n v="2232.4399999999982"/>
    <n v="0"/>
    <n v="-6368.7"/>
    <n v="-5776.7"/>
    <n v="592"/>
    <n v="-3.22"/>
    <n v="-3.22"/>
    <n v="0"/>
    <n v="-60"/>
    <n v="-60"/>
    <n v="0"/>
    <n v="77104.449999999983"/>
    <n v="77696.45"/>
    <n v="592"/>
    <n v="31106.179999999698"/>
    <n v="16584.209999999934"/>
    <n v="-14521.969999999961"/>
    <n v="45998.270000000346"/>
    <n v="61112.240000000034"/>
    <n v="15113.969999999956"/>
    <n v="-7922.74999999999"/>
    <n v="0"/>
    <n v="7922.74999999999"/>
    <n v="53921.020000000331"/>
    <n v="61112.240000000034"/>
    <n v="7191.2200000000412"/>
    <n v="1444"/>
  </r>
  <r>
    <n v="2024"/>
    <n v="7"/>
    <x v="2"/>
    <d v="2024-07-17T00:00:00"/>
    <s v="Fido"/>
    <x v="0"/>
    <x v="0"/>
    <n v="95798.75"/>
    <n v="95798.75"/>
    <n v="0"/>
    <n v="1059.9200000000137"/>
    <n v="1059.9200000000137"/>
    <n v="0"/>
    <n v="2332.3899999999971"/>
    <n v="2332.3899999999971"/>
    <n v="0"/>
    <n v="-7780.6"/>
    <n v="-6908.6"/>
    <n v="872"/>
    <n v="-3.47"/>
    <n v="-3.47"/>
    <n v="0"/>
    <n v="-60"/>
    <n v="-60"/>
    <n v="0"/>
    <n v="91346.990000000485"/>
    <n v="92218.9900000005"/>
    <n v="872"/>
    <n v="38517.739999999481"/>
    <n v="21956.569999999883"/>
    <n v="-16561.169999999925"/>
    <n v="52829.250000000407"/>
    <n v="70262.419999999984"/>
    <n v="17433.169999999922"/>
    <n v="-10384.179999999998"/>
    <n v="0"/>
    <n v="10384.179999999998"/>
    <n v="63213.430000000255"/>
    <n v="70262.419999999984"/>
    <n v="7048.9900000000271"/>
    <n v="1719"/>
  </r>
  <r>
    <n v="2024"/>
    <n v="7"/>
    <x v="2"/>
    <d v="2024-07-18T00:00:00"/>
    <s v="Fido"/>
    <x v="0"/>
    <x v="0"/>
    <n v="94146.5"/>
    <n v="94146.5"/>
    <n v="0"/>
    <n v="1104.8200000000079"/>
    <n v="1097.8200000000074"/>
    <n v="-7"/>
    <n v="2395.3199999999961"/>
    <n v="2395.3199999999961"/>
    <n v="0"/>
    <n v="-7353.9500000000007"/>
    <n v="-7034.9500000000007"/>
    <n v="319"/>
    <n v="-1.77"/>
    <n v="-1.77"/>
    <n v="0"/>
    <n v="-65"/>
    <n v="-65"/>
    <n v="0"/>
    <n v="90225.920000000449"/>
    <n v="90537.920000000449"/>
    <n v="312"/>
    <n v="37066.41999999946"/>
    <n v="15172.47999999996"/>
    <n v="-21893.939999999817"/>
    <n v="53159.500000000342"/>
    <n v="75365.440000000046"/>
    <n v="22205.939999999817"/>
    <n v="-7054.5499999999902"/>
    <n v="0"/>
    <n v="7054.5499999999902"/>
    <n v="60214.050000000323"/>
    <n v="75365.440000000046"/>
    <n v="15151.389999999916"/>
    <n v="1706"/>
  </r>
  <r>
    <n v="2024"/>
    <n v="7"/>
    <x v="2"/>
    <d v="2024-07-19T00:00:00"/>
    <s v="Fido"/>
    <x v="0"/>
    <x v="0"/>
    <n v="77586.25"/>
    <n v="77586.25"/>
    <n v="0"/>
    <n v="957.36000000001172"/>
    <n v="950.36000000001172"/>
    <n v="-7"/>
    <n v="2214.4599999999987"/>
    <n v="2214.4599999999987"/>
    <n v="0"/>
    <n v="-6515.85"/>
    <n v="-5734.85"/>
    <n v="781"/>
    <n v="-1.61"/>
    <n v="-1.1500000000000001"/>
    <n v="0.46"/>
    <n v="-85.99"/>
    <n v="-85.99"/>
    <n v="0"/>
    <n v="74154.619999999893"/>
    <n v="74929.079999999929"/>
    <n v="774.46"/>
    <n v="25960.689999999831"/>
    <n v="10771.049999999996"/>
    <n v="-15189.639999999961"/>
    <n v="48193.930000000299"/>
    <n v="64158.029999999912"/>
    <n v="15964.099999999957"/>
    <n v="-5024.7700000000041"/>
    <n v="0"/>
    <n v="5024.7700000000041"/>
    <n v="53218.700000000179"/>
    <n v="64158.029999999912"/>
    <n v="10939.329999999978"/>
    <n v="1400"/>
  </r>
  <r>
    <n v="2024"/>
    <n v="7"/>
    <x v="2"/>
    <d v="2024-07-20T00:00:00"/>
    <s v="Fido"/>
    <x v="0"/>
    <x v="0"/>
    <n v="79211"/>
    <n v="79211"/>
    <n v="0"/>
    <n v="1084.8300000000065"/>
    <n v="1077.8300000000065"/>
    <n v="-7"/>
    <n v="2408.2799999999957"/>
    <n v="2408.2799999999957"/>
    <n v="0"/>
    <n v="-6877"/>
    <n v="-6201"/>
    <n v="676"/>
    <n v="-2.33"/>
    <n v="-2.33"/>
    <n v="0"/>
    <n v="-90.990000000000009"/>
    <n v="-90.990000000000009"/>
    <n v="0"/>
    <n v="75733.789999999863"/>
    <n v="76402.789999999906"/>
    <n v="669"/>
    <n v="22919.519999999844"/>
    <n v="11924.72999999999"/>
    <n v="-10994.789999999992"/>
    <n v="52814.270000000266"/>
    <n v="64478.059999999925"/>
    <n v="11663.789999999985"/>
    <n v="-5598.33"/>
    <n v="0"/>
    <n v="5598.33"/>
    <n v="58412.60000000021"/>
    <n v="64478.059999999925"/>
    <n v="6065.4600000000173"/>
    <n v="1422"/>
  </r>
  <r>
    <n v="2024"/>
    <n v="7"/>
    <x v="2"/>
    <d v="2024-07-14T00:00:00"/>
    <s v="Rogers"/>
    <x v="0"/>
    <x v="1"/>
    <n v="130957"/>
    <n v="130957"/>
    <n v="0"/>
    <n v="1000.0300000000083"/>
    <n v="1000.0300000000083"/>
    <n v="0"/>
    <n v="5607.3999999999514"/>
    <n v="5526.4599999999527"/>
    <n v="-80.94"/>
    <n v="-20642.95"/>
    <n v="-19809.95"/>
    <n v="833"/>
    <n v="-7.8100000000000014"/>
    <n v="-7.8100000000000014"/>
    <n v="0"/>
    <n v="-205.06000000000003"/>
    <n v="-205.06000000000003"/>
    <n v="0"/>
    <n v="116708.6100000008"/>
    <n v="117460.67000000078"/>
    <n v="752.06"/>
    <n v="31321.009999999806"/>
    <n v="15441.889999999952"/>
    <n v="-15879.11999999995"/>
    <n v="85387.600000000515"/>
    <n v="102018.78000000062"/>
    <n v="16631.179999999949"/>
    <n v="-7995.84"/>
    <n v="0"/>
    <n v="7995.84"/>
    <n v="93383.440000000235"/>
    <n v="102018.78000000062"/>
    <n v="8635.3400000000202"/>
    <n v="1716"/>
  </r>
  <r>
    <n v="2024"/>
    <n v="7"/>
    <x v="2"/>
    <d v="2024-07-15T00:00:00"/>
    <s v="Rogers"/>
    <x v="0"/>
    <x v="1"/>
    <n v="108514"/>
    <n v="108514"/>
    <n v="0"/>
    <n v="643.42000000000019"/>
    <n v="643.42000000000019"/>
    <n v="0"/>
    <n v="5225.649999999956"/>
    <n v="5225.649999999956"/>
    <n v="0"/>
    <n v="-17208.400000000001"/>
    <n v="-16391.400000000001"/>
    <n v="817"/>
    <n v="-1.7300000000000002"/>
    <n v="-1.7300000000000002"/>
    <n v="0"/>
    <n v="-119.17999999999999"/>
    <n v="-119.17999999999999"/>
    <n v="0"/>
    <n v="97053.760000000344"/>
    <n v="97870.760000000359"/>
    <n v="817"/>
    <n v="26228.389999999832"/>
    <n v="11141.669999999991"/>
    <n v="-15086.719999999941"/>
    <n v="70825.370000000257"/>
    <n v="86729.0900000002"/>
    <n v="15903.719999999934"/>
    <n v="-6000.8200000000033"/>
    <n v="0"/>
    <n v="6000.8200000000033"/>
    <n v="76826.19000000009"/>
    <n v="86729.0900000002"/>
    <n v="9902.8999999999851"/>
    <n v="1405"/>
  </r>
  <r>
    <n v="2024"/>
    <n v="7"/>
    <x v="2"/>
    <d v="2024-07-16T00:00:00"/>
    <s v="Rogers"/>
    <x v="0"/>
    <x v="1"/>
    <n v="91645"/>
    <n v="91645"/>
    <n v="0"/>
    <n v="617.050000000002"/>
    <n v="617.050000000002"/>
    <n v="0"/>
    <n v="4020.4199999999737"/>
    <n v="4004.4299999999739"/>
    <n v="-15.99"/>
    <n v="-14149.15"/>
    <n v="-13457.15"/>
    <n v="692"/>
    <n v="-1.06"/>
    <n v="-1.06"/>
    <n v="0"/>
    <n v="-76.59"/>
    <n v="-76.59"/>
    <n v="0"/>
    <n v="82055.670000000129"/>
    <n v="82731.680000000139"/>
    <n v="676.01"/>
    <n v="20399.919999999864"/>
    <n v="9435.7299999999977"/>
    <n v="-10964.189999999977"/>
    <n v="61655.750000000131"/>
    <n v="73295.950000000084"/>
    <n v="11640.19999999997"/>
    <n v="-4906.0800000000008"/>
    <n v="0"/>
    <n v="4906.0800000000008"/>
    <n v="66561.830000000089"/>
    <n v="73295.950000000084"/>
    <n v="6734.1200000000199"/>
    <n v="1169"/>
  </r>
  <r>
    <n v="2024"/>
    <n v="7"/>
    <x v="2"/>
    <d v="2024-07-17T00:00:00"/>
    <s v="Rogers"/>
    <x v="0"/>
    <x v="1"/>
    <n v="118102"/>
    <n v="118102"/>
    <n v="0"/>
    <n v="761.64000000000283"/>
    <n v="761.64000000000283"/>
    <n v="0"/>
    <n v="4855.8999999999614"/>
    <n v="4820.9199999999619"/>
    <n v="-34.980000000000004"/>
    <n v="-18356.2"/>
    <n v="-17485.95"/>
    <n v="870.25"/>
    <n v="-1.81"/>
    <n v="-1.81"/>
    <n v="0"/>
    <n v="-86.990000000000009"/>
    <n v="-86.990000000000009"/>
    <n v="0"/>
    <n v="105274.5400000004"/>
    <n v="106109.81000000042"/>
    <n v="835.27"/>
    <n v="24817.389999999839"/>
    <n v="15698.409999999951"/>
    <n v="-9118.9800000000014"/>
    <n v="80457.150000000169"/>
    <n v="90411.400000000183"/>
    <n v="9954.2499999999964"/>
    <n v="-8061.6399999999994"/>
    <n v="0"/>
    <n v="8061.6399999999994"/>
    <n v="88518.790000000154"/>
    <n v="90411.400000000183"/>
    <n v="1892.6100000000038"/>
    <n v="1516"/>
  </r>
  <r>
    <n v="2024"/>
    <n v="7"/>
    <x v="2"/>
    <d v="2024-07-18T00:00:00"/>
    <s v="Rogers"/>
    <x v="0"/>
    <x v="1"/>
    <n v="126549"/>
    <n v="126549"/>
    <n v="0"/>
    <n v="921.70000000000834"/>
    <n v="921.70000000000834"/>
    <n v="0"/>
    <n v="5253.5499999999556"/>
    <n v="5218.5699999999561"/>
    <n v="-34.980000000000004"/>
    <n v="-19933.45"/>
    <n v="-19394.95"/>
    <n v="538.5"/>
    <n v="-2.2400000000000002"/>
    <n v="-2.2400000000000002"/>
    <n v="0"/>
    <n v="-88.49"/>
    <n v="-88.49"/>
    <n v="0"/>
    <n v="112700.07000000076"/>
    <n v="113203.59000000075"/>
    <n v="503.52"/>
    <n v="25870.899999999845"/>
    <n v="10261.570000000011"/>
    <n v="-15609.32999999994"/>
    <n v="86829.170000000449"/>
    <n v="102942.02000000046"/>
    <n v="16112.849999999937"/>
    <n v="-5275.2000000000007"/>
    <n v="0"/>
    <n v="5275.2000000000007"/>
    <n v="92104.370000000214"/>
    <n v="102942.02000000046"/>
    <n v="10837.649999999978"/>
    <n v="1624"/>
  </r>
  <r>
    <n v="2024"/>
    <n v="7"/>
    <x v="2"/>
    <d v="2024-07-19T00:00:00"/>
    <s v="Rogers"/>
    <x v="0"/>
    <x v="1"/>
    <n v="113278"/>
    <n v="113278"/>
    <n v="0"/>
    <n v="674.15000000000168"/>
    <n v="674.15000000000168"/>
    <n v="0"/>
    <n v="4788.7799999999606"/>
    <n v="4788.7799999999606"/>
    <n v="0"/>
    <n v="-17362"/>
    <n v="-16354"/>
    <n v="1008"/>
    <n v="-0.46"/>
    <n v="-0.46"/>
    <n v="0"/>
    <n v="-39.5"/>
    <n v="-39.5"/>
    <n v="0"/>
    <n v="101338.97000000039"/>
    <n v="102346.97000000039"/>
    <n v="1008"/>
    <n v="19229.289999999884"/>
    <n v="9004.3500000000149"/>
    <n v="-10224.940000000002"/>
    <n v="82109.680000000226"/>
    <n v="93342.620000000301"/>
    <n v="11232.939999999999"/>
    <n v="-4688.7800000000016"/>
    <n v="0"/>
    <n v="4688.7800000000016"/>
    <n v="86798.460000000021"/>
    <n v="93342.620000000301"/>
    <n v="6544.1600000000126"/>
    <n v="1475"/>
  </r>
  <r>
    <n v="2024"/>
    <n v="7"/>
    <x v="2"/>
    <d v="2024-07-20T00:00:00"/>
    <s v="Rogers"/>
    <x v="0"/>
    <x v="1"/>
    <n v="111035"/>
    <n v="111035"/>
    <n v="0"/>
    <n v="826.73000000000775"/>
    <n v="826.73000000000775"/>
    <n v="0"/>
    <n v="4756.7499999999609"/>
    <n v="4718.7699999999613"/>
    <n v="-37.980000000000004"/>
    <n v="-17063.75"/>
    <n v="-16272.25"/>
    <n v="791.5"/>
    <n v="-10.86"/>
    <n v="-10.86"/>
    <n v="0"/>
    <n v="-99.3"/>
    <n v="-99.3"/>
    <n v="0"/>
    <n v="99444.570000000473"/>
    <n v="100198.09000000048"/>
    <n v="753.52"/>
    <n v="16803.859999999935"/>
    <n v="7861.9600000000228"/>
    <n v="-8941.9000000000106"/>
    <n v="82640.710000000312"/>
    <n v="92336.130000000296"/>
    <n v="9695.4200000000055"/>
    <n v="-4162.6699999999983"/>
    <n v="0"/>
    <n v="4162.6699999999983"/>
    <n v="86803.380000000121"/>
    <n v="92336.130000000296"/>
    <n v="5532.7500000000355"/>
    <n v="1451"/>
  </r>
  <r>
    <n v="2024"/>
    <n v="7"/>
    <x v="2"/>
    <d v="2024-07-14T00:00:00"/>
    <s v="Rogers"/>
    <x v="0"/>
    <x v="2"/>
    <n v="40853.08"/>
    <n v="40853.08"/>
    <n v="0"/>
    <n v="218.92999999999992"/>
    <n v="218.92999999999992"/>
    <n v="0"/>
    <n v="895.46000000000038"/>
    <n v="895.46000000000038"/>
    <n v="0"/>
    <n v="-13282.830000000002"/>
    <n v="-13018.830000000002"/>
    <n v="264"/>
    <n v="-0.94000000000000006"/>
    <n v="-0.94000000000000006"/>
    <n v="0"/>
    <n v="-4.8"/>
    <n v="-4.8"/>
    <n v="0"/>
    <n v="28678.899999999994"/>
    <n v="28942.899999999994"/>
    <n v="264"/>
    <n v="10506.619999999995"/>
    <n v="4844.9500000000053"/>
    <n v="-5661.6700000000055"/>
    <n v="18172.28000000001"/>
    <n v="24097.950000000004"/>
    <n v="5925.6700000000064"/>
    <n v="-1449.23"/>
    <n v="0"/>
    <n v="1449.23"/>
    <n v="19621.509999999991"/>
    <n v="24097.950000000004"/>
    <n v="4476.4400000000041"/>
    <n v="479"/>
  </r>
  <r>
    <n v="2024"/>
    <n v="7"/>
    <x v="2"/>
    <d v="2024-07-15T00:00:00"/>
    <s v="Rogers"/>
    <x v="0"/>
    <x v="2"/>
    <n v="29577.22"/>
    <n v="29577.22"/>
    <n v="0"/>
    <n v="87.210000000000008"/>
    <n v="87.210000000000008"/>
    <n v="0"/>
    <n v="882.47000000000037"/>
    <n v="882.47000000000037"/>
    <n v="0"/>
    <n v="-10263.820000000002"/>
    <n v="-10007.820000000002"/>
    <n v="256"/>
    <n v="0"/>
    <n v="0"/>
    <n v="0"/>
    <n v="-4.8"/>
    <n v="-4.8"/>
    <n v="0"/>
    <n v="20278.280000000006"/>
    <n v="20534.280000000006"/>
    <n v="256"/>
    <n v="7584.7400000000098"/>
    <n v="2949.550000000002"/>
    <n v="-4635.1900000000051"/>
    <n v="12693.540000000003"/>
    <n v="17584.730000000003"/>
    <n v="4891.1900000000041"/>
    <n v="-1161.1399999999999"/>
    <n v="0"/>
    <n v="1161.1399999999999"/>
    <n v="13854.68"/>
    <n v="17584.730000000003"/>
    <n v="3730.0500000000015"/>
    <n v="329"/>
  </r>
  <r>
    <n v="2024"/>
    <n v="7"/>
    <x v="2"/>
    <d v="2024-07-16T00:00:00"/>
    <s v="Rogers"/>
    <x v="0"/>
    <x v="2"/>
    <n v="20331.43"/>
    <n v="20331.43"/>
    <n v="0"/>
    <n v="80.259999999999948"/>
    <n v="80.259999999999948"/>
    <n v="0"/>
    <n v="429.74000000000012"/>
    <n v="429.74000000000012"/>
    <n v="0"/>
    <n v="-6916.8300000000017"/>
    <n v="-6788.8300000000017"/>
    <n v="128"/>
    <n v="0"/>
    <n v="0"/>
    <n v="0"/>
    <n v="0"/>
    <n v="0"/>
    <n v="0"/>
    <n v="13924.599999999984"/>
    <n v="14052.599999999984"/>
    <n v="128"/>
    <n v="4704.9300000000057"/>
    <n v="1818.7600000000002"/>
    <n v="-2886.1700000000028"/>
    <n v="9219.6699999999928"/>
    <n v="12233.839999999991"/>
    <n v="3014.1700000000028"/>
    <n v="-693.2299999999999"/>
    <n v="0"/>
    <n v="693.2299999999999"/>
    <n v="9912.9000000000051"/>
    <n v="12233.839999999991"/>
    <n v="2320.9400000000014"/>
    <n v="229"/>
  </r>
  <r>
    <n v="2024"/>
    <n v="7"/>
    <x v="2"/>
    <d v="2024-07-17T00:00:00"/>
    <s v="Rogers"/>
    <x v="0"/>
    <x v="2"/>
    <n v="33034.01"/>
    <n v="33034.01"/>
    <n v="0"/>
    <n v="245.7000000000001"/>
    <n v="245.7000000000001"/>
    <n v="0"/>
    <n v="819.46000000000038"/>
    <n v="819.46000000000038"/>
    <n v="0"/>
    <n v="-11077.970000000003"/>
    <n v="-10802.760000000002"/>
    <n v="275.21000000000004"/>
    <n v="0"/>
    <n v="0"/>
    <n v="0"/>
    <n v="-5"/>
    <n v="-5"/>
    <n v="0"/>
    <n v="23016.200000000008"/>
    <n v="23291.410000000011"/>
    <n v="275.21000000000004"/>
    <n v="6881.1700000000092"/>
    <n v="5100.0400000000063"/>
    <n v="-1781.1300000000003"/>
    <n v="16135.030000000012"/>
    <n v="18191.370000000003"/>
    <n v="2056.34"/>
    <n v="-1546.7799999999979"/>
    <n v="0"/>
    <n v="1546.7799999999979"/>
    <n v="17681.809999999994"/>
    <n v="18191.370000000003"/>
    <n v="509.55999999999989"/>
    <n v="387"/>
  </r>
  <r>
    <n v="2024"/>
    <n v="7"/>
    <x v="2"/>
    <d v="2024-07-18T00:00:00"/>
    <s v="Rogers"/>
    <x v="0"/>
    <x v="2"/>
    <n v="40991.22"/>
    <n v="40991.22"/>
    <n v="0"/>
    <n v="241.98000000000002"/>
    <n v="241.98000000000002"/>
    <n v="0"/>
    <n v="1013.3300000000005"/>
    <n v="1000.3400000000005"/>
    <n v="-12.99"/>
    <n v="-13454.96"/>
    <n v="-13421.96"/>
    <n v="33"/>
    <n v="0"/>
    <n v="0"/>
    <n v="0"/>
    <n v="-25"/>
    <n v="-25"/>
    <n v="0"/>
    <n v="28766.570000000007"/>
    <n v="28786.580000000005"/>
    <n v="20.009999999999998"/>
    <n v="8946.29000000001"/>
    <n v="4178.4500000000062"/>
    <n v="-4767.8400000000047"/>
    <n v="19820.280000000017"/>
    <n v="24608.130000000019"/>
    <n v="4787.8500000000049"/>
    <n v="-976.77999999999986"/>
    <n v="0"/>
    <n v="976.77999999999986"/>
    <n v="20797.060000000009"/>
    <n v="24608.130000000019"/>
    <n v="3811.070000000002"/>
    <n v="477"/>
  </r>
  <r>
    <n v="2024"/>
    <n v="7"/>
    <x v="2"/>
    <d v="2024-07-19T00:00:00"/>
    <s v="Rogers"/>
    <x v="0"/>
    <x v="2"/>
    <n v="45603.79"/>
    <n v="45603.79"/>
    <n v="0"/>
    <n v="253.37000000000015"/>
    <n v="253.37000000000015"/>
    <n v="0"/>
    <n v="1144.2700000000004"/>
    <n v="1144.2700000000004"/>
    <n v="0"/>
    <n v="-15164.980000000001"/>
    <n v="-14762.980000000001"/>
    <n v="402"/>
    <n v="0"/>
    <n v="0"/>
    <n v="0"/>
    <n v="-40.99"/>
    <n v="-40.99"/>
    <n v="0"/>
    <n v="31795.460000000014"/>
    <n v="32197.460000000017"/>
    <n v="402"/>
    <n v="8396.3200000000197"/>
    <n v="4346.2700000000095"/>
    <n v="-4050.0500000000084"/>
    <n v="23399.140000000065"/>
    <n v="27851.190000000035"/>
    <n v="4452.0500000000084"/>
    <n v="-1166.4599999999989"/>
    <n v="0"/>
    <n v="1166.4599999999989"/>
    <n v="24565.600000000009"/>
    <n v="27851.190000000035"/>
    <n v="3285.590000000002"/>
    <n v="526"/>
  </r>
  <r>
    <n v="2024"/>
    <n v="7"/>
    <x v="2"/>
    <d v="2024-07-20T00:00:00"/>
    <s v="Rogers"/>
    <x v="0"/>
    <x v="2"/>
    <n v="51927.61"/>
    <n v="51927.61"/>
    <n v="0"/>
    <n v="471.13999999999925"/>
    <n v="471.13999999999925"/>
    <n v="0"/>
    <n v="1648.9800000000007"/>
    <n v="1648.9800000000007"/>
    <n v="0"/>
    <n v="-17620.150000000001"/>
    <n v="-17234.150000000001"/>
    <n v="386"/>
    <n v="0"/>
    <n v="0"/>
    <n v="0"/>
    <n v="-35.99"/>
    <n v="-35.99"/>
    <n v="0"/>
    <n v="36391.590000000004"/>
    <n v="36777.590000000004"/>
    <n v="386"/>
    <n v="8607.1800000000167"/>
    <n v="4287.4300000000076"/>
    <n v="-4319.7500000000064"/>
    <n v="27784.410000000134"/>
    <n v="32490.160000000087"/>
    <n v="4705.7500000000091"/>
    <n v="-977.4"/>
    <n v="0"/>
    <n v="977.4"/>
    <n v="28761.810000000063"/>
    <n v="32490.160000000087"/>
    <n v="3728.3500000000054"/>
    <n v="595"/>
  </r>
  <r>
    <n v="2024"/>
    <n v="7"/>
    <x v="2"/>
    <d v="2024-07-14T00:00:00"/>
    <s v="Rogers"/>
    <x v="1"/>
    <x v="3"/>
    <n v="9120.0499999999938"/>
    <n v="9120.0499999999938"/>
    <n v="0"/>
    <n v="677.86000000000013"/>
    <n v="677.86000000000013"/>
    <n v="0"/>
    <n v="15.99"/>
    <n v="15.99"/>
    <n v="0"/>
    <n v="-1802.8499999999995"/>
    <n v="-1802.8499999999995"/>
    <n v="0"/>
    <n v="0"/>
    <n v="0"/>
    <n v="0"/>
    <n v="0"/>
    <n v="0"/>
    <n v="0"/>
    <n v="8011.050000000012"/>
    <n v="8011.050000000012"/>
    <n v="0"/>
    <m/>
    <m/>
    <n v="0"/>
    <n v="8011.050000000012"/>
    <n v="8011.050000000012"/>
    <n v="0"/>
    <n v="3008.7700000000004"/>
    <n v="0"/>
    <n v="-3008.7700000000004"/>
    <n v="5002.2799999999979"/>
    <n v="8011.050000000012"/>
    <n v="3008.7700000000004"/>
    <n v="253"/>
  </r>
  <r>
    <n v="2024"/>
    <n v="7"/>
    <x v="2"/>
    <d v="2024-07-15T00:00:00"/>
    <s v="Rogers"/>
    <x v="1"/>
    <x v="3"/>
    <n v="2866.9000000000005"/>
    <n v="2866.9000000000005"/>
    <n v="0"/>
    <n v="0"/>
    <n v="0"/>
    <n v="0"/>
    <n v="0"/>
    <n v="0"/>
    <n v="0"/>
    <n v="-727.6"/>
    <n v="-727.6"/>
    <n v="0"/>
    <n v="0"/>
    <n v="0"/>
    <n v="0"/>
    <n v="0"/>
    <n v="0"/>
    <n v="0"/>
    <n v="2139.3000000000002"/>
    <n v="2139.3000000000002"/>
    <n v="0"/>
    <n v="26.5"/>
    <n v="26.5"/>
    <n v="0"/>
    <n v="2112.8000000000002"/>
    <n v="2112.8000000000002"/>
    <n v="0"/>
    <n v="585.28000000000009"/>
    <n v="0"/>
    <n v="-585.28000000000009"/>
    <n v="1527.5200000000002"/>
    <n v="2112.8000000000002"/>
    <n v="585.28"/>
    <n v="42"/>
  </r>
  <r>
    <n v="2024"/>
    <n v="7"/>
    <x v="2"/>
    <d v="2024-07-16T00:00:00"/>
    <s v="Rogers"/>
    <x v="1"/>
    <x v="3"/>
    <n v="83"/>
    <n v="83"/>
    <n v="0"/>
    <n v="0"/>
    <n v="0"/>
    <n v="0"/>
    <n v="0"/>
    <n v="0"/>
    <n v="0"/>
    <n v="-8"/>
    <n v="-8"/>
    <n v="0"/>
    <n v="0"/>
    <n v="0"/>
    <n v="0"/>
    <n v="0"/>
    <n v="0"/>
    <n v="0"/>
    <n v="75"/>
    <n v="75"/>
    <n v="0"/>
    <n v="26.5"/>
    <m/>
    <n v="-26.5"/>
    <n v="48.5"/>
    <n v="75"/>
    <n v="26.5"/>
    <n v="0"/>
    <n v="0"/>
    <n v="0"/>
    <n v="48.5"/>
    <n v="75"/>
    <n v="26.5"/>
    <n v="1"/>
  </r>
  <r>
    <n v="2024"/>
    <n v="7"/>
    <x v="2"/>
    <d v="2024-07-17T00:00:00"/>
    <s v="Rogers"/>
    <x v="1"/>
    <x v="3"/>
    <n v="5897.3500000000322"/>
    <n v="5897.3500000000322"/>
    <n v="0"/>
    <n v="1690.5000000000016"/>
    <n v="1690.5000000000016"/>
    <n v="0"/>
    <n v="0"/>
    <n v="0"/>
    <n v="0"/>
    <n v="-150.1"/>
    <n v="-150.1"/>
    <n v="0"/>
    <n v="0"/>
    <n v="0"/>
    <n v="0"/>
    <n v="0"/>
    <n v="0"/>
    <n v="0"/>
    <n v="7437.7500000000309"/>
    <n v="7437.7500000000309"/>
    <n v="0"/>
    <m/>
    <m/>
    <n v="0"/>
    <n v="7437.7500000000309"/>
    <n v="7437.7500000000309"/>
    <n v="0"/>
    <n v="2328.3299999999936"/>
    <n v="0"/>
    <n v="-2328.3299999999936"/>
    <n v="5109.4200000000119"/>
    <n v="7437.7500000000309"/>
    <n v="2328.3299999999936"/>
    <n v="306"/>
  </r>
  <r>
    <n v="2024"/>
    <n v="7"/>
    <x v="2"/>
    <d v="2024-07-18T00:00:00"/>
    <s v="Rogers"/>
    <x v="1"/>
    <x v="3"/>
    <n v="9197.1300000000156"/>
    <n v="9197.1300000000156"/>
    <n v="0"/>
    <n v="1773.1600000000014"/>
    <n v="1768.0400000000016"/>
    <n v="-5.12"/>
    <n v="66.959999999999994"/>
    <n v="66.959999999999994"/>
    <n v="0"/>
    <n v="-1175.0999999999997"/>
    <n v="-1175.0999999999997"/>
    <n v="0"/>
    <n v="-9.6300000000000008"/>
    <n v="-9.6300000000000008"/>
    <n v="0"/>
    <n v="0"/>
    <n v="0"/>
    <n v="0"/>
    <n v="9852.52"/>
    <n v="9847.4"/>
    <n v="-5.120000000000001"/>
    <n v="4.01"/>
    <n v="2.34"/>
    <n v="-1.67"/>
    <n v="9848.51"/>
    <n v="9845.06"/>
    <n v="-3.4499999999999993"/>
    <n v="2891.5299999999961"/>
    <n v="0"/>
    <n v="-2891.5299999999961"/>
    <n v="6956.9800000000123"/>
    <n v="9845.06"/>
    <n v="2888.0799999999958"/>
    <n v="294"/>
  </r>
  <r>
    <n v="2024"/>
    <n v="7"/>
    <x v="2"/>
    <d v="2024-07-19T00:00:00"/>
    <s v="Rogers"/>
    <x v="1"/>
    <x v="3"/>
    <n v="17274.549999999959"/>
    <n v="17274.549999999959"/>
    <n v="0"/>
    <n v="813.60000000000036"/>
    <n v="813.60000000000036"/>
    <n v="0"/>
    <n v="0"/>
    <n v="0"/>
    <n v="0"/>
    <n v="-6615.3999999999896"/>
    <n v="-6604.3999999999896"/>
    <n v="11"/>
    <n v="-8"/>
    <n v="-8"/>
    <n v="0"/>
    <n v="0"/>
    <n v="0"/>
    <n v="0"/>
    <n v="11464.750000000027"/>
    <n v="11475.750000000027"/>
    <n v="11"/>
    <n v="4.01"/>
    <n v="1.67"/>
    <n v="-2.34"/>
    <n v="11460.740000000027"/>
    <n v="11474.080000000027"/>
    <n v="13.340000000000003"/>
    <n v="3695.2100000000069"/>
    <n v="0"/>
    <n v="-3695.2100000000069"/>
    <n v="7765.5300000000243"/>
    <n v="11474.080000000027"/>
    <n v="3708.550000000007"/>
    <n v="379"/>
  </r>
  <r>
    <n v="2024"/>
    <n v="7"/>
    <x v="2"/>
    <d v="2024-07-20T00:00:00"/>
    <s v="Rogers"/>
    <x v="1"/>
    <x v="3"/>
    <n v="10119.710000000006"/>
    <n v="10119.710000000006"/>
    <n v="0"/>
    <n v="490.78999999999991"/>
    <n v="490.78999999999991"/>
    <n v="0"/>
    <n v="25.980000000000004"/>
    <n v="25.980000000000004"/>
    <n v="0"/>
    <n v="-1430.9500000000003"/>
    <n v="-1430.9500000000003"/>
    <n v="0"/>
    <n v="0"/>
    <n v="0"/>
    <n v="0"/>
    <n v="0"/>
    <n v="0"/>
    <n v="0"/>
    <n v="9205.5300000000152"/>
    <n v="9205.5300000000152"/>
    <n v="0"/>
    <n v="2.42"/>
    <n v="0.75"/>
    <n v="-1.67"/>
    <n v="9203.1100000000151"/>
    <n v="9204.7800000000152"/>
    <n v="1.6700000000000017"/>
    <n v="3223.1199999999949"/>
    <n v="0"/>
    <n v="-3223.1199999999949"/>
    <n v="5979.9900000000034"/>
    <n v="9204.7800000000152"/>
    <n v="3224.789999999995"/>
    <n v="332"/>
  </r>
  <r>
    <n v="2024"/>
    <n v="7"/>
    <x v="2"/>
    <d v="2024-07-14T00:00:00"/>
    <s v="Rogers"/>
    <x v="1"/>
    <x v="4"/>
    <n v="5810.1500000000005"/>
    <n v="5810.1500000000005"/>
    <n v="0"/>
    <n v="73.339999999999989"/>
    <n v="73.339999999999989"/>
    <n v="0"/>
    <n v="127.91"/>
    <n v="127.91"/>
    <n v="0"/>
    <n v="-1988.7"/>
    <n v="-1974.7"/>
    <n v="14"/>
    <n v="-10"/>
    <n v="-10"/>
    <n v="0"/>
    <n v="-10"/>
    <n v="-10"/>
    <n v="0"/>
    <n v="4002.7000000000021"/>
    <n v="4016.7000000000021"/>
    <n v="14"/>
    <n v="385.53000000000014"/>
    <n v="129.44999999999999"/>
    <n v="-256.0800000000001"/>
    <n v="3617.1699999999996"/>
    <n v="3887.2500000000018"/>
    <n v="270.08000000000021"/>
    <n v="453.89"/>
    <n v="14.58"/>
    <n v="-439.30999999999995"/>
    <n v="3163.2799999999984"/>
    <n v="3872.6700000000019"/>
    <n v="709.39"/>
    <n v="77"/>
  </r>
  <r>
    <n v="2024"/>
    <n v="7"/>
    <x v="2"/>
    <d v="2024-07-15T00:00:00"/>
    <s v="Rogers"/>
    <x v="1"/>
    <x v="4"/>
    <n v="6400"/>
    <n v="6400"/>
    <n v="0"/>
    <n v="84.91"/>
    <n v="84.91"/>
    <n v="0"/>
    <n v="88.95"/>
    <n v="88.95"/>
    <n v="0"/>
    <n v="-1852.3000000000006"/>
    <n v="-1852.3000000000006"/>
    <n v="0"/>
    <n v="-5"/>
    <n v="-5"/>
    <n v="0"/>
    <n v="-5"/>
    <n v="-5"/>
    <n v="0"/>
    <n v="4711.5599999999977"/>
    <n v="4711.5599999999977"/>
    <n v="0"/>
    <n v="167.68"/>
    <n v="26.67"/>
    <n v="-141.01"/>
    <n v="4543.8799999999974"/>
    <n v="4684.8899999999976"/>
    <n v="141.01"/>
    <n v="1241.5199999999995"/>
    <n v="1.3"/>
    <n v="-1240.2199999999996"/>
    <n v="3302.3599999999983"/>
    <n v="4683.5899999999983"/>
    <n v="1381.23"/>
    <n v="95"/>
  </r>
  <r>
    <n v="2024"/>
    <n v="7"/>
    <x v="2"/>
    <d v="2024-07-16T00:00:00"/>
    <s v="Rogers"/>
    <x v="1"/>
    <x v="4"/>
    <n v="901"/>
    <n v="901"/>
    <n v="0"/>
    <n v="1.4100000000000001"/>
    <n v="1.4100000000000001"/>
    <n v="0"/>
    <n v="31.98"/>
    <n v="31.98"/>
    <n v="0"/>
    <n v="-206"/>
    <n v="-206"/>
    <n v="0"/>
    <n v="0"/>
    <n v="0"/>
    <n v="0"/>
    <n v="0"/>
    <n v="0"/>
    <n v="0"/>
    <n v="728.39"/>
    <n v="728.39"/>
    <n v="0"/>
    <n v="198.10000000000002"/>
    <n v="171.43"/>
    <n v="-26.67"/>
    <n v="530.29"/>
    <n v="556.95999999999992"/>
    <n v="26.669999999999995"/>
    <n v="-92.75"/>
    <n v="0"/>
    <n v="92.75"/>
    <n v="623.04"/>
    <n v="556.95999999999992"/>
    <n v="-66.080000000000027"/>
    <n v="10"/>
  </r>
  <r>
    <n v="2024"/>
    <n v="7"/>
    <x v="2"/>
    <d v="2024-07-17T00:00:00"/>
    <s v="Rogers"/>
    <x v="1"/>
    <x v="4"/>
    <n v="4210.5499999999984"/>
    <n v="4210.5499999999984"/>
    <n v="0"/>
    <n v="211.35999999999999"/>
    <n v="211.35999999999999"/>
    <n v="0"/>
    <n v="101.94"/>
    <n v="101.94"/>
    <n v="0"/>
    <n v="-1310.2"/>
    <n v="-1264.2"/>
    <n v="46"/>
    <n v="-5"/>
    <n v="-5"/>
    <n v="0"/>
    <n v="-15"/>
    <n v="-15"/>
    <n v="0"/>
    <n v="3193.6499999999987"/>
    <n v="3239.6499999999978"/>
    <n v="46.000000000000014"/>
    <n v="411.43"/>
    <n v="240"/>
    <n v="-171.43"/>
    <n v="2782.2199999999975"/>
    <n v="2999.6499999999969"/>
    <n v="217.43"/>
    <n v="265.78000000000014"/>
    <n v="0"/>
    <n v="-265.78000000000014"/>
    <n v="2516.4399999999982"/>
    <n v="2999.6499999999969"/>
    <n v="483.21000000000015"/>
    <n v="70"/>
  </r>
  <r>
    <n v="2024"/>
    <n v="7"/>
    <x v="2"/>
    <d v="2024-07-18T00:00:00"/>
    <s v="Rogers"/>
    <x v="1"/>
    <x v="4"/>
    <n v="10999.249999999996"/>
    <n v="10999.249999999996"/>
    <n v="0"/>
    <n v="206.25000000000003"/>
    <n v="206.25000000000003"/>
    <n v="0"/>
    <n v="169.90000000000003"/>
    <n v="169.90000000000003"/>
    <n v="0"/>
    <n v="-4229.1999999999971"/>
    <n v="-4229.1999999999971"/>
    <n v="0"/>
    <n v="-36.400000000000006"/>
    <n v="-36.400000000000006"/>
    <n v="0"/>
    <n v="-28.990000000000002"/>
    <n v="-28.990000000000002"/>
    <n v="0"/>
    <n v="7080.8100000000049"/>
    <n v="7080.8100000000049"/>
    <n v="0"/>
    <n v="465.30000000000007"/>
    <n v="225.29999999999998"/>
    <n v="-239.99999999999994"/>
    <n v="6615.5100000000039"/>
    <n v="6855.5100000000048"/>
    <n v="240"/>
    <n v="1455.82"/>
    <n v="0"/>
    <n v="-1455.82"/>
    <n v="5159.6899999999987"/>
    <n v="6855.5100000000048"/>
    <n v="1695.8200000000004"/>
    <n v="134"/>
  </r>
  <r>
    <n v="2024"/>
    <n v="7"/>
    <x v="2"/>
    <d v="2024-07-19T00:00:00"/>
    <s v="Rogers"/>
    <x v="1"/>
    <x v="4"/>
    <n v="8642.1500000000015"/>
    <n v="8642.1500000000015"/>
    <n v="0"/>
    <n v="105.28999999999998"/>
    <n v="105.28999999999998"/>
    <n v="0"/>
    <n v="89.94"/>
    <n v="89.94"/>
    <n v="0"/>
    <n v="-3294.7499999999991"/>
    <n v="-3287.7499999999991"/>
    <n v="7"/>
    <n v="-5"/>
    <n v="-5"/>
    <n v="0"/>
    <n v="0"/>
    <n v="0"/>
    <n v="0"/>
    <n v="5537.6300000000019"/>
    <n v="5544.6300000000019"/>
    <n v="7"/>
    <n v="345.20000000000005"/>
    <n v="118.23"/>
    <n v="-226.97"/>
    <n v="5192.4300000000021"/>
    <n v="5426.4000000000024"/>
    <n v="233.97000000000003"/>
    <n v="872.66999999999928"/>
    <n v="14.91"/>
    <n v="-857.7599999999992"/>
    <n v="4319.7599999999966"/>
    <n v="5411.4900000000025"/>
    <n v="1091.7299999999998"/>
    <n v="104"/>
  </r>
  <r>
    <n v="2024"/>
    <n v="7"/>
    <x v="2"/>
    <d v="2024-07-20T00:00:00"/>
    <s v="Rogers"/>
    <x v="1"/>
    <x v="4"/>
    <n v="10107.100000000013"/>
    <n v="10107.100000000013"/>
    <n v="0"/>
    <n v="422.02999999999986"/>
    <n v="422.02999999999986"/>
    <n v="0"/>
    <n v="126.92"/>
    <n v="126.92"/>
    <n v="0"/>
    <n v="-2720.099999999999"/>
    <n v="-2693.099999999999"/>
    <n v="26.999999999999993"/>
    <n v="-17"/>
    <n v="-17"/>
    <n v="0"/>
    <n v="-5"/>
    <n v="-5"/>
    <n v="0"/>
    <n v="7913.9500000000135"/>
    <n v="7940.9500000000144"/>
    <n v="27.000000000000004"/>
    <n v="226.96"/>
    <n v="93.31"/>
    <n v="-133.65"/>
    <n v="7686.9900000000134"/>
    <n v="7847.640000000014"/>
    <n v="160.65"/>
    <n v="1931.6300000000006"/>
    <n v="13.72"/>
    <n v="-1917.9100000000005"/>
    <n v="5755.3600000000069"/>
    <n v="7833.9200000000137"/>
    <n v="2078.5600000000009"/>
    <n v="196"/>
  </r>
  <r>
    <n v="2024"/>
    <n v="7"/>
    <x v="2"/>
    <d v="2024-07-14T00:00:00"/>
    <s v="Rogers"/>
    <x v="1"/>
    <x v="5"/>
    <n v="22289.05"/>
    <n v="22289.05"/>
    <n v="0"/>
    <n v="420.12999999999994"/>
    <n v="420.12999999999994"/>
    <n v="0"/>
    <n v="983.39000000000044"/>
    <n v="983.39000000000044"/>
    <n v="0"/>
    <n v="-6080.34"/>
    <n v="-5939.34"/>
    <n v="141"/>
    <n v="-40"/>
    <n v="-40"/>
    <n v="0"/>
    <n v="-78.960000000000008"/>
    <n v="-78.960000000000008"/>
    <n v="0"/>
    <n v="17493.269999999986"/>
    <n v="17634.269999999982"/>
    <n v="141"/>
    <n v="3740.2400000000043"/>
    <n v="2182.3500000000013"/>
    <n v="-1557.8900000000003"/>
    <n v="13753.03"/>
    <n v="15451.92"/>
    <n v="1698.8900000000008"/>
    <n v="-1205.0400000000002"/>
    <n v="0"/>
    <n v="1205.0400000000002"/>
    <n v="14958.070000000011"/>
    <n v="15451.92"/>
    <n v="493.84999999999968"/>
    <n v="255"/>
  </r>
  <r>
    <n v="2024"/>
    <n v="7"/>
    <x v="2"/>
    <d v="2024-07-15T00:00:00"/>
    <s v="Rogers"/>
    <x v="1"/>
    <x v="5"/>
    <n v="16183"/>
    <n v="16183"/>
    <n v="0"/>
    <n v="307.08999999999975"/>
    <n v="307.08999999999975"/>
    <n v="0"/>
    <n v="823.50000000000034"/>
    <n v="823.50000000000034"/>
    <n v="0"/>
    <n v="-4229.25"/>
    <n v="-4092.25"/>
    <n v="137"/>
    <n v="-10"/>
    <n v="-10"/>
    <n v="0"/>
    <n v="-73.960000000000008"/>
    <n v="-73.960000000000008"/>
    <n v="0"/>
    <n v="13000.37999999999"/>
    <n v="13137.37999999999"/>
    <n v="137"/>
    <n v="3235.8800000000047"/>
    <n v="1080.03"/>
    <n v="-2155.8500000000022"/>
    <n v="9764.4999999999982"/>
    <n v="12057.349999999991"/>
    <n v="2292.8500000000022"/>
    <n v="-617.80000000000018"/>
    <n v="0"/>
    <n v="617.80000000000018"/>
    <n v="10382.300000000007"/>
    <n v="12057.349999999991"/>
    <n v="1675.0500000000011"/>
    <n v="184"/>
  </r>
  <r>
    <n v="2024"/>
    <n v="7"/>
    <x v="2"/>
    <d v="2024-07-16T00:00:00"/>
    <s v="Rogers"/>
    <x v="1"/>
    <x v="5"/>
    <n v="14366"/>
    <n v="14366"/>
    <n v="0"/>
    <n v="154.82"/>
    <n v="154.82"/>
    <n v="0"/>
    <n v="537.67000000000019"/>
    <n v="537.67000000000019"/>
    <n v="0"/>
    <n v="-4012.25"/>
    <n v="-3835.25"/>
    <n v="177"/>
    <n v="-5"/>
    <n v="-5"/>
    <n v="0"/>
    <n v="-25.990000000000002"/>
    <n v="-25.990000000000002"/>
    <n v="0"/>
    <n v="11015.25"/>
    <n v="11192.249999999998"/>
    <n v="177"/>
    <n v="2280.1800000000021"/>
    <n v="1234.1500000000003"/>
    <n v="-1046.0300000000002"/>
    <n v="8735.0699999999943"/>
    <n v="9958.1"/>
    <n v="1223.0300000000002"/>
    <n v="-765.93"/>
    <n v="0"/>
    <n v="765.93"/>
    <n v="9500.9999999999927"/>
    <n v="9958.1"/>
    <n v="457.0999999999998"/>
    <n v="162"/>
  </r>
  <r>
    <n v="2024"/>
    <n v="7"/>
    <x v="2"/>
    <d v="2024-07-17T00:00:00"/>
    <s v="Rogers"/>
    <x v="1"/>
    <x v="5"/>
    <n v="23292.249999999996"/>
    <n v="23292.249999999996"/>
    <n v="0"/>
    <n v="370.65999999999917"/>
    <n v="370.65999999999917"/>
    <n v="0"/>
    <n v="1032.3500000000004"/>
    <n v="1032.3500000000004"/>
    <n v="0"/>
    <n v="-6931.35"/>
    <n v="-6599.35"/>
    <n v="332"/>
    <n v="-35"/>
    <n v="-35"/>
    <n v="0"/>
    <n v="-40.99"/>
    <n v="-40.99"/>
    <n v="0"/>
    <n v="17687.919999999987"/>
    <n v="18019.919999999991"/>
    <n v="332"/>
    <n v="3666.3400000000056"/>
    <n v="2432.1900000000032"/>
    <n v="-1234.1500000000003"/>
    <n v="14021.580000000007"/>
    <n v="15587.730000000001"/>
    <n v="1566.1500000000008"/>
    <n v="-1367.649999999998"/>
    <n v="0"/>
    <n v="1367.649999999998"/>
    <n v="15389.230000000007"/>
    <n v="15587.730000000001"/>
    <n v="198.5"/>
    <n v="267"/>
  </r>
  <r>
    <n v="2024"/>
    <n v="7"/>
    <x v="2"/>
    <d v="2024-07-18T00:00:00"/>
    <s v="Rogers"/>
    <x v="1"/>
    <x v="5"/>
    <n v="25193.15"/>
    <n v="25193.15"/>
    <n v="0"/>
    <n v="385.13999999999987"/>
    <n v="385.13999999999987"/>
    <n v="0"/>
    <n v="1012.3600000000005"/>
    <n v="1012.3600000000005"/>
    <n v="0"/>
    <n v="-7142.46"/>
    <n v="-7094.96"/>
    <n v="47.5"/>
    <n v="-10"/>
    <n v="-10"/>
    <n v="0"/>
    <n v="-59.980000000000004"/>
    <n v="-59.980000000000004"/>
    <n v="0"/>
    <n v="19378.210000000006"/>
    <n v="19425.710000000006"/>
    <n v="47.499999999999993"/>
    <n v="3783.1100000000056"/>
    <n v="1383.5500000000002"/>
    <n v="-2399.5600000000018"/>
    <n v="15595.100000000009"/>
    <n v="18042.160000000007"/>
    <n v="2447.0600000000018"/>
    <n v="-850.2499999999992"/>
    <n v="0"/>
    <n v="850.2499999999992"/>
    <n v="16445.349999999999"/>
    <n v="18042.160000000007"/>
    <n v="1596.8099999999997"/>
    <n v="293"/>
  </r>
  <r>
    <n v="2024"/>
    <n v="7"/>
    <x v="2"/>
    <d v="2024-07-19T00:00:00"/>
    <s v="Rogers"/>
    <x v="1"/>
    <x v="5"/>
    <n v="21444"/>
    <n v="21444"/>
    <n v="0"/>
    <n v="381.98999999999944"/>
    <n v="381.98999999999944"/>
    <n v="0"/>
    <n v="910.4400000000004"/>
    <n v="910.4400000000004"/>
    <n v="0"/>
    <n v="-6076.9400000000005"/>
    <n v="-5870.9400000000005"/>
    <n v="206"/>
    <n v="-20"/>
    <n v="-20"/>
    <n v="0"/>
    <n v="-43.99"/>
    <n v="-43.99"/>
    <n v="0"/>
    <n v="16595.499999999989"/>
    <n v="16801.499999999993"/>
    <n v="206"/>
    <n v="2762.0400000000031"/>
    <n v="1367.74"/>
    <n v="-1394.3000000000009"/>
    <n v="13833.460000000003"/>
    <n v="15433.759999999993"/>
    <n v="1600.3000000000009"/>
    <n v="-714.46000000000026"/>
    <n v="0"/>
    <n v="714.46000000000026"/>
    <n v="14547.920000000004"/>
    <n v="15433.759999999993"/>
    <n v="885.84000000000015"/>
    <n v="246"/>
  </r>
  <r>
    <n v="2024"/>
    <n v="7"/>
    <x v="2"/>
    <d v="2024-07-20T00:00:00"/>
    <s v="Rogers"/>
    <x v="1"/>
    <x v="5"/>
    <n v="26106.149999999998"/>
    <n v="26106.149999999998"/>
    <n v="0"/>
    <n v="439.56999999999965"/>
    <n v="439.56999999999965"/>
    <n v="0"/>
    <n v="1124.3000000000004"/>
    <n v="1124.3000000000004"/>
    <n v="0"/>
    <n v="-7676.47"/>
    <n v="-7360.47"/>
    <n v="316"/>
    <n v="-25"/>
    <n v="-25"/>
    <n v="0"/>
    <n v="-30.990000000000002"/>
    <n v="-30.990000000000002"/>
    <n v="0"/>
    <n v="19937.559999999987"/>
    <n v="20253.559999999987"/>
    <n v="316"/>
    <n v="2594.1600000000008"/>
    <n v="1226.4199999999998"/>
    <n v="-1367.7400000000002"/>
    <n v="17343.400000000005"/>
    <n v="19027.139999999996"/>
    <n v="1683.74"/>
    <n v="-749.07000000000016"/>
    <n v="0"/>
    <n v="749.07000000000016"/>
    <n v="18092.470000000005"/>
    <n v="19027.139999999996"/>
    <n v="934.66999999999973"/>
    <n v="307"/>
  </r>
  <r>
    <n v="2024"/>
    <n v="7"/>
    <x v="2"/>
    <d v="2024-07-14T00:00:00"/>
    <s v="Rogers"/>
    <x v="1"/>
    <x v="6"/>
    <n v="6767.9500000000044"/>
    <n v="6767.9500000000044"/>
    <n v="0"/>
    <n v="80"/>
    <n v="80"/>
    <n v="0"/>
    <n v="0"/>
    <n v="0"/>
    <n v="0"/>
    <n v="-1476.9999999999998"/>
    <n v="-1476.9999999999998"/>
    <n v="0"/>
    <n v="-32"/>
    <n v="-32"/>
    <n v="0"/>
    <n v="0"/>
    <n v="0"/>
    <n v="0"/>
    <n v="5338.9500000000016"/>
    <n v="5338.9500000000016"/>
    <n v="0"/>
    <n v="65.75"/>
    <n v="40"/>
    <n v="-25.75"/>
    <n v="5273.2000000000016"/>
    <n v="5298.9500000000016"/>
    <n v="25.75"/>
    <n v="1272.3299999999992"/>
    <n v="0"/>
    <n v="-1272.3299999999992"/>
    <n v="4000.870000000004"/>
    <n v="5298.9500000000016"/>
    <n v="1298.079999999999"/>
    <n v="124"/>
  </r>
  <r>
    <n v="2024"/>
    <n v="7"/>
    <x v="2"/>
    <d v="2024-07-15T00:00:00"/>
    <s v="Rogers"/>
    <x v="1"/>
    <x v="6"/>
    <n v="2855.75"/>
    <n v="2855.75"/>
    <n v="0"/>
    <n v="0"/>
    <n v="0"/>
    <n v="0"/>
    <n v="0"/>
    <n v="0"/>
    <n v="0"/>
    <n v="-387.59999999999997"/>
    <n v="-387.59999999999997"/>
    <n v="0"/>
    <n v="0"/>
    <n v="0"/>
    <n v="0"/>
    <n v="0"/>
    <n v="0"/>
    <n v="0"/>
    <n v="2468.1499999999996"/>
    <n v="2468.1499999999996"/>
    <n v="0"/>
    <n v="40"/>
    <m/>
    <n v="-40"/>
    <n v="2428.1499999999996"/>
    <n v="2468.1499999999996"/>
    <n v="40"/>
    <n v="525.9000000000002"/>
    <n v="0"/>
    <n v="-525.9000000000002"/>
    <n v="1902.2500000000005"/>
    <n v="2468.1499999999996"/>
    <n v="565.90000000000009"/>
    <n v="50"/>
  </r>
  <r>
    <n v="2024"/>
    <n v="7"/>
    <x v="2"/>
    <d v="2024-07-16T00:00:00"/>
    <s v="Rogers"/>
    <x v="1"/>
    <x v="6"/>
    <n v="1638.9999999999993"/>
    <n v="1638.9999999999993"/>
    <n v="0"/>
    <n v="65"/>
    <n v="65"/>
    <n v="0"/>
    <n v="0"/>
    <n v="0"/>
    <n v="0"/>
    <n v="-186.2"/>
    <n v="-186.2"/>
    <n v="0"/>
    <n v="-16"/>
    <n v="-16"/>
    <n v="0"/>
    <n v="0"/>
    <n v="0"/>
    <n v="0"/>
    <n v="1501.7999999999993"/>
    <n v="1501.7999999999993"/>
    <n v="0"/>
    <m/>
    <m/>
    <n v="0"/>
    <n v="1501.7999999999993"/>
    <n v="1501.7999999999993"/>
    <n v="0"/>
    <n v="76.89"/>
    <n v="0"/>
    <n v="-76.89"/>
    <n v="1424.9099999999994"/>
    <n v="1501.7999999999993"/>
    <n v="76.89"/>
    <n v="39"/>
  </r>
  <r>
    <n v="2024"/>
    <n v="7"/>
    <x v="2"/>
    <d v="2024-07-17T00:00:00"/>
    <s v="Rogers"/>
    <x v="1"/>
    <x v="6"/>
    <n v="2328.4999999999995"/>
    <n v="2328.4999999999995"/>
    <n v="0"/>
    <n v="32.5"/>
    <n v="32.5"/>
    <n v="0"/>
    <n v="0"/>
    <n v="0"/>
    <n v="0"/>
    <n v="-513.15000000000009"/>
    <n v="-513.15000000000009"/>
    <n v="0"/>
    <n v="-8"/>
    <n v="-8"/>
    <n v="0"/>
    <n v="0"/>
    <n v="0"/>
    <n v="0"/>
    <n v="1839.8499999999997"/>
    <n v="1839.8499999999997"/>
    <n v="0"/>
    <m/>
    <m/>
    <n v="0"/>
    <n v="1839.8499999999997"/>
    <n v="1839.8499999999997"/>
    <n v="0"/>
    <n v="426.10999999999996"/>
    <n v="0"/>
    <n v="-426.10999999999996"/>
    <n v="1413.7399999999993"/>
    <n v="1839.8499999999997"/>
    <n v="426.10999999999996"/>
    <n v="39"/>
  </r>
  <r>
    <n v="2024"/>
    <n v="7"/>
    <x v="2"/>
    <d v="2024-07-18T00:00:00"/>
    <s v="Rogers"/>
    <x v="1"/>
    <x v="6"/>
    <n v="3188.85"/>
    <n v="3188.85"/>
    <n v="0"/>
    <n v="10"/>
    <n v="10"/>
    <n v="0"/>
    <n v="0"/>
    <n v="0"/>
    <n v="0"/>
    <n v="-831.04999999999984"/>
    <n v="-831.04999999999984"/>
    <n v="0"/>
    <n v="-4"/>
    <n v="-4"/>
    <n v="0"/>
    <n v="0"/>
    <n v="0"/>
    <n v="0"/>
    <n v="2363.7999999999997"/>
    <n v="2363.7999999999997"/>
    <n v="0"/>
    <n v="8.33"/>
    <m/>
    <n v="-8.33"/>
    <n v="2355.4699999999998"/>
    <n v="2363.7999999999997"/>
    <n v="8.3299999999999983"/>
    <n v="421.27000000000004"/>
    <n v="5.26"/>
    <n v="-416.01000000000005"/>
    <n v="1934.2000000000007"/>
    <n v="2358.54"/>
    <n v="424.34000000000003"/>
    <n v="50"/>
  </r>
  <r>
    <n v="2024"/>
    <n v="7"/>
    <x v="2"/>
    <d v="2024-07-19T00:00:00"/>
    <s v="Rogers"/>
    <x v="1"/>
    <x v="6"/>
    <n v="3642.15"/>
    <n v="3642.15"/>
    <n v="0"/>
    <n v="32.5"/>
    <n v="32.5"/>
    <n v="0"/>
    <n v="0"/>
    <n v="0"/>
    <n v="0"/>
    <n v="-979.44999999999959"/>
    <n v="-979.44999999999959"/>
    <n v="0"/>
    <n v="-8"/>
    <n v="-8"/>
    <n v="0"/>
    <n v="0"/>
    <n v="0"/>
    <n v="0"/>
    <n v="2687.1999999999989"/>
    <n v="2687.1999999999989"/>
    <n v="0"/>
    <n v="60"/>
    <n v="60"/>
    <n v="0"/>
    <n v="2627.1999999999989"/>
    <n v="2627.1999999999989"/>
    <n v="0"/>
    <n v="584.7399999999999"/>
    <n v="0"/>
    <n v="-584.7399999999999"/>
    <n v="2042.4600000000007"/>
    <n v="2627.1999999999989"/>
    <n v="584.7399999999999"/>
    <n v="64"/>
  </r>
  <r>
    <n v="2024"/>
    <n v="7"/>
    <x v="2"/>
    <d v="2024-07-20T00:00:00"/>
    <s v="Rogers"/>
    <x v="1"/>
    <x v="6"/>
    <n v="5448.0000000000009"/>
    <n v="5308.0000000000009"/>
    <n v="-140"/>
    <n v="45.95"/>
    <n v="45.95"/>
    <n v="0"/>
    <n v="18.990000000000002"/>
    <n v="18.990000000000002"/>
    <n v="0"/>
    <n v="-1421.0500000000009"/>
    <n v="-1372.0500000000009"/>
    <n v="49"/>
    <n v="-8"/>
    <n v="-8"/>
    <n v="0"/>
    <n v="0"/>
    <n v="0"/>
    <n v="0"/>
    <n v="4083.8900000000017"/>
    <n v="3992.8900000000017"/>
    <n v="-91"/>
    <n v="130.17000000000002"/>
    <n v="70.17"/>
    <n v="-60"/>
    <n v="3953.7200000000016"/>
    <n v="3922.7200000000016"/>
    <n v="-31"/>
    <n v="909.35999999999956"/>
    <n v="0"/>
    <n v="-909.35999999999956"/>
    <n v="3044.3599999999997"/>
    <n v="3922.7200000000016"/>
    <n v="878.35999999999979"/>
    <n v="92"/>
  </r>
  <r>
    <n v="2024"/>
    <n v="7"/>
    <x v="3"/>
    <d v="2024-07-21T00:00:00"/>
    <s v="Fido"/>
    <x v="0"/>
    <x v="0"/>
    <n v="91318.5"/>
    <n v="91318.5"/>
    <n v="0"/>
    <n v="1152.2300000000073"/>
    <n v="1152.2300000000073"/>
    <n v="0"/>
    <n v="2600.2099999999928"/>
    <n v="2600.2099999999928"/>
    <n v="0"/>
    <n v="-7874.75"/>
    <n v="-7149.75"/>
    <n v="725"/>
    <n v="-1.4"/>
    <n v="-1.4"/>
    <n v="0"/>
    <n v="-70"/>
    <n v="-70"/>
    <n v="0"/>
    <n v="87124.790000000401"/>
    <n v="87849.79000000043"/>
    <n v="725"/>
    <n v="28715.229999999723"/>
    <n v="16720.529999999926"/>
    <n v="-11994.699999999984"/>
    <n v="58409.560000000391"/>
    <n v="71129.260000000097"/>
    <n v="12719.699999999983"/>
    <n v="-7909.6199999999917"/>
    <n v="0"/>
    <n v="7909.6199999999917"/>
    <n v="66319.180000000299"/>
    <n v="71129.260000000097"/>
    <n v="4810.0800000000172"/>
    <n v="1634"/>
  </r>
  <r>
    <n v="2024"/>
    <n v="7"/>
    <x v="3"/>
    <d v="2024-07-22T00:00:00"/>
    <s v="Fido"/>
    <x v="0"/>
    <x v="0"/>
    <n v="106281"/>
    <n v="106281"/>
    <n v="0"/>
    <n v="1201.9500000000157"/>
    <n v="1201.9500000000157"/>
    <n v="0"/>
    <n v="2861.059999999989"/>
    <n v="2861.059999999989"/>
    <n v="0"/>
    <n v="-9320.1"/>
    <n v="-8455.1"/>
    <n v="865"/>
    <n v="-3.01"/>
    <n v="-3.01"/>
    <n v="0"/>
    <n v="-88"/>
    <n v="-88"/>
    <n v="0"/>
    <n v="100932.90000000063"/>
    <n v="101797.90000000063"/>
    <n v="865"/>
    <n v="36543.639999999301"/>
    <n v="19967.149999999838"/>
    <n v="-16576.489999999954"/>
    <n v="64389.260000000642"/>
    <n v="81830.750000000437"/>
    <n v="17441.489999999943"/>
    <n v="-9413.5599999999831"/>
    <n v="0"/>
    <n v="9413.5599999999831"/>
    <n v="73802.820000000167"/>
    <n v="81830.750000000437"/>
    <n v="8027.9300000000412"/>
    <n v="1880"/>
  </r>
  <r>
    <n v="2024"/>
    <n v="7"/>
    <x v="3"/>
    <d v="2024-07-23T00:00:00"/>
    <s v="Fido"/>
    <x v="0"/>
    <x v="0"/>
    <n v="98805"/>
    <n v="98805"/>
    <n v="0"/>
    <n v="1060.7300000000055"/>
    <n v="1060.7300000000055"/>
    <n v="0"/>
    <n v="2630.2599999999929"/>
    <n v="2630.2599999999929"/>
    <n v="0"/>
    <n v="-8200.35"/>
    <n v="-7522.35"/>
    <n v="678"/>
    <n v="-5.84"/>
    <n v="-5.84"/>
    <n v="0"/>
    <n v="-112.69000000000001"/>
    <n v="-112.69000000000001"/>
    <n v="0"/>
    <n v="94177.110000000554"/>
    <n v="94855.110000000583"/>
    <n v="678"/>
    <n v="36111.729999999152"/>
    <n v="16471.289999999979"/>
    <n v="-19640.43999999986"/>
    <n v="58065.38000000079"/>
    <n v="78383.820000000371"/>
    <n v="20318.439999999839"/>
    <n v="-7681.1199999999872"/>
    <n v="0"/>
    <n v="7681.1199999999872"/>
    <n v="65746.500000000553"/>
    <n v="78383.820000000371"/>
    <n v="12637.320000000011"/>
    <n v="1737"/>
  </r>
  <r>
    <n v="2024"/>
    <n v="7"/>
    <x v="3"/>
    <d v="2024-07-24T00:00:00"/>
    <s v="Fido"/>
    <x v="0"/>
    <x v="0"/>
    <n v="122978"/>
    <n v="122978"/>
    <n v="0"/>
    <n v="1423.6900000000214"/>
    <n v="1423.6900000000214"/>
    <n v="0"/>
    <n v="3327.8299999999831"/>
    <n v="3308.8399999999833"/>
    <n v="-18.990000000000002"/>
    <n v="-10185.25"/>
    <n v="-9502.25"/>
    <n v="683"/>
    <n v="-14.980000000000002"/>
    <n v="-14.980000000000002"/>
    <n v="0"/>
    <n v="-159.68"/>
    <n v="-159.68"/>
    <n v="0"/>
    <n v="117369.61000000089"/>
    <n v="118033.62000000091"/>
    <n v="664.01"/>
    <n v="45875.139999998632"/>
    <n v="29527.029999999504"/>
    <n v="-16348.109999999993"/>
    <n v="71494.470000000787"/>
    <n v="88506.590000000331"/>
    <n v="17012.11999999997"/>
    <n v="-14067.129999999996"/>
    <n v="0"/>
    <n v="14067.129999999996"/>
    <n v="85561.600000000457"/>
    <n v="88506.590000000331"/>
    <n v="2944.9900000000252"/>
    <n v="2164"/>
  </r>
  <r>
    <n v="2024"/>
    <n v="7"/>
    <x v="3"/>
    <d v="2024-07-25T00:00:00"/>
    <s v="Fido"/>
    <x v="0"/>
    <x v="0"/>
    <n v="137968"/>
    <n v="137968"/>
    <n v="0"/>
    <n v="1837.6900000000164"/>
    <n v="1837.6900000000164"/>
    <n v="0"/>
    <n v="3550.619999999979"/>
    <n v="3537.6299999999792"/>
    <n v="-12.99"/>
    <n v="-11350.5"/>
    <n v="-10570.5"/>
    <n v="780"/>
    <n v="-13.88"/>
    <n v="-13.88"/>
    <n v="0"/>
    <n v="-148.98000000000002"/>
    <n v="-148.98000000000002"/>
    <n v="0"/>
    <n v="131842.95000000185"/>
    <n v="132609.96000000183"/>
    <n v="767.01"/>
    <n v="53712.869999998271"/>
    <n v="24424.199999999706"/>
    <n v="-29288.669999999638"/>
    <n v="78130.080000000773"/>
    <n v="108185.76000000081"/>
    <n v="30055.679999999629"/>
    <n v="-11436.679999999997"/>
    <n v="0"/>
    <n v="11436.679999999997"/>
    <n v="89566.760000000315"/>
    <n v="108185.76000000081"/>
    <n v="18618.999999999854"/>
    <n v="2434"/>
  </r>
  <r>
    <n v="2024"/>
    <n v="7"/>
    <x v="3"/>
    <d v="2024-07-26T00:00:00"/>
    <s v="Fido"/>
    <x v="0"/>
    <x v="0"/>
    <n v="118195"/>
    <n v="118144"/>
    <n v="-51"/>
    <n v="1483.300000000022"/>
    <n v="1483.300000000022"/>
    <n v="0"/>
    <n v="3035.9499999999866"/>
    <n v="3035.9499999999866"/>
    <n v="0"/>
    <n v="-9627.5"/>
    <n v="-8786.5"/>
    <n v="841"/>
    <n v="-5.0100000000000007"/>
    <n v="-5.0100000000000007"/>
    <n v="0"/>
    <n v="-112.98"/>
    <n v="-112.98"/>
    <n v="0"/>
    <n v="112968.76000000103"/>
    <n v="113758.76000000103"/>
    <n v="790"/>
    <n v="46727.369999998627"/>
    <n v="22337.399999999736"/>
    <n v="-24389.96999999971"/>
    <n v="66241.390000000945"/>
    <n v="91421.360000000583"/>
    <n v="25179.969999999699"/>
    <n v="-10649.110000000002"/>
    <n v="0"/>
    <n v="10649.110000000002"/>
    <n v="76890.500000000393"/>
    <n v="91421.360000000583"/>
    <n v="14530.859999999999"/>
    <n v="2080"/>
  </r>
  <r>
    <n v="2024"/>
    <n v="7"/>
    <x v="3"/>
    <d v="2024-07-27T00:00:00"/>
    <s v="Fido"/>
    <x v="0"/>
    <x v="0"/>
    <n v="122855.5"/>
    <n v="122855.5"/>
    <n v="0"/>
    <n v="1356.2900000000102"/>
    <n v="1349.2900000000102"/>
    <n v="-7"/>
    <n v="3267.699999999983"/>
    <n v="3267.699999999983"/>
    <n v="0"/>
    <n v="-10282.75"/>
    <n v="-9104.75"/>
    <n v="1178"/>
    <n v="-6.21"/>
    <n v="-6.21"/>
    <n v="0"/>
    <n v="-93.990000000000009"/>
    <n v="-93.990000000000009"/>
    <n v="0"/>
    <n v="117096.54000000126"/>
    <n v="118267.5400000013"/>
    <n v="1171"/>
    <n v="48498.119999998831"/>
    <n v="26307.349999999631"/>
    <n v="-22190.7699999998"/>
    <n v="68598.420000000682"/>
    <n v="91960.190000000584"/>
    <n v="23361.769999999764"/>
    <n v="-11766.260000000009"/>
    <n v="0"/>
    <n v="11766.260000000009"/>
    <n v="80364.680000000531"/>
    <n v="91960.190000000584"/>
    <n v="11595.509999999998"/>
    <n v="2160"/>
  </r>
  <r>
    <n v="2024"/>
    <n v="7"/>
    <x v="3"/>
    <d v="2024-07-21T00:00:00"/>
    <s v="Rogers"/>
    <x v="0"/>
    <x v="1"/>
    <n v="123649.5"/>
    <n v="123649.5"/>
    <n v="0"/>
    <n v="939.17000000000814"/>
    <n v="939.17000000000814"/>
    <n v="0"/>
    <n v="5668.2699999999495"/>
    <n v="5668.2699999999495"/>
    <n v="0"/>
    <n v="-20166.7"/>
    <n v="-19151.2"/>
    <n v="1015.5"/>
    <n v="-11.14"/>
    <n v="-11.14"/>
    <n v="0"/>
    <n v="-112.8"/>
    <n v="-112.8"/>
    <n v="0"/>
    <n v="109966.30000000073"/>
    <n v="110981.80000000072"/>
    <n v="1015.5"/>
    <n v="22044.519999999851"/>
    <n v="14249.73999999998"/>
    <n v="-7794.7800000000225"/>
    <n v="87921.780000000304"/>
    <n v="96732.060000000536"/>
    <n v="8810.2800000000116"/>
    <n v="-7188.2399999999943"/>
    <n v="0"/>
    <n v="7188.2399999999943"/>
    <n v="95110.020000000062"/>
    <n v="96732.060000000536"/>
    <n v="1622.040000000002"/>
    <n v="1609"/>
  </r>
  <r>
    <n v="2024"/>
    <n v="7"/>
    <x v="3"/>
    <d v="2024-07-22T00:00:00"/>
    <s v="Rogers"/>
    <x v="0"/>
    <x v="1"/>
    <n v="162217.5"/>
    <n v="162217.5"/>
    <n v="0"/>
    <n v="1095.9600000000066"/>
    <n v="1095.9600000000066"/>
    <n v="0"/>
    <n v="7647.1699999999237"/>
    <n v="7634.1799999999239"/>
    <n v="-12.99"/>
    <n v="-26298.370000000003"/>
    <n v="-25108.120000000003"/>
    <n v="1190.25"/>
    <n v="-9.0499999999999989"/>
    <n v="-9.0499999999999989"/>
    <n v="0"/>
    <n v="-105.9"/>
    <n v="-105.9"/>
    <n v="0"/>
    <n v="144547.31000000073"/>
    <n v="145724.57000000068"/>
    <n v="1177.26"/>
    <n v="36986.39999999939"/>
    <n v="22963.999999999731"/>
    <n v="-14022.399999999981"/>
    <n v="107560.91000000102"/>
    <n v="122760.57000000126"/>
    <n v="15199.659999999976"/>
    <n v="-11474.859999999995"/>
    <n v="0"/>
    <n v="11474.859999999995"/>
    <n v="119035.77000000048"/>
    <n v="122760.57000000126"/>
    <n v="3724.8000000000175"/>
    <n v="2062"/>
  </r>
  <r>
    <n v="2024"/>
    <n v="7"/>
    <x v="3"/>
    <d v="2024-07-23T00:00:00"/>
    <s v="Rogers"/>
    <x v="0"/>
    <x v="1"/>
    <n v="155354"/>
    <n v="155354"/>
    <n v="0"/>
    <n v="992.71000000001027"/>
    <n v="992.71000000001027"/>
    <n v="0"/>
    <n v="6727.869999999939"/>
    <n v="6673.8999999999396"/>
    <n v="-53.970000000000006"/>
    <n v="-25997.42"/>
    <n v="-25183.17"/>
    <n v="814.25"/>
    <n v="-9.0400000000000009"/>
    <n v="-9.0400000000000009"/>
    <n v="0"/>
    <n v="-111.3"/>
    <n v="-96.8"/>
    <n v="14.5"/>
    <n v="136956.82000000105"/>
    <n v="137731.60000000102"/>
    <n v="774.78"/>
    <n v="39824.889999998872"/>
    <n v="17426.179999999964"/>
    <n v="-22398.709999999737"/>
    <n v="97131.930000001026"/>
    <n v="120305.42000000109"/>
    <n v="23173.489999999711"/>
    <n v="-8784.2499999999982"/>
    <n v="0"/>
    <n v="8784.2499999999982"/>
    <n v="105916.18000000065"/>
    <n v="120305.42000000109"/>
    <n v="14389.239999999982"/>
    <n v="1957"/>
  </r>
  <r>
    <n v="2024"/>
    <n v="7"/>
    <x v="3"/>
    <d v="2024-07-24T00:00:00"/>
    <s v="Rogers"/>
    <x v="0"/>
    <x v="1"/>
    <n v="186077"/>
    <n v="186077"/>
    <n v="0"/>
    <n v="1132.8800000000072"/>
    <n v="1132.8800000000072"/>
    <n v="0"/>
    <n v="7677.2399999999243"/>
    <n v="7617.2799999999252"/>
    <n v="-59.960000000000008"/>
    <n v="-30391.25"/>
    <n v="-29392"/>
    <n v="999.25"/>
    <n v="-11.780000000000001"/>
    <n v="-11.780000000000001"/>
    <n v="0"/>
    <n v="-129.19999999999999"/>
    <n v="-129.19999999999999"/>
    <n v="0"/>
    <n v="164354.89000000022"/>
    <n v="165294.1800000002"/>
    <n v="939.29"/>
    <n v="46351.539999998524"/>
    <n v="29195.83999999944"/>
    <n v="-17155.699999999975"/>
    <n v="118003.35000000161"/>
    <n v="136098.34000000099"/>
    <n v="18094.98999999994"/>
    <n v="-14787.610000000004"/>
    <n v="0"/>
    <n v="14787.610000000004"/>
    <n v="132790.96000000081"/>
    <n v="136098.34000000099"/>
    <n v="3307.3800000000319"/>
    <n v="2351"/>
  </r>
  <r>
    <n v="2024"/>
    <n v="7"/>
    <x v="3"/>
    <d v="2024-07-25T00:00:00"/>
    <s v="Rogers"/>
    <x v="0"/>
    <x v="1"/>
    <n v="217619.5"/>
    <n v="217619.5"/>
    <n v="0"/>
    <n v="1456.7800000000177"/>
    <n v="1456.7800000000177"/>
    <n v="0"/>
    <n v="9043.4199999999073"/>
    <n v="9024.4299999999075"/>
    <n v="-18.990000000000002"/>
    <n v="-33906.270000000004"/>
    <n v="-33113.270000000004"/>
    <n v="793"/>
    <n v="-16.970000000000002"/>
    <n v="-16.970000000000002"/>
    <n v="0"/>
    <n v="-155.59999999999997"/>
    <n v="-155.59999999999997"/>
    <n v="0"/>
    <n v="194040.8599999999"/>
    <n v="194814.86999999991"/>
    <n v="774.01"/>
    <n v="55480.409999998039"/>
    <n v="27125.639999999508"/>
    <n v="-28354.769999999466"/>
    <n v="138560.45000000042"/>
    <n v="167689.22999999975"/>
    <n v="29128.779999999457"/>
    <n v="-13382.33"/>
    <n v="0"/>
    <n v="13382.33"/>
    <n v="151942.77999999962"/>
    <n v="167689.22999999975"/>
    <n v="15746.449999999995"/>
    <n v="2758"/>
  </r>
  <r>
    <n v="2024"/>
    <n v="7"/>
    <x v="3"/>
    <d v="2024-07-26T00:00:00"/>
    <s v="Rogers"/>
    <x v="0"/>
    <x v="1"/>
    <n v="194135.5"/>
    <n v="194135.5"/>
    <n v="0"/>
    <n v="1390.2500000000095"/>
    <n v="1390.2500000000095"/>
    <n v="0"/>
    <n v="8333.8299999999163"/>
    <n v="8276.8599999999169"/>
    <n v="-56.970000000000006"/>
    <n v="-31510.019999999997"/>
    <n v="-30544.019999999997"/>
    <n v="966"/>
    <n v="-18.669999999999998"/>
    <n v="-18.669999999999998"/>
    <n v="0"/>
    <n v="-204.89000000000001"/>
    <n v="-204.89000000000001"/>
    <n v="0"/>
    <n v="172126"/>
    <n v="173035.02999999994"/>
    <n v="909.03"/>
    <n v="50597.119999998373"/>
    <n v="24325.009999999686"/>
    <n v="-26272.109999999539"/>
    <n v="121528.88000000158"/>
    <n v="148710.02000000063"/>
    <n v="27181.139999999501"/>
    <n v="-11823.360000000021"/>
    <n v="0"/>
    <n v="11823.360000000021"/>
    <n v="133352.24000000098"/>
    <n v="148710.02000000063"/>
    <n v="15357.779999999968"/>
    <n v="2475"/>
  </r>
  <r>
    <n v="2024"/>
    <n v="7"/>
    <x v="3"/>
    <d v="2024-07-27T00:00:00"/>
    <s v="Rogers"/>
    <x v="0"/>
    <x v="1"/>
    <n v="181905"/>
    <n v="181905"/>
    <n v="0"/>
    <n v="1449.6600000000176"/>
    <n v="1479.6600000000178"/>
    <n v="30"/>
    <n v="7798.1199999999226"/>
    <n v="7763.139999999923"/>
    <n v="-34.980000000000004"/>
    <n v="-30387.25"/>
    <n v="-29545.25"/>
    <n v="842"/>
    <n v="-23.700000000000003"/>
    <n v="-24.650000000000002"/>
    <n v="-0.95000000000000007"/>
    <n v="-196.28000000000003"/>
    <n v="-196.28000000000003"/>
    <n v="0"/>
    <n v="160545.55000000037"/>
    <n v="161381.62000000032"/>
    <n v="836.07"/>
    <n v="48468.61999999854"/>
    <n v="24834.719999999626"/>
    <n v="-23633.899999999645"/>
    <n v="112076.9300000011"/>
    <n v="136546.90000000084"/>
    <n v="24469.969999999623"/>
    <n v="-11963.780000000019"/>
    <n v="0"/>
    <n v="11963.780000000019"/>
    <n v="124040.71000000081"/>
    <n v="136546.90000000084"/>
    <n v="12506.190000000015"/>
    <n v="2341"/>
  </r>
  <r>
    <n v="2024"/>
    <n v="7"/>
    <x v="3"/>
    <d v="2024-07-21T00:00:00"/>
    <s v="Rogers"/>
    <x v="0"/>
    <x v="2"/>
    <n v="52952.61"/>
    <n v="52952.61"/>
    <n v="0"/>
    <n v="338.39999999999947"/>
    <n v="338.39999999999947"/>
    <n v="0"/>
    <n v="1440.1000000000006"/>
    <n v="1440.1000000000006"/>
    <n v="0"/>
    <n v="-17927.699999999997"/>
    <n v="-17569.699999999997"/>
    <n v="358"/>
    <n v="0"/>
    <n v="0"/>
    <n v="0"/>
    <n v="-20"/>
    <n v="-20"/>
    <n v="0"/>
    <n v="36783.409999999989"/>
    <n v="37141.409999999982"/>
    <n v="358"/>
    <n v="9683.3200000000088"/>
    <n v="5400.3100000000049"/>
    <n v="-4283.0100000000075"/>
    <n v="27100.09000000008"/>
    <n v="31741.100000000049"/>
    <n v="4641.0100000000084"/>
    <n v="-1662.9399999999991"/>
    <n v="0"/>
    <n v="1662.9399999999991"/>
    <n v="28763.030000000039"/>
    <n v="31741.100000000049"/>
    <n v="2978.0700000000056"/>
    <n v="601"/>
  </r>
  <r>
    <n v="2024"/>
    <n v="7"/>
    <x v="3"/>
    <d v="2024-07-22T00:00:00"/>
    <s v="Rogers"/>
    <x v="0"/>
    <x v="2"/>
    <n v="51669.72"/>
    <n v="51669.72"/>
    <n v="0"/>
    <n v="260.11999999999989"/>
    <n v="250.11999999999995"/>
    <n v="-10"/>
    <n v="1171.2600000000004"/>
    <n v="1171.2600000000004"/>
    <n v="0"/>
    <n v="-17721.310000000005"/>
    <n v="-17320.310000000005"/>
    <n v="401"/>
    <n v="0"/>
    <n v="0"/>
    <n v="0"/>
    <n v="-10"/>
    <n v="-10"/>
    <n v="0"/>
    <n v="35369.789999999979"/>
    <n v="35760.789999999979"/>
    <n v="391"/>
    <n v="12020.1"/>
    <n v="6734.3800000000138"/>
    <n v="-5285.7200000000066"/>
    <n v="23349.69000000009"/>
    <n v="29026.410000000091"/>
    <n v="5676.7200000000066"/>
    <n v="-2716.6499999999978"/>
    <n v="0"/>
    <n v="2716.6499999999978"/>
    <n v="26066.340000000018"/>
    <n v="29026.410000000091"/>
    <n v="2960.0700000000047"/>
    <n v="567"/>
  </r>
  <r>
    <n v="2024"/>
    <n v="7"/>
    <x v="3"/>
    <d v="2024-07-23T00:00:00"/>
    <s v="Rogers"/>
    <x v="0"/>
    <x v="2"/>
    <n v="44596.72"/>
    <n v="44596.72"/>
    <n v="0"/>
    <n v="175.72000000000006"/>
    <n v="175.72000000000006"/>
    <n v="0"/>
    <n v="1108.3100000000004"/>
    <n v="1095.3200000000004"/>
    <n v="-12.99"/>
    <n v="-15404.720000000001"/>
    <n v="-15083.720000000001"/>
    <n v="321"/>
    <n v="0"/>
    <n v="0"/>
    <n v="0"/>
    <n v="-10"/>
    <n v="-10"/>
    <n v="0"/>
    <n v="30466.030000000024"/>
    <n v="30774.040000000026"/>
    <n v="308.01"/>
    <n v="11526.54000000001"/>
    <n v="5236.1900000000114"/>
    <n v="-6290.3500000000122"/>
    <n v="18939.490000000053"/>
    <n v="25537.850000000064"/>
    <n v="6598.3600000000124"/>
    <n v="-2216.29"/>
    <n v="0"/>
    <n v="2216.29"/>
    <n v="21155.780000000053"/>
    <n v="25537.850000000064"/>
    <n v="4382.0700000000106"/>
    <n v="490"/>
  </r>
  <r>
    <n v="2024"/>
    <n v="7"/>
    <x v="3"/>
    <d v="2024-07-24T00:00:00"/>
    <s v="Rogers"/>
    <x v="0"/>
    <x v="2"/>
    <n v="65628.42"/>
    <n v="65628.42"/>
    <n v="0"/>
    <n v="309.51999999999953"/>
    <n v="309.51999999999953"/>
    <n v="0"/>
    <n v="1599.0100000000007"/>
    <n v="1583.0200000000007"/>
    <n v="-15.99"/>
    <n v="-22049.379999999997"/>
    <n v="-21479.379999999997"/>
    <n v="570"/>
    <n v="-0.48"/>
    <n v="-0.48"/>
    <n v="0"/>
    <n v="-24.8"/>
    <n v="-24.8"/>
    <n v="0"/>
    <n v="45462.289999999877"/>
    <n v="46016.299999999879"/>
    <n v="554.01"/>
    <n v="16338.110000000006"/>
    <n v="11302.400000000012"/>
    <n v="-5035.71000000001"/>
    <n v="29124.180000000273"/>
    <n v="34713.900000000183"/>
    <n v="5589.7200000000103"/>
    <n v="-4267.5399999999963"/>
    <n v="0"/>
    <n v="4267.5399999999963"/>
    <n v="33391.720000000096"/>
    <n v="34713.900000000183"/>
    <n v="1322.1800000000012"/>
    <n v="748"/>
  </r>
  <r>
    <n v="2024"/>
    <n v="7"/>
    <x v="3"/>
    <d v="2024-07-25T00:00:00"/>
    <s v="Rogers"/>
    <x v="0"/>
    <x v="2"/>
    <n v="82670.709999999992"/>
    <n v="82670.709999999992"/>
    <n v="0"/>
    <n v="463.61999999999915"/>
    <n v="463.61999999999915"/>
    <n v="0"/>
    <n v="1733.9200000000008"/>
    <n v="1733.9200000000008"/>
    <n v="0"/>
    <n v="-28287.62"/>
    <n v="-27474.62"/>
    <n v="813"/>
    <n v="-0.48"/>
    <n v="-0.48"/>
    <n v="0"/>
    <n v="-29.8"/>
    <n v="-29.8"/>
    <n v="0"/>
    <n v="56550.349999999831"/>
    <n v="57363.349999999817"/>
    <n v="813"/>
    <n v="22024.179999999757"/>
    <n v="10976.140000000009"/>
    <n v="-11048.04000000001"/>
    <n v="34526.170000000362"/>
    <n v="46387.210000000152"/>
    <n v="11861.040000000005"/>
    <n v="-4163.989999999998"/>
    <n v="0"/>
    <n v="4163.989999999998"/>
    <n v="38690.160000000273"/>
    <n v="46387.210000000152"/>
    <n v="7697.0500000000284"/>
    <n v="930"/>
  </r>
  <r>
    <n v="2024"/>
    <n v="7"/>
    <x v="3"/>
    <d v="2024-07-26T00:00:00"/>
    <s v="Rogers"/>
    <x v="0"/>
    <x v="2"/>
    <n v="84018.079999999973"/>
    <n v="84018.079999999973"/>
    <n v="0"/>
    <n v="413.47999999999826"/>
    <n v="383.4799999999986"/>
    <n v="-30"/>
    <n v="1858.8500000000008"/>
    <n v="1845.8600000000008"/>
    <n v="-12.99"/>
    <n v="-28954.82"/>
    <n v="-28194.82"/>
    <n v="760"/>
    <n v="-0.46"/>
    <n v="-0.46"/>
    <n v="0"/>
    <n v="-10"/>
    <n v="-10"/>
    <n v="0"/>
    <n v="57325.129999999801"/>
    <n v="58042.139999999803"/>
    <n v="717.01"/>
    <n v="22324.549999999726"/>
    <n v="12074.55000000001"/>
    <n v="-10250.000000000015"/>
    <n v="35000.580000000358"/>
    <n v="45967.590000000164"/>
    <n v="10967.010000000011"/>
    <n v="-3996.9499999999985"/>
    <n v="0"/>
    <n v="3996.9499999999985"/>
    <n v="38997.530000000203"/>
    <n v="45967.590000000164"/>
    <n v="6970.0600000000231"/>
    <n v="945"/>
  </r>
  <r>
    <n v="2024"/>
    <n v="7"/>
    <x v="3"/>
    <d v="2024-07-27T00:00:00"/>
    <s v="Rogers"/>
    <x v="0"/>
    <x v="2"/>
    <n v="95713.72"/>
    <n v="95713.72"/>
    <n v="0"/>
    <n v="448.22999999999877"/>
    <n v="448.22999999999877"/>
    <n v="0"/>
    <n v="2528.4499999999944"/>
    <n v="2512.4599999999946"/>
    <n v="-15.99"/>
    <n v="-33022.61"/>
    <n v="-32248.609999999997"/>
    <n v="774"/>
    <n v="-5.46"/>
    <n v="-5.46"/>
    <n v="0"/>
    <n v="-10"/>
    <n v="-10"/>
    <n v="0"/>
    <n v="65652.329999999754"/>
    <n v="66410.339999999778"/>
    <n v="758.01"/>
    <n v="25252.029999999624"/>
    <n v="13401.150000000005"/>
    <n v="-11850.88000000001"/>
    <n v="40400.300000000425"/>
    <n v="53009.190000000148"/>
    <n v="12608.890000000009"/>
    <n v="-5010.9699999999957"/>
    <n v="0"/>
    <n v="5010.9699999999957"/>
    <n v="45411.270000000281"/>
    <n v="53009.190000000148"/>
    <n v="7597.9200000000274"/>
    <n v="1069"/>
  </r>
  <r>
    <n v="2024"/>
    <n v="7"/>
    <x v="3"/>
    <d v="2024-07-21T00:00:00"/>
    <s v="Rogers"/>
    <x v="1"/>
    <x v="3"/>
    <n v="9509.5"/>
    <n v="9509.5"/>
    <n v="0"/>
    <n v="585.29999999999995"/>
    <n v="585.29999999999995"/>
    <n v="0"/>
    <n v="134.91"/>
    <n v="134.91"/>
    <n v="0"/>
    <n v="-1398.75"/>
    <n v="-1398.75"/>
    <n v="0"/>
    <n v="0"/>
    <n v="0"/>
    <n v="0"/>
    <n v="0"/>
    <n v="0"/>
    <n v="0"/>
    <n v="8830.9600000000028"/>
    <n v="8830.9600000000028"/>
    <n v="0"/>
    <n v="17.420000000000002"/>
    <n v="16.670000000000002"/>
    <n v="-0.75"/>
    <n v="8813.5400000000009"/>
    <n v="8814.2900000000009"/>
    <n v="0.75"/>
    <n v="2552.1199999999972"/>
    <n v="0"/>
    <n v="-2552.1199999999972"/>
    <n v="6261.4199999999992"/>
    <n v="8814.2900000000009"/>
    <n v="2552.8699999999972"/>
    <n v="287"/>
  </r>
  <r>
    <n v="2024"/>
    <n v="7"/>
    <x v="3"/>
    <d v="2024-07-22T00:00:00"/>
    <s v="Rogers"/>
    <x v="1"/>
    <x v="3"/>
    <n v="6026.0500000000047"/>
    <n v="6026.0500000000047"/>
    <n v="0"/>
    <n v="89.7"/>
    <n v="89.7"/>
    <n v="0"/>
    <n v="0"/>
    <n v="0"/>
    <n v="0"/>
    <n v="-1408.15"/>
    <n v="-1408.15"/>
    <n v="0"/>
    <n v="-5"/>
    <n v="-5"/>
    <n v="0"/>
    <n v="0"/>
    <n v="0"/>
    <n v="0"/>
    <n v="4702.600000000004"/>
    <n v="4702.600000000004"/>
    <n v="0"/>
    <n v="53.63"/>
    <n v="33.340000000000003"/>
    <n v="-20.29"/>
    <n v="4648.9700000000039"/>
    <n v="4669.2600000000039"/>
    <n v="20.290000000000006"/>
    <n v="1275.8299999999992"/>
    <n v="11.18"/>
    <n v="-1264.6499999999992"/>
    <n v="3373.1399999999985"/>
    <n v="4658.0800000000045"/>
    <n v="1284.9399999999989"/>
    <n v="114"/>
  </r>
  <r>
    <n v="2024"/>
    <n v="7"/>
    <x v="3"/>
    <d v="2024-07-23T00:00:00"/>
    <s v="Rogers"/>
    <x v="1"/>
    <x v="3"/>
    <n v="361"/>
    <n v="361"/>
    <n v="0"/>
    <n v="37"/>
    <n v="37"/>
    <n v="0"/>
    <n v="0"/>
    <n v="0"/>
    <n v="0"/>
    <n v="-110.5"/>
    <n v="-110.5"/>
    <n v="0"/>
    <n v="-5"/>
    <n v="-5"/>
    <n v="0"/>
    <n v="0"/>
    <n v="0"/>
    <n v="0"/>
    <n v="282.5"/>
    <n v="282.5"/>
    <n v="0"/>
    <n v="55.010000000000005"/>
    <n v="21.67"/>
    <n v="-33.340000000000003"/>
    <n v="227.49"/>
    <n v="260.83"/>
    <n v="33.340000000000003"/>
    <n v="6.08"/>
    <n v="0"/>
    <n v="-6.08"/>
    <n v="221.41"/>
    <n v="260.83"/>
    <n v="39.419999999999995"/>
    <n v="4"/>
  </r>
  <r>
    <n v="2024"/>
    <n v="7"/>
    <x v="3"/>
    <d v="2024-07-24T00:00:00"/>
    <s v="Rogers"/>
    <x v="1"/>
    <x v="3"/>
    <n v="2912.48"/>
    <n v="2912.48"/>
    <n v="0"/>
    <n v="596.25"/>
    <n v="596.25"/>
    <n v="0"/>
    <n v="38.96"/>
    <n v="38.96"/>
    <n v="0"/>
    <n v="-254.4"/>
    <n v="-254.4"/>
    <n v="0"/>
    <n v="0"/>
    <n v="0"/>
    <n v="0"/>
    <n v="0"/>
    <n v="0"/>
    <n v="0"/>
    <n v="3293.2900000000013"/>
    <n v="3293.2900000000013"/>
    <n v="0"/>
    <n v="58.84"/>
    <n v="37.17"/>
    <n v="-21.67"/>
    <n v="3234.4500000000016"/>
    <n v="3256.1200000000017"/>
    <n v="21.67"/>
    <n v="1067.6100000000004"/>
    <n v="0"/>
    <n v="-1067.6100000000004"/>
    <n v="2166.8399999999988"/>
    <n v="3256.1200000000017"/>
    <n v="1089.2800000000007"/>
    <n v="125"/>
  </r>
  <r>
    <n v="2024"/>
    <n v="7"/>
    <x v="3"/>
    <d v="2024-07-25T00:00:00"/>
    <s v="Rogers"/>
    <x v="1"/>
    <x v="3"/>
    <n v="24768.59999999994"/>
    <n v="24768.59999999994"/>
    <n v="0"/>
    <n v="914.26000000000079"/>
    <n v="901.76000000000079"/>
    <n v="-12.5"/>
    <n v="655.59000000000026"/>
    <n v="655.59000000000026"/>
    <n v="0"/>
    <n v="-6158.1999999999889"/>
    <n v="-6091.1999999999889"/>
    <n v="67"/>
    <n v="0"/>
    <n v="0"/>
    <n v="0"/>
    <n v="0"/>
    <n v="0"/>
    <n v="0"/>
    <n v="20180.249999999949"/>
    <n v="20234.749999999949"/>
    <n v="54.5"/>
    <n v="251.95000000000007"/>
    <n v="213.11"/>
    <n v="-38.840000000000003"/>
    <n v="19928.299999999956"/>
    <n v="20021.639999999956"/>
    <n v="93.339999999999961"/>
    <n v="8135.1100000000151"/>
    <n v="20.57"/>
    <n v="-8114.5400000000154"/>
    <n v="11793.190000000033"/>
    <n v="20001.069999999956"/>
    <n v="8207.8800000000156"/>
    <n v="474"/>
  </r>
  <r>
    <n v="2024"/>
    <n v="7"/>
    <x v="3"/>
    <d v="2024-07-26T00:00:00"/>
    <s v="Rogers"/>
    <x v="1"/>
    <x v="3"/>
    <n v="11745.999999999965"/>
    <n v="11745.999999999965"/>
    <n v="0"/>
    <n v="480.35999999999996"/>
    <n v="480.35999999999996"/>
    <n v="0"/>
    <n v="152.9"/>
    <n v="152.9"/>
    <n v="0"/>
    <n v="-3768.1500000000005"/>
    <n v="-3768.1500000000005"/>
    <n v="0"/>
    <n v="0"/>
    <n v="0"/>
    <n v="0"/>
    <n v="0"/>
    <n v="0"/>
    <n v="0"/>
    <n v="8611.110000000006"/>
    <n v="8611.110000000006"/>
    <n v="0"/>
    <n v="225.33000000000004"/>
    <n v="12.22"/>
    <n v="-213.11"/>
    <n v="8385.7800000000097"/>
    <n v="8598.8900000000085"/>
    <n v="213.11000000000007"/>
    <n v="2062.8599999999992"/>
    <n v="0"/>
    <n v="-2062.8599999999992"/>
    <n v="6322.9200000000073"/>
    <n v="8598.8900000000085"/>
    <n v="2275.9699999999989"/>
    <n v="269"/>
  </r>
  <r>
    <n v="2024"/>
    <n v="7"/>
    <x v="3"/>
    <d v="2024-07-27T00:00:00"/>
    <s v="Rogers"/>
    <x v="1"/>
    <x v="3"/>
    <n v="6077.8000000000084"/>
    <n v="6077.8000000000084"/>
    <n v="0"/>
    <n v="712.10000000000014"/>
    <n v="712.10000000000014"/>
    <n v="0"/>
    <n v="66.960000000000008"/>
    <n v="66.960000000000008"/>
    <n v="0"/>
    <n v="-1236.8"/>
    <n v="-1236.8"/>
    <n v="0"/>
    <n v="0"/>
    <n v="0"/>
    <n v="0"/>
    <n v="0"/>
    <n v="0"/>
    <n v="0"/>
    <n v="5620.0600000000077"/>
    <n v="5620.0600000000077"/>
    <n v="0"/>
    <n v="43.89"/>
    <n v="31.67"/>
    <n v="-12.22"/>
    <n v="5576.1700000000083"/>
    <n v="5588.3900000000076"/>
    <n v="12.219999999999999"/>
    <n v="1787.1100000000001"/>
    <n v="0"/>
    <n v="-1787.1100000000001"/>
    <n v="3789.0600000000004"/>
    <n v="5588.3900000000076"/>
    <n v="1799.33"/>
    <n v="169"/>
  </r>
  <r>
    <n v="2024"/>
    <n v="7"/>
    <x v="3"/>
    <d v="2024-07-21T00:00:00"/>
    <s v="Rogers"/>
    <x v="1"/>
    <x v="4"/>
    <n v="11395.500000000002"/>
    <n v="11395.500000000002"/>
    <n v="0"/>
    <n v="461.60999999999984"/>
    <n v="461.60999999999984"/>
    <n v="0"/>
    <n v="179.89000000000004"/>
    <n v="179.89000000000004"/>
    <n v="0"/>
    <n v="-3982.3499999999985"/>
    <n v="-3971.3499999999985"/>
    <n v="11"/>
    <n v="-80.2"/>
    <n v="-80.2"/>
    <n v="0"/>
    <n v="-10"/>
    <n v="-10"/>
    <n v="0"/>
    <n v="7964.4500000000016"/>
    <n v="7975.4500000000016"/>
    <n v="11"/>
    <n v="495.69000000000005"/>
    <n v="423.47"/>
    <n v="-72.22"/>
    <n v="7468.760000000002"/>
    <n v="7551.9800000000023"/>
    <n v="83.220000000000013"/>
    <n v="1303.7899999999991"/>
    <n v="0"/>
    <n v="-1303.7899999999991"/>
    <n v="6164.9700000000039"/>
    <n v="7551.9800000000023"/>
    <n v="1387.0099999999993"/>
    <n v="149"/>
  </r>
  <r>
    <n v="2024"/>
    <n v="7"/>
    <x v="3"/>
    <d v="2024-07-22T00:00:00"/>
    <s v="Rogers"/>
    <x v="1"/>
    <x v="4"/>
    <n v="11355"/>
    <n v="11355"/>
    <n v="0"/>
    <n v="148.53000000000003"/>
    <n v="148.53000000000003"/>
    <n v="0"/>
    <n v="236.86000000000007"/>
    <n v="236.86000000000007"/>
    <n v="0"/>
    <n v="-3480.2600000000011"/>
    <n v="-3449.2600000000011"/>
    <n v="31"/>
    <n v="-5"/>
    <n v="-5"/>
    <n v="0"/>
    <n v="-66.97"/>
    <n v="-66.97"/>
    <n v="0"/>
    <n v="8188.1600000000035"/>
    <n v="8219.1600000000035"/>
    <n v="31"/>
    <n v="790.04"/>
    <n v="366.57000000000005"/>
    <n v="-423.46999999999997"/>
    <n v="7398.1200000000008"/>
    <n v="7852.59"/>
    <n v="454.46999999999997"/>
    <n v="1402.6600000000003"/>
    <n v="0"/>
    <n v="-1402.6600000000003"/>
    <n v="5995.4600000000028"/>
    <n v="7852.59"/>
    <n v="1857.1299999999994"/>
    <n v="156"/>
  </r>
  <r>
    <n v="2024"/>
    <n v="7"/>
    <x v="3"/>
    <d v="2024-07-23T00:00:00"/>
    <s v="Rogers"/>
    <x v="1"/>
    <x v="4"/>
    <n v="2299.0500000000002"/>
    <n v="2299.0500000000002"/>
    <n v="0"/>
    <n v="64.84"/>
    <n v="64.84"/>
    <n v="0"/>
    <n v="107.94"/>
    <n v="107.94"/>
    <n v="0"/>
    <n v="-713.55"/>
    <n v="-713.55"/>
    <n v="0"/>
    <n v="0"/>
    <n v="0"/>
    <n v="0"/>
    <n v="-56.970000000000006"/>
    <n v="-56.970000000000006"/>
    <n v="0"/>
    <n v="1701.31"/>
    <n v="1701.31"/>
    <n v="0"/>
    <n v="534.97000000000014"/>
    <n v="168.40000000000003"/>
    <n v="-366.57000000000016"/>
    <n v="1166.3399999999999"/>
    <n v="1532.9099999999999"/>
    <n v="366.57000000000011"/>
    <n v="-60.84"/>
    <n v="0"/>
    <n v="60.84"/>
    <n v="1227.18"/>
    <n v="1532.9099999999999"/>
    <n v="305.73000000000008"/>
    <n v="28"/>
  </r>
  <r>
    <n v="2024"/>
    <n v="7"/>
    <x v="3"/>
    <d v="2024-07-24T00:00:00"/>
    <s v="Rogers"/>
    <x v="1"/>
    <x v="4"/>
    <n v="4621.3000000000011"/>
    <n v="4621.3000000000011"/>
    <n v="0"/>
    <n v="132.63999999999999"/>
    <n v="132.63999999999999"/>
    <n v="0"/>
    <n v="114.93000000000002"/>
    <n v="114.93000000000002"/>
    <n v="0"/>
    <n v="-1610.7000000000003"/>
    <n v="-1610.7000000000003"/>
    <n v="0"/>
    <n v="-15"/>
    <n v="-15"/>
    <n v="0"/>
    <n v="-10"/>
    <n v="-10"/>
    <n v="0"/>
    <n v="3233.1700000000023"/>
    <n v="3233.1700000000023"/>
    <n v="0"/>
    <n v="504.99000000000018"/>
    <n v="336.59000000000009"/>
    <n v="-168.40000000000003"/>
    <n v="2728.1800000000021"/>
    <n v="2896.5800000000027"/>
    <n v="168.40000000000003"/>
    <n v="164.60000000000005"/>
    <n v="0"/>
    <n v="-164.60000000000005"/>
    <n v="2563.58"/>
    <n v="2896.5800000000027"/>
    <n v="333.00000000000011"/>
    <n v="55"/>
  </r>
  <r>
    <n v="2024"/>
    <n v="7"/>
    <x v="3"/>
    <d v="2024-07-25T00:00:00"/>
    <s v="Rogers"/>
    <x v="1"/>
    <x v="4"/>
    <n v="12780.05"/>
    <n v="12780.05"/>
    <n v="0"/>
    <n v="215.04000000000002"/>
    <n v="215.04000000000002"/>
    <n v="0"/>
    <n v="326.80000000000007"/>
    <n v="326.80000000000007"/>
    <n v="0"/>
    <n v="-4359.2299999999959"/>
    <n v="-4354.2299999999959"/>
    <n v="5"/>
    <n v="-20"/>
    <n v="-20"/>
    <n v="0"/>
    <n v="-15"/>
    <n v="-15"/>
    <n v="0"/>
    <n v="8927.6599999999871"/>
    <n v="8932.6599999999871"/>
    <n v="5"/>
    <n v="761.94999999999993"/>
    <n v="425.36000000000018"/>
    <n v="-336.59000000000009"/>
    <n v="8165.70999999999"/>
    <n v="8507.2999999999902"/>
    <n v="341.59000000000009"/>
    <n v="1333.6599999999996"/>
    <n v="0"/>
    <n v="-1333.6599999999996"/>
    <n v="6832.0499999999984"/>
    <n v="8507.2999999999902"/>
    <n v="1675.2500000000002"/>
    <n v="152"/>
  </r>
  <r>
    <n v="2024"/>
    <n v="7"/>
    <x v="3"/>
    <d v="2024-07-26T00:00:00"/>
    <s v="Rogers"/>
    <x v="1"/>
    <x v="4"/>
    <n v="13053.299999999997"/>
    <n v="13053.299999999997"/>
    <n v="0"/>
    <n v="220.20999999999998"/>
    <n v="220.20999999999998"/>
    <n v="0"/>
    <n v="249.83000000000007"/>
    <n v="249.83000000000007"/>
    <n v="0"/>
    <n v="-5557.5799999999954"/>
    <n v="-5557.5799999999954"/>
    <n v="0"/>
    <n v="-20.5"/>
    <n v="-20.5"/>
    <n v="0"/>
    <n v="-10"/>
    <n v="-10"/>
    <n v="0"/>
    <n v="7935.2600000000057"/>
    <n v="7935.2600000000057"/>
    <n v="0"/>
    <n v="860.56"/>
    <n v="435.2000000000001"/>
    <n v="-425.36000000000007"/>
    <n v="7074.7000000000053"/>
    <n v="7500.0600000000059"/>
    <n v="425.36000000000007"/>
    <n v="1350.3900000000008"/>
    <n v="0"/>
    <n v="-1350.3900000000008"/>
    <n v="5724.3099999999986"/>
    <n v="7500.0600000000059"/>
    <n v="1775.7500000000007"/>
    <n v="150"/>
  </r>
  <r>
    <n v="2024"/>
    <n v="7"/>
    <x v="3"/>
    <d v="2024-07-27T00:00:00"/>
    <s v="Rogers"/>
    <x v="1"/>
    <x v="4"/>
    <n v="13507.300000000001"/>
    <n v="13507.300000000001"/>
    <n v="0"/>
    <n v="237.00000000000003"/>
    <n v="237.00000000000003"/>
    <n v="0"/>
    <n v="227.86000000000007"/>
    <n v="227.86000000000007"/>
    <n v="0"/>
    <n v="-4600.699999999998"/>
    <n v="-4567.6999999999989"/>
    <n v="33"/>
    <n v="-25"/>
    <n v="-25"/>
    <n v="0"/>
    <n v="-30.990000000000002"/>
    <n v="-30.990000000000002"/>
    <n v="0"/>
    <n v="9315.4699999999903"/>
    <n v="9348.4699999999903"/>
    <n v="33"/>
    <n v="980.01999999999975"/>
    <n v="544.82000000000005"/>
    <n v="-435.20000000000022"/>
    <n v="8335.4499999999971"/>
    <n v="8803.6499999999942"/>
    <n v="468.20000000000022"/>
    <n v="1181.9700000000007"/>
    <n v="0"/>
    <n v="-1181.9700000000007"/>
    <n v="7153.4800000000005"/>
    <n v="8803.6499999999942"/>
    <n v="1650.1700000000019"/>
    <n v="168"/>
  </r>
  <r>
    <n v="2024"/>
    <n v="7"/>
    <x v="3"/>
    <d v="2024-07-21T00:00:00"/>
    <s v="Rogers"/>
    <x v="1"/>
    <x v="5"/>
    <n v="22961.149999999998"/>
    <n v="22961.149999999998"/>
    <n v="0"/>
    <n v="449.40999999999929"/>
    <n v="449.40999999999929"/>
    <n v="0"/>
    <n v="1111.3400000000004"/>
    <n v="1111.3400000000004"/>
    <n v="0"/>
    <n v="-6461.6500000000005"/>
    <n v="-6209.6500000000005"/>
    <n v="252"/>
    <n v="-25"/>
    <n v="-25"/>
    <n v="0"/>
    <n v="-15"/>
    <n v="-15"/>
    <n v="0"/>
    <n v="18020.249999999989"/>
    <n v="18272.249999999993"/>
    <n v="252"/>
    <n v="3527.0300000000034"/>
    <n v="2314.3200000000015"/>
    <n v="-1212.7099999999998"/>
    <n v="14493.219999999996"/>
    <n v="15957.929999999991"/>
    <n v="1464.7099999999998"/>
    <n v="-1129.3599999999994"/>
    <n v="0"/>
    <n v="1129.3599999999994"/>
    <n v="15622.579999999993"/>
    <n v="15957.929999999991"/>
    <n v="335.34999999999968"/>
    <n v="270"/>
  </r>
  <r>
    <n v="2024"/>
    <n v="7"/>
    <x v="3"/>
    <d v="2024-07-22T00:00:00"/>
    <s v="Rogers"/>
    <x v="1"/>
    <x v="5"/>
    <n v="28395"/>
    <n v="28395"/>
    <n v="0"/>
    <n v="437.31999999999954"/>
    <n v="437.31999999999954"/>
    <n v="0"/>
    <n v="1384.1800000000005"/>
    <n v="1384.1800000000005"/>
    <n v="0"/>
    <n v="-7695.25"/>
    <n v="-7398.25"/>
    <n v="297"/>
    <n v="-35"/>
    <n v="-35"/>
    <n v="0"/>
    <n v="-15"/>
    <n v="-15"/>
    <n v="0"/>
    <n v="22471.250000000018"/>
    <n v="22768.250000000018"/>
    <n v="297"/>
    <n v="5974.7900000000118"/>
    <n v="3703.3000000000065"/>
    <n v="-2271.4900000000021"/>
    <n v="16496.460000000006"/>
    <n v="19064.950000000015"/>
    <n v="2568.4900000000016"/>
    <n v="-1870.69"/>
    <n v="0"/>
    <n v="1870.69"/>
    <n v="18367.150000000012"/>
    <n v="19064.950000000015"/>
    <n v="697.80000000000018"/>
    <n v="324"/>
  </r>
  <r>
    <n v="2024"/>
    <n v="7"/>
    <x v="3"/>
    <d v="2024-07-23T00:00:00"/>
    <s v="Rogers"/>
    <x v="1"/>
    <x v="5"/>
    <n v="28157"/>
    <n v="28157"/>
    <n v="0"/>
    <n v="255.60999999999993"/>
    <n v="255.60999999999993"/>
    <n v="0"/>
    <n v="1129.3300000000004"/>
    <n v="1129.3300000000004"/>
    <n v="0"/>
    <n v="-7719.7300000000005"/>
    <n v="-7418.7300000000005"/>
    <n v="301"/>
    <n v="-5"/>
    <n v="-5"/>
    <n v="0"/>
    <n v="-6.9"/>
    <n v="-6.9"/>
    <n v="0"/>
    <n v="21810.310000000005"/>
    <n v="22111.310000000005"/>
    <n v="301"/>
    <n v="6721.0500000000156"/>
    <n v="3160.2300000000064"/>
    <n v="-3560.8200000000061"/>
    <n v="15089.260000000011"/>
    <n v="18951.08000000002"/>
    <n v="3861.8200000000061"/>
    <n v="-1626.26"/>
    <n v="0"/>
    <n v="1626.26"/>
    <n v="16715.520000000008"/>
    <n v="18951.08000000002"/>
    <n v="2235.5600000000049"/>
    <n v="315"/>
  </r>
  <r>
    <n v="2024"/>
    <n v="7"/>
    <x v="3"/>
    <d v="2024-07-24T00:00:00"/>
    <s v="Rogers"/>
    <x v="1"/>
    <x v="5"/>
    <n v="40044"/>
    <n v="40044"/>
    <n v="0"/>
    <n v="558.8599999999999"/>
    <n v="558.8599999999999"/>
    <n v="0"/>
    <n v="1491.1200000000006"/>
    <n v="1472.1300000000006"/>
    <n v="-18.990000000000002"/>
    <n v="-11758.3"/>
    <n v="-11311.3"/>
    <n v="447"/>
    <n v="-20"/>
    <n v="-20"/>
    <n v="0"/>
    <n v="-93.87"/>
    <n v="-93.87"/>
    <n v="0"/>
    <n v="30221.810000000045"/>
    <n v="30649.820000000047"/>
    <n v="428.01"/>
    <n v="8815.660000000018"/>
    <n v="5726.4000000000133"/>
    <n v="-3089.2600000000061"/>
    <n v="21406.150000000071"/>
    <n v="24923.420000000067"/>
    <n v="3517.2700000000063"/>
    <n v="-3028.9099999999989"/>
    <n v="0"/>
    <n v="3028.9099999999989"/>
    <n v="24435.060000000023"/>
    <n v="24923.420000000067"/>
    <n v="488.35999999999996"/>
    <n v="454"/>
  </r>
  <r>
    <n v="2024"/>
    <n v="7"/>
    <x v="3"/>
    <d v="2024-07-25T00:00:00"/>
    <s v="Rogers"/>
    <x v="1"/>
    <x v="5"/>
    <n v="42469.100000000006"/>
    <n v="42469.100000000006"/>
    <n v="0"/>
    <n v="612.14000000000044"/>
    <n v="612.14000000000044"/>
    <n v="0"/>
    <n v="1723.9500000000007"/>
    <n v="1742.9400000000007"/>
    <n v="18.990000000000002"/>
    <n v="-11486.32"/>
    <n v="-11155.119999999999"/>
    <n v="331.2"/>
    <n v="-20"/>
    <n v="-20"/>
    <n v="0"/>
    <n v="-107.96000000000001"/>
    <n v="-107.96000000000001"/>
    <n v="0"/>
    <n v="33190.909999999996"/>
    <n v="33541.1"/>
    <n v="350.19"/>
    <n v="9539.6300000000138"/>
    <n v="3992.8000000000079"/>
    <n v="-5546.8300000000154"/>
    <n v="23651.280000000112"/>
    <n v="29548.300000000057"/>
    <n v="5897.020000000015"/>
    <n v="-2071.42"/>
    <n v="0"/>
    <n v="2071.42"/>
    <n v="25722.700000000084"/>
    <n v="29548.300000000057"/>
    <n v="3825.6000000000158"/>
    <n v="493"/>
  </r>
  <r>
    <n v="2024"/>
    <n v="7"/>
    <x v="3"/>
    <d v="2024-07-26T00:00:00"/>
    <s v="Rogers"/>
    <x v="1"/>
    <x v="5"/>
    <n v="37108.94999999999"/>
    <n v="37108.94999999999"/>
    <n v="0"/>
    <n v="569.25999999999976"/>
    <n v="569.25999999999976"/>
    <n v="0"/>
    <n v="1721.9300000000007"/>
    <n v="1721.9300000000007"/>
    <n v="0"/>
    <n v="-9919.7200000000012"/>
    <n v="-9550.4700000000012"/>
    <n v="369.25"/>
    <n v="-30"/>
    <n v="-30"/>
    <n v="0"/>
    <n v="-56.980000000000004"/>
    <n v="-56.980000000000004"/>
    <n v="0"/>
    <n v="29393.440000000046"/>
    <n v="29762.690000000046"/>
    <n v="369.25"/>
    <n v="8330.9100000000199"/>
    <n v="4392.4100000000099"/>
    <n v="-3938.5000000000077"/>
    <n v="21062.530000000024"/>
    <n v="25370.280000000053"/>
    <n v="4307.7500000000082"/>
    <n v="-2150.5200000000009"/>
    <n v="0"/>
    <n v="2150.5200000000009"/>
    <n v="23213.050000000036"/>
    <n v="25370.280000000053"/>
    <n v="2157.2300000000037"/>
    <n v="439"/>
  </r>
  <r>
    <n v="2024"/>
    <n v="7"/>
    <x v="3"/>
    <d v="2024-07-27T00:00:00"/>
    <s v="Rogers"/>
    <x v="1"/>
    <x v="5"/>
    <n v="41671.049999999996"/>
    <n v="41671.049999999996"/>
    <n v="0"/>
    <n v="728.08000000000175"/>
    <n v="728.08000000000175"/>
    <n v="0"/>
    <n v="1668.9800000000007"/>
    <n v="1668.9800000000007"/>
    <n v="0"/>
    <n v="-12196.500000000002"/>
    <n v="-11853.500000000002"/>
    <n v="343"/>
    <n v="-45"/>
    <n v="-45"/>
    <n v="0"/>
    <n v="-67.97"/>
    <n v="-67.97"/>
    <n v="0"/>
    <n v="31758.640000000021"/>
    <n v="32101.640000000025"/>
    <n v="343"/>
    <n v="9751.6400000000176"/>
    <n v="5375.9000000000106"/>
    <n v="-4375.740000000008"/>
    <n v="22007.000000000102"/>
    <n v="26725.740000000074"/>
    <n v="4718.740000000008"/>
    <n v="-2572.4899999999957"/>
    <n v="0"/>
    <n v="2572.4899999999957"/>
    <n v="24579.490000000063"/>
    <n v="26725.740000000074"/>
    <n v="2146.2500000000064"/>
    <n v="485"/>
  </r>
  <r>
    <n v="2024"/>
    <n v="7"/>
    <x v="3"/>
    <d v="2024-07-21T00:00:00"/>
    <s v="Rogers"/>
    <x v="1"/>
    <x v="6"/>
    <n v="3724.7"/>
    <n v="3724.7"/>
    <n v="0"/>
    <n v="10.95"/>
    <n v="10.95"/>
    <n v="0"/>
    <n v="0"/>
    <n v="0"/>
    <n v="0"/>
    <n v="-1045.0499999999997"/>
    <n v="-1045.0499999999997"/>
    <n v="0"/>
    <n v="-4"/>
    <n v="-4"/>
    <n v="0"/>
    <n v="0"/>
    <n v="0"/>
    <n v="0"/>
    <n v="2686.5999999999985"/>
    <n v="2686.5999999999985"/>
    <n v="0"/>
    <n v="135.17000000000002"/>
    <n v="65"/>
    <n v="-70.17"/>
    <n v="2551.4299999999985"/>
    <n v="2621.5999999999985"/>
    <n v="70.17"/>
    <n v="539.6099999999999"/>
    <n v="0"/>
    <n v="-539.6099999999999"/>
    <n v="2011.8200000000002"/>
    <n v="2621.5999999999985"/>
    <n v="609.78000000000009"/>
    <n v="60"/>
  </r>
  <r>
    <n v="2024"/>
    <n v="7"/>
    <x v="3"/>
    <d v="2024-07-22T00:00:00"/>
    <s v="Rogers"/>
    <x v="1"/>
    <x v="6"/>
    <n v="7215.5000000000018"/>
    <n v="7215.5000000000018"/>
    <n v="0"/>
    <n v="97.36999999999999"/>
    <n v="97.36999999999999"/>
    <n v="0"/>
    <n v="0"/>
    <n v="0"/>
    <n v="0"/>
    <n v="-1250.4499999999994"/>
    <n v="-1250.4499999999994"/>
    <n v="0"/>
    <n v="0"/>
    <n v="0"/>
    <n v="0"/>
    <n v="0"/>
    <n v="0"/>
    <n v="0"/>
    <n v="6062.420000000001"/>
    <n v="6062.420000000001"/>
    <n v="0"/>
    <n v="65"/>
    <m/>
    <n v="-65"/>
    <n v="5997.420000000001"/>
    <n v="6062.420000000001"/>
    <n v="65"/>
    <n v="895.74000000000046"/>
    <n v="0"/>
    <n v="-895.74000000000046"/>
    <n v="5101.680000000003"/>
    <n v="6062.420000000001"/>
    <n v="960.74000000000024"/>
    <n v="112"/>
  </r>
  <r>
    <n v="2024"/>
    <n v="7"/>
    <x v="3"/>
    <d v="2024-07-23T00:00:00"/>
    <s v="Rogers"/>
    <x v="1"/>
    <x v="6"/>
    <n v="75"/>
    <n v="75"/>
    <n v="0"/>
    <n v="0"/>
    <n v="0"/>
    <n v="0"/>
    <n v="0"/>
    <n v="0"/>
    <n v="0"/>
    <n v="-32.25"/>
    <n v="-32.25"/>
    <n v="0"/>
    <n v="0"/>
    <n v="0"/>
    <n v="0"/>
    <n v="0"/>
    <n v="0"/>
    <n v="0"/>
    <n v="42.75"/>
    <n v="42.75"/>
    <n v="0"/>
    <m/>
    <m/>
    <n v="0"/>
    <n v="42.75"/>
    <n v="42.75"/>
    <n v="0"/>
    <n v="15.57"/>
    <n v="0"/>
    <n v="-15.57"/>
    <n v="27.18"/>
    <n v="42.75"/>
    <n v="15.57"/>
    <n v="1"/>
  </r>
  <r>
    <n v="2024"/>
    <n v="7"/>
    <x v="3"/>
    <d v="2024-07-24T00:00:00"/>
    <s v="Rogers"/>
    <x v="1"/>
    <x v="6"/>
    <n v="1365.0999999999997"/>
    <n v="1365.0999999999997"/>
    <n v="0"/>
    <n v="20"/>
    <n v="20"/>
    <n v="0"/>
    <n v="0"/>
    <n v="0"/>
    <n v="0"/>
    <n v="-309.35000000000002"/>
    <n v="-309.35000000000002"/>
    <n v="0"/>
    <n v="-8"/>
    <n v="-8"/>
    <n v="0"/>
    <n v="0"/>
    <n v="0"/>
    <n v="0"/>
    <n v="1067.7499999999998"/>
    <n v="1067.7499999999998"/>
    <n v="0"/>
    <n v="41.67"/>
    <n v="41.67"/>
    <n v="0"/>
    <n v="1026.08"/>
    <n v="1026.08"/>
    <n v="0"/>
    <n v="253.27999999999997"/>
    <n v="0"/>
    <n v="-253.27999999999997"/>
    <n v="772.79999999999984"/>
    <n v="1026.08"/>
    <n v="253.27999999999997"/>
    <n v="26"/>
  </r>
  <r>
    <n v="2024"/>
    <n v="7"/>
    <x v="3"/>
    <d v="2024-07-25T00:00:00"/>
    <s v="Rogers"/>
    <x v="1"/>
    <x v="6"/>
    <n v="4302.6000000000004"/>
    <n v="4302.6000000000004"/>
    <n v="0"/>
    <n v="20.950000000000003"/>
    <n v="20.950000000000003"/>
    <n v="0"/>
    <n v="0"/>
    <n v="0"/>
    <n v="0"/>
    <n v="-1042.3999999999999"/>
    <n v="-1042.3999999999999"/>
    <n v="0"/>
    <n v="-4"/>
    <n v="-4"/>
    <n v="0"/>
    <n v="0"/>
    <n v="0"/>
    <n v="0"/>
    <n v="3277.1499999999996"/>
    <n v="3277.1499999999996"/>
    <n v="0"/>
    <n v="128.88"/>
    <n v="87.210000000000008"/>
    <n v="-41.67"/>
    <n v="3148.27"/>
    <n v="3189.94"/>
    <n v="41.67"/>
    <n v="720.64"/>
    <n v="0"/>
    <n v="-720.64"/>
    <n v="2427.6299999999992"/>
    <n v="3189.94"/>
    <n v="762.31000000000017"/>
    <n v="74"/>
  </r>
  <r>
    <n v="2024"/>
    <n v="7"/>
    <x v="3"/>
    <d v="2024-07-26T00:00:00"/>
    <s v="Rogers"/>
    <x v="1"/>
    <x v="6"/>
    <n v="5127.7"/>
    <n v="5127.7"/>
    <n v="0"/>
    <n v="155.94999999999999"/>
    <n v="155.94999999999999"/>
    <n v="0"/>
    <n v="0"/>
    <n v="0"/>
    <n v="0"/>
    <n v="-1426.1799999999998"/>
    <n v="-1426.1799999999998"/>
    <n v="0"/>
    <n v="-32"/>
    <n v="-32"/>
    <n v="0"/>
    <n v="0"/>
    <n v="0"/>
    <n v="0"/>
    <n v="3825.4699999999993"/>
    <n v="3825.4699999999993"/>
    <n v="0"/>
    <n v="205.20000000000002"/>
    <n v="117.99"/>
    <n v="-87.210000000000008"/>
    <n v="3620.2699999999995"/>
    <n v="3707.4799999999991"/>
    <n v="87.210000000000008"/>
    <n v="869.33999999999992"/>
    <n v="0"/>
    <n v="-869.33999999999992"/>
    <n v="2750.9299999999989"/>
    <n v="3707.4799999999991"/>
    <n v="956.54999999999973"/>
    <n v="93"/>
  </r>
  <r>
    <n v="2024"/>
    <n v="7"/>
    <x v="3"/>
    <d v="2024-07-27T00:00:00"/>
    <s v="Rogers"/>
    <x v="1"/>
    <x v="6"/>
    <n v="4794.25"/>
    <n v="4794.25"/>
    <n v="0"/>
    <n v="30"/>
    <n v="30"/>
    <n v="0"/>
    <n v="0"/>
    <n v="0"/>
    <n v="0"/>
    <n v="-1284.1999999999989"/>
    <n v="-1284.1999999999989"/>
    <n v="0"/>
    <n v="-8"/>
    <n v="-8"/>
    <n v="0"/>
    <n v="0"/>
    <n v="0"/>
    <n v="0"/>
    <n v="3532.0499999999988"/>
    <n v="3532.0499999999988"/>
    <n v="0"/>
    <n v="137.99"/>
    <n v="20"/>
    <n v="-117.99000000000001"/>
    <n v="3394.059999999999"/>
    <n v="3512.0499999999988"/>
    <n v="117.99000000000001"/>
    <n v="843.41999999999985"/>
    <n v="0"/>
    <n v="-843.41999999999985"/>
    <n v="2550.6400000000021"/>
    <n v="3512.0499999999988"/>
    <n v="961.4100000000002"/>
    <n v="78"/>
  </r>
  <r>
    <m/>
    <m/>
    <x v="4"/>
    <m/>
    <m/>
    <x v="2"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3156C-ED1E-40B4-938F-C62C8B2CC40B}" name="PivotTable1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H19" firstHeaderRow="1" firstDataRow="2" firstDataCol="1" rowPageCount="2" colPageCount="1"/>
  <pivotFields count="41">
    <pivotField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numFmtId="164" showAll="0"/>
    <pivotField showAll="0"/>
    <pivotField axis="axisPage" showAll="0">
      <items count="3">
        <item x="0"/>
        <item x="1"/>
        <item t="default"/>
      </items>
    </pivotField>
    <pivotField axis="axisPage" showAll="0">
      <items count="8">
        <item x="3"/>
        <item x="0"/>
        <item x="4"/>
        <item x="1"/>
        <item x="5"/>
        <item x="2"/>
        <item x="6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dataField="1" numFmtId="2" showAll="0"/>
    <pivotField numFmtId="2" showAll="0"/>
    <pivotField numFmtId="2" showAll="0"/>
    <pivotField dataField="1" numFmtId="2" showAll="0"/>
    <pivotField numFmtId="2" showAll="0"/>
    <pivotField numFmtId="2" showAll="0"/>
    <pivotField dataField="1" numFmtId="2" showAll="0"/>
    <pivotField showAll="0"/>
    <pivotField showAll="0"/>
    <pivotField dataField="1" numFmtId="2" showAll="0"/>
    <pivotField numFmtId="2" showAll="0"/>
    <pivotField numFmtId="2" showAll="0"/>
    <pivotField dataField="1" numFmtId="2" showAll="0"/>
    <pivotField showAll="0"/>
    <pivotField showAll="0"/>
    <pivotField dataField="1" showAll="0"/>
    <pivotField showAll="0"/>
    <pivotField showAll="0"/>
    <pivotField dataField="1" showAll="0"/>
    <pivotField showAll="0"/>
  </pivotFields>
  <rowFields count="1">
    <field x="-2"/>
  </rowFields>
  <row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2">
    <pageField fld="5" hier="-1"/>
    <pageField fld="6" hier="-1"/>
  </pageFields>
  <dataFields count="8">
    <dataField name="Sum of NET_MRC" fld="27" baseField="0" baseItem="0"/>
    <dataField name="Sum of NET_IAS" fld="33" baseField="0" baseItem="0"/>
    <dataField name="Sum of NET_FN_CREDIT_AMT" fld="30" baseField="0" baseItem="0"/>
    <dataField name="Sum of NET_DD" fld="36" baseField="0" baseItem="0"/>
    <dataField name="Sum of NET_IFRS" fld="39" baseField="0" baseItem="0"/>
    <dataField name="Sum of NET_PP_DISC" fld="18" baseField="0" baseItem="0"/>
    <dataField name="Sum of NET_NON_PP_DISC" fld="21" baseField="0" baseItem="0"/>
    <dataField name="Sum of NET_DP_DISC" fld="24" baseField="0" baseItem="0"/>
  </dataFields>
  <formats count="3">
    <format dxfId="13">
      <pivotArea outline="0" collapsedLevelsAreSubtotals="1" fieldPosition="0"/>
    </format>
    <format dxfId="12">
      <pivotArea collapsedLevelsAreSubtotals="1" fieldPosition="0">
        <references count="1">
          <reference field="4294967294" count="1">
            <x v="2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1AE3C7-5112-4AB5-ABA1-596627450654}" name="PivotTable1" cacheId="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F19" firstHeaderRow="1" firstDataRow="2" firstDataCol="1" rowPageCount="2" colPageCount="1"/>
  <pivotFields count="41">
    <pivotField showAll="0"/>
    <pivotField showAll="0"/>
    <pivotField axis="axisCol" showAll="0">
      <items count="6">
        <item x="0"/>
        <item x="1"/>
        <item x="2"/>
        <item x="3"/>
        <item h="1" x="4"/>
        <item t="default"/>
      </items>
    </pivotField>
    <pivotField numFmtId="164" showAll="0"/>
    <pivotField showAll="0"/>
    <pivotField axis="axisPage" showAll="0">
      <items count="4">
        <item x="0"/>
        <item x="1"/>
        <item x="2"/>
        <item t="default"/>
      </items>
    </pivotField>
    <pivotField axis="axisPage" showAll="0">
      <items count="9">
        <item x="3"/>
        <item x="0"/>
        <item x="4"/>
        <item x="1"/>
        <item x="5"/>
        <item x="2"/>
        <item x="6"/>
        <item x="7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dataField="1" numFmtId="2" showAll="0"/>
    <pivotField numFmtId="2" showAll="0"/>
    <pivotField numFmtId="2" showAll="0"/>
    <pivotField dataField="1" numFmtId="2" showAll="0"/>
    <pivotField numFmtId="2" showAll="0"/>
    <pivotField numFmtId="2" showAll="0"/>
    <pivotField dataField="1" numFmtId="2" showAll="0"/>
    <pivotField showAll="0"/>
    <pivotField showAll="0"/>
    <pivotField dataField="1" numFmtId="2" showAll="0"/>
    <pivotField numFmtId="2" showAll="0"/>
    <pivotField numFmtId="2" showAll="0"/>
    <pivotField dataField="1" numFmtId="2" showAll="0"/>
    <pivotField showAll="0"/>
    <pivotField showAll="0"/>
    <pivotField dataField="1" showAll="0"/>
    <pivotField showAll="0"/>
    <pivotField showAll="0"/>
    <pivotField dataField="1" showAll="0"/>
    <pivotField showAll="0"/>
  </pivotFields>
  <rowFields count="1">
    <field x="-2"/>
  </rowFields>
  <row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2">
    <pageField fld="5" hier="-1"/>
    <pageField fld="6" hier="-1"/>
  </pageFields>
  <dataFields count="8">
    <dataField name="Sum of NET_MRC" fld="27" baseField="0" baseItem="0"/>
    <dataField name="Sum of NET_IAS" fld="33" baseField="0" baseItem="0"/>
    <dataField name="Sum of NET_FN_CREDIT_AMT" fld="30" baseField="0" baseItem="0"/>
    <dataField name="Sum of NET_DD" fld="36" baseField="0" baseItem="0"/>
    <dataField name="Sum of NET_IFRS" fld="39" baseField="0" baseItem="0"/>
    <dataField name="Sum of NET_PP_DISC" fld="18" baseField="0" baseItem="0"/>
    <dataField name="Sum of NET_NON_PP_DISC" fld="21" baseField="0" baseItem="0"/>
    <dataField name="Sum of NET_DP_DISC" fld="24" baseField="0" baseItem="0"/>
  </dataFields>
  <formats count="3">
    <format dxfId="10">
      <pivotArea outline="0" collapsedLevelsAreSubtotals="1" fieldPosition="0"/>
    </format>
    <format dxfId="3">
      <pivotArea collapsedLevelsAreSubtotals="1" fieldPosition="0">
        <references count="1">
          <reference field="4294967294" count="1">
            <x v="2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8DF1-6939-4EA6-81BF-9E2F6ADE816C}">
  <dimension ref="A1:FF37"/>
  <sheetViews>
    <sheetView zoomScale="75" zoomScaleNormal="75" workbookViewId="0">
      <selection activeCell="CV13" sqref="CV13"/>
    </sheetView>
  </sheetViews>
  <sheetFormatPr defaultRowHeight="14.5" outlineLevelCol="1" x14ac:dyDescent="0.35"/>
  <cols>
    <col min="1" max="1" width="12" bestFit="1" customWidth="1"/>
    <col min="2" max="3" width="10.90625" bestFit="1" customWidth="1"/>
    <col min="4" max="4" width="19.08984375" bestFit="1" customWidth="1"/>
    <col min="5" max="5" width="14.36328125" bestFit="1" customWidth="1"/>
    <col min="6" max="6" width="15.453125" bestFit="1" customWidth="1"/>
    <col min="7" max="7" width="20.453125" bestFit="1" customWidth="1"/>
    <col min="8" max="8" width="19.36328125" hidden="1" customWidth="1" outlineLevel="1"/>
    <col min="9" max="9" width="22.6328125" hidden="1" customWidth="1" outlineLevel="1"/>
    <col min="10" max="10" width="24" hidden="1" customWidth="1" outlineLevel="1"/>
    <col min="11" max="11" width="23.81640625" hidden="1" customWidth="1" outlineLevel="1"/>
    <col min="12" max="12" width="25.08984375" hidden="1" customWidth="1" outlineLevel="1"/>
    <col min="13" max="13" width="18.36328125" hidden="1" customWidth="1" outlineLevel="1"/>
    <col min="14" max="14" width="19.7265625" hidden="1" customWidth="1" outlineLevel="1"/>
    <col min="15" max="15" width="19.26953125" hidden="1" customWidth="1" outlineLevel="1"/>
    <col min="16" max="16" width="19.81640625" hidden="1" customWidth="1" outlineLevel="1"/>
    <col min="17" max="17" width="16.1796875" hidden="1" customWidth="1" outlineLevel="1"/>
    <col min="18" max="18" width="17.26953125" hidden="1" customWidth="1" outlineLevel="1"/>
    <col min="19" max="19" width="12" hidden="1" customWidth="1" outlineLevel="1"/>
    <col min="20" max="20" width="13.6328125" hidden="1" customWidth="1" outlineLevel="1"/>
    <col min="21" max="21" width="9.1796875" hidden="1" customWidth="1" outlineLevel="1"/>
    <col min="22" max="22" width="13.6328125" hidden="1" customWidth="1" outlineLevel="1"/>
    <col min="23" max="23" width="16.54296875" hidden="1" customWidth="1" outlineLevel="1"/>
    <col min="24" max="24" width="24.81640625" hidden="1" customWidth="1" outlineLevel="1"/>
    <col min="25" max="25" width="24.08984375" hidden="1" customWidth="1" outlineLevel="1"/>
    <col min="26" max="26" width="22.6328125" hidden="1" customWidth="1" outlineLevel="1"/>
    <col min="27" max="27" width="26.26953125" hidden="1" customWidth="1" outlineLevel="1"/>
    <col min="28" max="28" width="20.453125" hidden="1" customWidth="1" outlineLevel="1"/>
    <col min="29" max="29" width="25.81640625" hidden="1" customWidth="1" outlineLevel="1"/>
    <col min="30" max="30" width="14.26953125" hidden="1" customWidth="1" outlineLevel="1"/>
    <col min="31" max="31" width="26.26953125" bestFit="1" customWidth="1" collapsed="1"/>
    <col min="32" max="32" width="21.54296875" bestFit="1" customWidth="1"/>
    <col min="33" max="33" width="25.81640625" bestFit="1" customWidth="1"/>
    <col min="34" max="34" width="21.08984375" bestFit="1" customWidth="1"/>
    <col min="35" max="35" width="14.6328125" bestFit="1" customWidth="1"/>
    <col min="36" max="36" width="16.1796875" bestFit="1" customWidth="1"/>
    <col min="37" max="37" width="16" bestFit="1" customWidth="1"/>
    <col min="38" max="38" width="18.54296875" bestFit="1" customWidth="1"/>
    <col min="39" max="39" width="26.6328125" bestFit="1" customWidth="1"/>
    <col min="40" max="40" width="26.26953125" bestFit="1" customWidth="1"/>
    <col min="41" max="41" width="20" bestFit="1" customWidth="1"/>
    <col min="42" max="42" width="21.08984375" bestFit="1" customWidth="1"/>
    <col min="43" max="43" width="28.08984375" bestFit="1" customWidth="1"/>
    <col min="44" max="44" width="29.1796875" hidden="1" customWidth="1" outlineLevel="1"/>
    <col min="45" max="45" width="15.7265625" hidden="1" customWidth="1" outlineLevel="1"/>
    <col min="46" max="46" width="23.81640625" hidden="1" customWidth="1" outlineLevel="1"/>
    <col min="47" max="47" width="8.36328125" hidden="1" customWidth="1" outlineLevel="1"/>
    <col min="48" max="48" width="26.26953125" hidden="1" customWidth="1" outlineLevel="1"/>
    <col min="49" max="49" width="26.54296875" hidden="1" customWidth="1" outlineLevel="1"/>
    <col min="50" max="50" width="17.08984375" hidden="1" customWidth="1" outlineLevel="1"/>
    <col min="51" max="51" width="19.08984375" hidden="1" customWidth="1" outlineLevel="1"/>
    <col min="52" max="52" width="24.1796875" hidden="1" customWidth="1" outlineLevel="1"/>
    <col min="53" max="53" width="22.6328125" hidden="1" customWidth="1" outlineLevel="1"/>
    <col min="54" max="54" width="19" hidden="1" customWidth="1" outlineLevel="1"/>
    <col min="55" max="55" width="24.90625" hidden="1" customWidth="1" outlineLevel="1"/>
    <col min="56" max="56" width="31.08984375" hidden="1" customWidth="1" outlineLevel="1"/>
    <col min="57" max="57" width="27.36328125" hidden="1" customWidth="1" outlineLevel="1"/>
    <col min="58" max="58" width="22.54296875" hidden="1" customWidth="1" outlineLevel="1"/>
    <col min="59" max="59" width="22.90625" hidden="1" customWidth="1" outlineLevel="1"/>
    <col min="60" max="60" width="28.81640625" hidden="1" customWidth="1" outlineLevel="1"/>
    <col min="61" max="61" width="26.90625" hidden="1" customWidth="1" outlineLevel="1"/>
    <col min="62" max="63" width="17.1796875" hidden="1" customWidth="1" outlineLevel="1"/>
    <col min="64" max="64" width="24.36328125" hidden="1" customWidth="1" outlineLevel="1"/>
    <col min="65" max="65" width="22.7265625" hidden="1" customWidth="1" outlineLevel="1"/>
    <col min="66" max="66" width="27" hidden="1" customWidth="1" outlineLevel="1"/>
    <col min="67" max="67" width="26.26953125" hidden="1" customWidth="1" outlineLevel="1"/>
    <col min="68" max="68" width="14.54296875" hidden="1" customWidth="1" outlineLevel="1"/>
    <col min="69" max="69" width="28.1796875" hidden="1" customWidth="1" outlineLevel="1"/>
    <col min="70" max="70" width="26.90625" hidden="1" customWidth="1" outlineLevel="1"/>
    <col min="71" max="71" width="17.453125" hidden="1" customWidth="1" outlineLevel="1"/>
    <col min="72" max="72" width="17.1796875" hidden="1" customWidth="1" outlineLevel="1"/>
    <col min="73" max="73" width="24.1796875" hidden="1" customWidth="1" outlineLevel="1"/>
    <col min="74" max="74" width="31.36328125" hidden="1" customWidth="1" outlineLevel="1"/>
    <col min="75" max="75" width="23.26953125" hidden="1" customWidth="1" outlineLevel="1"/>
    <col min="76" max="77" width="26.26953125" hidden="1" customWidth="1" outlineLevel="1"/>
    <col min="78" max="78" width="22" hidden="1" customWidth="1" outlineLevel="1"/>
    <col min="79" max="79" width="19.08984375" hidden="1" customWidth="1" outlineLevel="1"/>
    <col min="80" max="81" width="25.90625" hidden="1" customWidth="1" outlineLevel="1"/>
    <col min="82" max="82" width="26.90625" bestFit="1" customWidth="1" collapsed="1"/>
    <col min="83" max="83" width="26.26953125" bestFit="1" customWidth="1"/>
    <col min="84" max="84" width="23.26953125" hidden="1" customWidth="1" outlineLevel="1"/>
    <col min="85" max="85" width="17.90625" hidden="1" customWidth="1" outlineLevel="1"/>
    <col min="86" max="86" width="17.08984375" hidden="1" customWidth="1" outlineLevel="1"/>
    <col min="87" max="87" width="19.7265625" hidden="1" customWidth="1" outlineLevel="1"/>
    <col min="88" max="88" width="26.54296875" hidden="1" customWidth="1" outlineLevel="1"/>
    <col min="89" max="89" width="25.26953125" hidden="1" customWidth="1" outlineLevel="1"/>
    <col min="90" max="90" width="22.7265625" hidden="1" customWidth="1" outlineLevel="1"/>
    <col min="91" max="91" width="21.1796875" hidden="1" customWidth="1" outlineLevel="1"/>
    <col min="92" max="92" width="22.26953125" hidden="1" customWidth="1" outlineLevel="1"/>
    <col min="93" max="93" width="21.1796875" hidden="1" customWidth="1" outlineLevel="1"/>
    <col min="94" max="94" width="29.08984375" hidden="1" customWidth="1" outlineLevel="1"/>
    <col min="95" max="95" width="30.1796875" hidden="1" customWidth="1" outlineLevel="1"/>
    <col min="96" max="96" width="29.08984375" hidden="1" customWidth="1" outlineLevel="1"/>
    <col min="97" max="97" width="26.36328125" bestFit="1" customWidth="1" collapsed="1"/>
    <col min="98" max="98" width="27.453125" bestFit="1" customWidth="1"/>
    <col min="99" max="99" width="26.36328125" bestFit="1" customWidth="1"/>
    <col min="100" max="100" width="34.26953125" bestFit="1" customWidth="1"/>
    <col min="101" max="101" width="33.1796875" bestFit="1" customWidth="1"/>
    <col min="102" max="102" width="34.26953125" bestFit="1" customWidth="1"/>
    <col min="103" max="103" width="20.08984375" bestFit="1" customWidth="1"/>
    <col min="104" max="104" width="21.1796875" bestFit="1" customWidth="1"/>
    <col min="105" max="105" width="20.08984375" bestFit="1" customWidth="1"/>
    <col min="106" max="106" width="25.26953125" bestFit="1" customWidth="1"/>
    <col min="107" max="107" width="26.36328125" bestFit="1" customWidth="1"/>
    <col min="108" max="108" width="25.26953125" bestFit="1" customWidth="1"/>
    <col min="109" max="109" width="32.7265625" bestFit="1" customWidth="1"/>
    <col min="110" max="110" width="33.81640625" bestFit="1" customWidth="1"/>
    <col min="111" max="111" width="32.7265625" bestFit="1" customWidth="1"/>
    <col min="112" max="112" width="19" bestFit="1" customWidth="1"/>
    <col min="113" max="113" width="20.08984375" bestFit="1" customWidth="1"/>
    <col min="114" max="114" width="19" bestFit="1" customWidth="1"/>
    <col min="115" max="115" width="26.36328125" bestFit="1" customWidth="1"/>
    <col min="116" max="116" width="27.453125" bestFit="1" customWidth="1"/>
    <col min="117" max="117" width="26.36328125" bestFit="1" customWidth="1"/>
    <col min="118" max="118" width="28.81640625" bestFit="1" customWidth="1"/>
    <col min="119" max="119" width="29.90625" bestFit="1" customWidth="1"/>
    <col min="120" max="120" width="28.81640625" bestFit="1" customWidth="1"/>
    <col min="121" max="121" width="27.36328125" bestFit="1" customWidth="1"/>
    <col min="122" max="122" width="28.54296875" bestFit="1" customWidth="1"/>
    <col min="123" max="123" width="27.36328125" bestFit="1" customWidth="1"/>
    <col min="124" max="124" width="11.7265625" bestFit="1" customWidth="1"/>
    <col min="125" max="125" width="12.81640625" bestFit="1" customWidth="1"/>
    <col min="126" max="126" width="11.7265625" bestFit="1" customWidth="1"/>
    <col min="127" max="127" width="16.7265625" bestFit="1" customWidth="1"/>
    <col min="128" max="128" width="17.81640625" bestFit="1" customWidth="1"/>
    <col min="129" max="129" width="16.7265625" bestFit="1" customWidth="1"/>
    <col min="130" max="130" width="17.453125" bestFit="1" customWidth="1"/>
    <col min="131" max="131" width="18.54296875" bestFit="1" customWidth="1"/>
    <col min="132" max="132" width="17.453125" bestFit="1" customWidth="1"/>
    <col min="133" max="133" width="22.36328125" bestFit="1" customWidth="1"/>
    <col min="134" max="134" width="23.6328125" bestFit="1" customWidth="1"/>
    <col min="135" max="135" width="22.36328125" bestFit="1" customWidth="1"/>
    <col min="136" max="136" width="7.6328125" bestFit="1" customWidth="1"/>
    <col min="138" max="138" width="7.6328125" bestFit="1" customWidth="1"/>
    <col min="139" max="139" width="17.6328125" bestFit="1" customWidth="1"/>
    <col min="140" max="140" width="18.90625" bestFit="1" customWidth="1"/>
    <col min="141" max="141" width="17.6328125" bestFit="1" customWidth="1"/>
    <col min="142" max="142" width="9.08984375" bestFit="1" customWidth="1"/>
    <col min="143" max="143" width="10.1796875" bestFit="1" customWidth="1"/>
    <col min="144" max="144" width="9.08984375" bestFit="1" customWidth="1"/>
    <col min="145" max="145" width="7.81640625" bestFit="1" customWidth="1"/>
    <col min="146" max="146" width="8.90625" bestFit="1" customWidth="1"/>
    <col min="147" max="148" width="7.81640625" bestFit="1" customWidth="1"/>
    <col min="149" max="149" width="8.90625" bestFit="1" customWidth="1"/>
    <col min="150" max="150" width="7.81640625" bestFit="1" customWidth="1"/>
    <col min="151" max="151" width="16.1796875" bestFit="1" customWidth="1"/>
    <col min="152" max="152" width="17.26953125" bestFit="1" customWidth="1"/>
    <col min="153" max="153" width="16.1796875" bestFit="1" customWidth="1"/>
    <col min="154" max="154" width="8.81640625" bestFit="1" customWidth="1"/>
    <col min="155" max="155" width="9.90625" bestFit="1" customWidth="1"/>
    <col min="156" max="156" width="8.81640625" bestFit="1" customWidth="1"/>
    <col min="157" max="158" width="8.36328125" bestFit="1" customWidth="1"/>
    <col min="159" max="159" width="14" bestFit="1" customWidth="1"/>
    <col min="160" max="160" width="15.08984375" bestFit="1" customWidth="1"/>
    <col min="161" max="161" width="9.08984375" bestFit="1" customWidth="1"/>
    <col min="162" max="162" width="18.7265625" bestFit="1" customWidth="1"/>
  </cols>
  <sheetData>
    <row r="1" spans="1:162" x14ac:dyDescent="0.35">
      <c r="A1" s="17" t="s">
        <v>332</v>
      </c>
    </row>
    <row r="2" spans="1:162" x14ac:dyDescent="0.35">
      <c r="A2" s="15" t="s">
        <v>182</v>
      </c>
    </row>
    <row r="3" spans="1:162" x14ac:dyDescent="0.35">
      <c r="A3" t="s">
        <v>0</v>
      </c>
      <c r="B3" t="s">
        <v>1</v>
      </c>
      <c r="C3" t="s">
        <v>2</v>
      </c>
      <c r="D3" s="16" t="s">
        <v>3</v>
      </c>
      <c r="E3" t="s">
        <v>75</v>
      </c>
      <c r="F3" t="s">
        <v>76</v>
      </c>
      <c r="G3" t="s">
        <v>78</v>
      </c>
      <c r="H3" t="s">
        <v>4</v>
      </c>
      <c r="I3" t="s">
        <v>184</v>
      </c>
      <c r="J3" t="s">
        <v>185</v>
      </c>
      <c r="K3" t="s">
        <v>186</v>
      </c>
      <c r="L3" t="s">
        <v>187</v>
      </c>
      <c r="M3" t="s">
        <v>85</v>
      </c>
      <c r="N3" t="s">
        <v>83</v>
      </c>
      <c r="O3" t="s">
        <v>188</v>
      </c>
      <c r="P3" t="s">
        <v>189</v>
      </c>
      <c r="Q3" t="s">
        <v>190</v>
      </c>
      <c r="R3" t="s">
        <v>191</v>
      </c>
      <c r="S3" t="s">
        <v>86</v>
      </c>
      <c r="T3" t="s">
        <v>6</v>
      </c>
      <c r="U3" t="s">
        <v>192</v>
      </c>
      <c r="V3" t="s">
        <v>5</v>
      </c>
      <c r="W3" t="s">
        <v>193</v>
      </c>
      <c r="X3" t="s">
        <v>194</v>
      </c>
      <c r="Y3" t="s">
        <v>195</v>
      </c>
      <c r="Z3" t="s">
        <v>196</v>
      </c>
      <c r="AA3" t="s">
        <v>197</v>
      </c>
      <c r="AB3" t="s">
        <v>198</v>
      </c>
      <c r="AC3" t="s">
        <v>199</v>
      </c>
      <c r="AD3" t="s">
        <v>200</v>
      </c>
      <c r="AE3" t="s">
        <v>201</v>
      </c>
      <c r="AF3" t="s">
        <v>202</v>
      </c>
      <c r="AG3" t="s">
        <v>203</v>
      </c>
      <c r="AH3" t="s">
        <v>204</v>
      </c>
      <c r="AI3" t="s">
        <v>205</v>
      </c>
      <c r="AJ3" t="s">
        <v>206</v>
      </c>
      <c r="AK3" t="s">
        <v>207</v>
      </c>
      <c r="AL3" t="s">
        <v>208</v>
      </c>
      <c r="AM3" t="s">
        <v>209</v>
      </c>
      <c r="AN3" t="s">
        <v>210</v>
      </c>
      <c r="AO3" t="s">
        <v>211</v>
      </c>
      <c r="AP3" t="s">
        <v>212</v>
      </c>
      <c r="AQ3" t="s">
        <v>213</v>
      </c>
      <c r="AR3" t="s">
        <v>214</v>
      </c>
      <c r="AS3" t="s">
        <v>95</v>
      </c>
      <c r="AT3" t="s">
        <v>215</v>
      </c>
      <c r="AU3" t="s">
        <v>216</v>
      </c>
      <c r="AV3" t="s">
        <v>217</v>
      </c>
      <c r="AW3" t="s">
        <v>218</v>
      </c>
      <c r="AX3" t="s">
        <v>219</v>
      </c>
      <c r="AY3" t="s">
        <v>220</v>
      </c>
      <c r="AZ3" t="s">
        <v>221</v>
      </c>
      <c r="BA3" t="s">
        <v>222</v>
      </c>
      <c r="BB3" t="s">
        <v>223</v>
      </c>
      <c r="BC3" t="s">
        <v>224</v>
      </c>
      <c r="BD3" s="16" t="s">
        <v>225</v>
      </c>
      <c r="BE3" t="s">
        <v>226</v>
      </c>
      <c r="BF3" t="s">
        <v>100</v>
      </c>
      <c r="BG3" t="s">
        <v>227</v>
      </c>
      <c r="BH3" t="s">
        <v>228</v>
      </c>
      <c r="BI3" t="s">
        <v>229</v>
      </c>
      <c r="BJ3" s="16" t="s">
        <v>230</v>
      </c>
      <c r="BK3" s="16" t="s">
        <v>231</v>
      </c>
      <c r="BL3" t="s">
        <v>232</v>
      </c>
      <c r="BM3" t="s">
        <v>233</v>
      </c>
      <c r="BN3" t="s">
        <v>234</v>
      </c>
      <c r="BO3" t="s">
        <v>235</v>
      </c>
      <c r="BP3" t="s">
        <v>236</v>
      </c>
      <c r="BQ3" t="s">
        <v>237</v>
      </c>
      <c r="BR3" t="s">
        <v>238</v>
      </c>
      <c r="BS3" t="s">
        <v>239</v>
      </c>
      <c r="BT3" t="s">
        <v>240</v>
      </c>
      <c r="BU3" t="s">
        <v>241</v>
      </c>
      <c r="BV3" t="s">
        <v>242</v>
      </c>
      <c r="BW3" t="s">
        <v>243</v>
      </c>
      <c r="BX3" t="s">
        <v>244</v>
      </c>
      <c r="BY3" t="s">
        <v>245</v>
      </c>
      <c r="BZ3" t="s">
        <v>246</v>
      </c>
      <c r="CA3" t="s">
        <v>247</v>
      </c>
      <c r="CB3" t="s">
        <v>248</v>
      </c>
      <c r="CC3" t="s">
        <v>249</v>
      </c>
      <c r="CD3" s="16" t="s">
        <v>250</v>
      </c>
      <c r="CE3" s="16" t="s">
        <v>251</v>
      </c>
      <c r="CF3" t="s">
        <v>252</v>
      </c>
      <c r="CG3" t="s">
        <v>253</v>
      </c>
      <c r="CH3" t="s">
        <v>254</v>
      </c>
      <c r="CI3" t="s">
        <v>255</v>
      </c>
      <c r="CJ3" t="s">
        <v>256</v>
      </c>
      <c r="CK3" t="s">
        <v>257</v>
      </c>
      <c r="CL3" t="s">
        <v>258</v>
      </c>
      <c r="CM3" t="s">
        <v>259</v>
      </c>
      <c r="CN3" t="s">
        <v>260</v>
      </c>
      <c r="CO3" t="s">
        <v>261</v>
      </c>
      <c r="CP3" t="s">
        <v>262</v>
      </c>
      <c r="CQ3" t="s">
        <v>263</v>
      </c>
      <c r="CR3" t="s">
        <v>264</v>
      </c>
      <c r="CS3" s="16" t="s">
        <v>265</v>
      </c>
      <c r="CT3" s="16" t="s">
        <v>266</v>
      </c>
      <c r="CU3" s="16" t="s">
        <v>267</v>
      </c>
      <c r="CV3" t="s">
        <v>268</v>
      </c>
      <c r="CW3" t="s">
        <v>269</v>
      </c>
      <c r="CX3" t="s">
        <v>270</v>
      </c>
      <c r="CY3" t="s">
        <v>271</v>
      </c>
      <c r="CZ3" t="s">
        <v>272</v>
      </c>
      <c r="DA3" t="s">
        <v>273</v>
      </c>
      <c r="DB3" t="s">
        <v>274</v>
      </c>
      <c r="DC3" t="s">
        <v>275</v>
      </c>
      <c r="DD3" t="s">
        <v>276</v>
      </c>
      <c r="DE3" t="s">
        <v>277</v>
      </c>
      <c r="DF3" t="s">
        <v>278</v>
      </c>
      <c r="DG3" t="s">
        <v>279</v>
      </c>
      <c r="DH3" t="s">
        <v>28</v>
      </c>
      <c r="DI3" t="s">
        <v>29</v>
      </c>
      <c r="DJ3" t="s">
        <v>30</v>
      </c>
      <c r="DK3" t="s">
        <v>280</v>
      </c>
      <c r="DL3" t="s">
        <v>281</v>
      </c>
      <c r="DM3" t="s">
        <v>282</v>
      </c>
      <c r="DN3" t="s">
        <v>283</v>
      </c>
      <c r="DO3" t="s">
        <v>284</v>
      </c>
      <c r="DP3" t="s">
        <v>285</v>
      </c>
      <c r="DQ3" t="s">
        <v>286</v>
      </c>
      <c r="DR3" t="s">
        <v>287</v>
      </c>
      <c r="DS3" t="s">
        <v>288</v>
      </c>
      <c r="DT3" t="s">
        <v>289</v>
      </c>
      <c r="DU3" t="s">
        <v>290</v>
      </c>
      <c r="DV3" t="s">
        <v>291</v>
      </c>
      <c r="DW3" t="s">
        <v>292</v>
      </c>
      <c r="DX3" t="s">
        <v>293</v>
      </c>
      <c r="DY3" t="s">
        <v>294</v>
      </c>
      <c r="DZ3" t="s">
        <v>295</v>
      </c>
      <c r="EA3" t="s">
        <v>296</v>
      </c>
      <c r="EB3" t="s">
        <v>297</v>
      </c>
      <c r="EC3" t="s">
        <v>298</v>
      </c>
      <c r="ED3" t="s">
        <v>299</v>
      </c>
      <c r="EE3" t="s">
        <v>300</v>
      </c>
      <c r="EF3" t="s">
        <v>13</v>
      </c>
      <c r="EG3" t="s">
        <v>14</v>
      </c>
      <c r="EH3" t="s">
        <v>15</v>
      </c>
      <c r="EI3" t="s">
        <v>301</v>
      </c>
      <c r="EJ3" t="s">
        <v>302</v>
      </c>
      <c r="EK3" t="s">
        <v>303</v>
      </c>
      <c r="EL3" t="s">
        <v>25</v>
      </c>
      <c r="EM3" t="s">
        <v>26</v>
      </c>
      <c r="EN3" t="s">
        <v>27</v>
      </c>
      <c r="EO3" t="s">
        <v>304</v>
      </c>
      <c r="EP3" t="s">
        <v>305</v>
      </c>
      <c r="EQ3" t="s">
        <v>306</v>
      </c>
      <c r="ER3" t="s">
        <v>31</v>
      </c>
      <c r="ES3" t="s">
        <v>32</v>
      </c>
      <c r="ET3" t="s">
        <v>33</v>
      </c>
      <c r="EU3" t="s">
        <v>307</v>
      </c>
      <c r="EV3" t="s">
        <v>308</v>
      </c>
      <c r="EW3" t="s">
        <v>309</v>
      </c>
      <c r="EX3" t="s">
        <v>37</v>
      </c>
      <c r="EY3" t="s">
        <v>38</v>
      </c>
      <c r="EZ3" t="s">
        <v>39</v>
      </c>
      <c r="FA3" t="s">
        <v>310</v>
      </c>
      <c r="FB3" t="s">
        <v>40</v>
      </c>
      <c r="FC3" t="s">
        <v>311</v>
      </c>
      <c r="FD3" t="s">
        <v>312</v>
      </c>
      <c r="FE3" t="s">
        <v>313</v>
      </c>
      <c r="FF3" t="s">
        <v>314</v>
      </c>
    </row>
    <row r="4" spans="1:162" x14ac:dyDescent="0.35">
      <c r="A4">
        <v>2024</v>
      </c>
      <c r="B4">
        <v>6</v>
      </c>
      <c r="C4">
        <v>25</v>
      </c>
      <c r="D4" s="16" t="s">
        <v>178</v>
      </c>
      <c r="E4">
        <v>847936481</v>
      </c>
      <c r="F4">
        <v>5148061742</v>
      </c>
      <c r="G4">
        <v>12557</v>
      </c>
      <c r="H4" t="s">
        <v>41</v>
      </c>
      <c r="I4">
        <v>11</v>
      </c>
      <c r="J4" t="s">
        <v>157</v>
      </c>
      <c r="K4">
        <v>11</v>
      </c>
      <c r="L4" t="s">
        <v>157</v>
      </c>
      <c r="M4">
        <v>11</v>
      </c>
      <c r="N4" t="s">
        <v>157</v>
      </c>
      <c r="O4" t="s">
        <v>315</v>
      </c>
      <c r="P4" t="s">
        <v>316</v>
      </c>
      <c r="Q4">
        <v>1</v>
      </c>
      <c r="R4">
        <v>1</v>
      </c>
      <c r="S4">
        <v>1</v>
      </c>
      <c r="T4" t="s">
        <v>43</v>
      </c>
      <c r="U4" t="s">
        <v>159</v>
      </c>
      <c r="V4" t="s">
        <v>42</v>
      </c>
      <c r="W4" t="s">
        <v>317</v>
      </c>
      <c r="X4" t="s">
        <v>317</v>
      </c>
      <c r="Y4" t="s">
        <v>159</v>
      </c>
      <c r="Z4" t="s">
        <v>159</v>
      </c>
      <c r="AA4" t="s">
        <v>318</v>
      </c>
      <c r="AB4" t="s">
        <v>155</v>
      </c>
      <c r="AC4" t="s">
        <v>319</v>
      </c>
      <c r="AD4" t="s">
        <v>156</v>
      </c>
      <c r="AE4" t="s">
        <v>318</v>
      </c>
      <c r="AF4" t="s">
        <v>155</v>
      </c>
      <c r="AG4" t="s">
        <v>319</v>
      </c>
      <c r="AH4" t="s">
        <v>156</v>
      </c>
      <c r="AI4" t="s">
        <v>320</v>
      </c>
      <c r="AJ4" t="s">
        <v>317</v>
      </c>
      <c r="AK4" t="s">
        <v>320</v>
      </c>
      <c r="AL4" t="s">
        <v>317</v>
      </c>
      <c r="AM4" t="s">
        <v>321</v>
      </c>
      <c r="AN4" t="s">
        <v>321</v>
      </c>
      <c r="AO4" t="s">
        <v>161</v>
      </c>
      <c r="AP4" t="s">
        <v>161</v>
      </c>
      <c r="AQ4" t="s">
        <v>161</v>
      </c>
      <c r="AR4" t="s">
        <v>161</v>
      </c>
      <c r="AS4" t="s">
        <v>161</v>
      </c>
      <c r="AT4" t="s">
        <v>161</v>
      </c>
      <c r="AU4" t="s">
        <v>161</v>
      </c>
      <c r="AV4">
        <v>28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s="16">
        <v>1</v>
      </c>
      <c r="BE4">
        <v>0</v>
      </c>
      <c r="BF4">
        <v>0</v>
      </c>
      <c r="BG4">
        <v>0</v>
      </c>
      <c r="BH4">
        <v>0</v>
      </c>
      <c r="BI4">
        <v>0</v>
      </c>
      <c r="BJ4" s="16">
        <v>1</v>
      </c>
      <c r="BK4" s="16">
        <v>1</v>
      </c>
      <c r="BL4">
        <v>0</v>
      </c>
      <c r="BM4" t="s">
        <v>322</v>
      </c>
      <c r="BN4" t="s">
        <v>323</v>
      </c>
      <c r="BO4" t="s">
        <v>174</v>
      </c>
      <c r="BP4" t="s">
        <v>324</v>
      </c>
      <c r="BQ4" t="s">
        <v>323</v>
      </c>
      <c r="BR4" t="s">
        <v>174</v>
      </c>
      <c r="BS4" t="s">
        <v>324</v>
      </c>
      <c r="BT4">
        <v>89593244</v>
      </c>
      <c r="BU4">
        <v>2</v>
      </c>
      <c r="BV4" t="s">
        <v>325</v>
      </c>
      <c r="BW4" t="s">
        <v>322</v>
      </c>
      <c r="BX4" t="s">
        <v>323</v>
      </c>
      <c r="BY4" t="s">
        <v>168</v>
      </c>
      <c r="BZ4" t="s">
        <v>151</v>
      </c>
      <c r="CA4">
        <v>89593244</v>
      </c>
      <c r="CB4">
        <v>2</v>
      </c>
      <c r="CC4" t="s">
        <v>322</v>
      </c>
      <c r="CD4" s="16" t="s">
        <v>323</v>
      </c>
      <c r="CE4" s="16" t="s">
        <v>168</v>
      </c>
      <c r="CF4" t="s">
        <v>151</v>
      </c>
      <c r="CG4">
        <v>51631538</v>
      </c>
      <c r="CH4">
        <v>3</v>
      </c>
      <c r="CI4" t="s">
        <v>326</v>
      </c>
      <c r="CJ4" t="s">
        <v>327</v>
      </c>
      <c r="CK4" t="s">
        <v>328</v>
      </c>
      <c r="CL4" t="s">
        <v>329</v>
      </c>
      <c r="CM4">
        <v>46</v>
      </c>
      <c r="CN4">
        <v>46</v>
      </c>
      <c r="CO4">
        <v>0</v>
      </c>
      <c r="CP4">
        <v>7.46</v>
      </c>
      <c r="CQ4">
        <v>7.46</v>
      </c>
      <c r="CR4">
        <v>0</v>
      </c>
      <c r="CS4" s="16">
        <v>-6</v>
      </c>
      <c r="CT4" s="16">
        <v>0</v>
      </c>
      <c r="CU4" s="16">
        <v>6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47.46</v>
      </c>
      <c r="DF4">
        <v>53.46</v>
      </c>
      <c r="DG4">
        <v>6</v>
      </c>
      <c r="DH4" t="s">
        <v>151</v>
      </c>
      <c r="DI4" t="s">
        <v>151</v>
      </c>
      <c r="DJ4">
        <v>0</v>
      </c>
      <c r="DK4">
        <v>47.46</v>
      </c>
      <c r="DL4">
        <v>53.46</v>
      </c>
      <c r="DM4">
        <v>6</v>
      </c>
      <c r="DN4">
        <v>0</v>
      </c>
      <c r="DO4">
        <v>0</v>
      </c>
      <c r="DP4">
        <v>0</v>
      </c>
      <c r="DQ4">
        <v>47.46</v>
      </c>
      <c r="DR4">
        <v>53.46</v>
      </c>
      <c r="DS4">
        <v>6</v>
      </c>
      <c r="DT4">
        <v>46</v>
      </c>
      <c r="DU4">
        <v>46</v>
      </c>
      <c r="DV4">
        <v>0</v>
      </c>
      <c r="DW4">
        <v>7.46</v>
      </c>
      <c r="DX4">
        <v>7.46</v>
      </c>
      <c r="DY4">
        <v>0</v>
      </c>
      <c r="DZ4">
        <v>-6</v>
      </c>
      <c r="EA4">
        <v>0</v>
      </c>
      <c r="EB4">
        <v>6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47.46</v>
      </c>
      <c r="EM4">
        <v>53.46</v>
      </c>
      <c r="EN4">
        <v>6</v>
      </c>
      <c r="EO4" t="s">
        <v>151</v>
      </c>
      <c r="EP4" t="s">
        <v>151</v>
      </c>
      <c r="EQ4" t="s">
        <v>151</v>
      </c>
      <c r="ER4">
        <v>47.46</v>
      </c>
      <c r="ES4">
        <v>53.46</v>
      </c>
      <c r="ET4">
        <v>6</v>
      </c>
      <c r="EU4">
        <v>0</v>
      </c>
      <c r="EV4">
        <v>0</v>
      </c>
      <c r="EW4">
        <v>0</v>
      </c>
      <c r="EX4">
        <v>47.46</v>
      </c>
      <c r="EY4">
        <v>53.46</v>
      </c>
      <c r="EZ4">
        <v>6</v>
      </c>
      <c r="FA4">
        <v>0</v>
      </c>
      <c r="FB4">
        <v>1</v>
      </c>
      <c r="FC4" t="s">
        <v>330</v>
      </c>
      <c r="FE4" t="s">
        <v>159</v>
      </c>
      <c r="FF4" t="s">
        <v>331</v>
      </c>
    </row>
    <row r="7" spans="1:162" x14ac:dyDescent="0.35">
      <c r="A7" s="15" t="s">
        <v>183</v>
      </c>
    </row>
    <row r="8" spans="1:162" x14ac:dyDescent="0.35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83</v>
      </c>
      <c r="L8" t="s">
        <v>84</v>
      </c>
      <c r="M8" t="s">
        <v>85</v>
      </c>
      <c r="N8" t="s">
        <v>86</v>
      </c>
      <c r="O8" t="s">
        <v>87</v>
      </c>
      <c r="P8" t="s">
        <v>88</v>
      </c>
      <c r="Q8" t="s">
        <v>89</v>
      </c>
      <c r="R8" t="s">
        <v>90</v>
      </c>
      <c r="S8" t="s">
        <v>91</v>
      </c>
      <c r="T8" t="s">
        <v>92</v>
      </c>
      <c r="U8" t="s">
        <v>93</v>
      </c>
      <c r="V8" t="s">
        <v>94</v>
      </c>
      <c r="W8" t="s">
        <v>95</v>
      </c>
      <c r="X8" t="s">
        <v>96</v>
      </c>
      <c r="Y8" t="s">
        <v>97</v>
      </c>
      <c r="Z8" t="s">
        <v>98</v>
      </c>
      <c r="AA8" t="s">
        <v>99</v>
      </c>
      <c r="AB8" t="s">
        <v>100</v>
      </c>
      <c r="AC8" t="s">
        <v>101</v>
      </c>
      <c r="AD8" t="s">
        <v>102</v>
      </c>
      <c r="AE8" s="16" t="s">
        <v>103</v>
      </c>
      <c r="AF8" t="s">
        <v>104</v>
      </c>
      <c r="AG8" t="s">
        <v>105</v>
      </c>
      <c r="AH8" t="s">
        <v>106</v>
      </c>
      <c r="AI8" t="s">
        <v>107</v>
      </c>
      <c r="AJ8" s="16" t="s">
        <v>108</v>
      </c>
      <c r="AK8" t="s">
        <v>109</v>
      </c>
      <c r="AL8" t="s">
        <v>110</v>
      </c>
      <c r="AM8" t="s">
        <v>111</v>
      </c>
      <c r="AN8" t="s">
        <v>112</v>
      </c>
      <c r="AO8" t="s">
        <v>113</v>
      </c>
      <c r="AP8" s="16" t="s">
        <v>114</v>
      </c>
      <c r="AQ8" t="s">
        <v>115</v>
      </c>
      <c r="AR8" t="s">
        <v>116</v>
      </c>
      <c r="AS8" t="s">
        <v>117</v>
      </c>
      <c r="AT8" t="s">
        <v>118</v>
      </c>
      <c r="AU8" t="s">
        <v>119</v>
      </c>
      <c r="AV8" t="s">
        <v>120</v>
      </c>
      <c r="AW8" t="s">
        <v>121</v>
      </c>
      <c r="AX8" t="s">
        <v>122</v>
      </c>
      <c r="AY8" t="s">
        <v>123</v>
      </c>
      <c r="AZ8" t="s">
        <v>124</v>
      </c>
      <c r="BA8" t="s">
        <v>125</v>
      </c>
      <c r="BB8" t="s">
        <v>126</v>
      </c>
      <c r="BC8" t="s">
        <v>127</v>
      </c>
      <c r="BD8" t="s">
        <v>128</v>
      </c>
      <c r="BE8" t="s">
        <v>129</v>
      </c>
      <c r="BF8" t="s">
        <v>130</v>
      </c>
      <c r="BG8" t="s">
        <v>131</v>
      </c>
      <c r="BH8" t="s">
        <v>132</v>
      </c>
      <c r="BI8" t="s">
        <v>133</v>
      </c>
      <c r="BJ8" t="s">
        <v>134</v>
      </c>
      <c r="BK8" t="s">
        <v>135</v>
      </c>
      <c r="BL8" t="s">
        <v>136</v>
      </c>
      <c r="BM8" t="s">
        <v>137</v>
      </c>
      <c r="BN8" t="s">
        <v>138</v>
      </c>
      <c r="BO8" t="s">
        <v>139</v>
      </c>
      <c r="BP8" t="s">
        <v>140</v>
      </c>
      <c r="BQ8" t="s">
        <v>141</v>
      </c>
      <c r="BR8" t="s">
        <v>142</v>
      </c>
      <c r="BS8" t="s">
        <v>143</v>
      </c>
      <c r="BT8" t="s">
        <v>144</v>
      </c>
      <c r="BU8" t="s">
        <v>145</v>
      </c>
      <c r="BV8" t="s">
        <v>146</v>
      </c>
      <c r="BW8" t="s">
        <v>147</v>
      </c>
      <c r="BX8" t="s">
        <v>148</v>
      </c>
      <c r="BY8" t="s">
        <v>0</v>
      </c>
      <c r="BZ8" t="s">
        <v>1</v>
      </c>
      <c r="CA8" t="s">
        <v>3</v>
      </c>
      <c r="CB8" t="s">
        <v>149</v>
      </c>
      <c r="CC8" t="s">
        <v>150</v>
      </c>
    </row>
    <row r="9" spans="1:162" x14ac:dyDescent="0.35">
      <c r="A9" t="s">
        <v>151</v>
      </c>
      <c r="B9">
        <v>847936481</v>
      </c>
      <c r="C9">
        <v>847936481</v>
      </c>
      <c r="D9">
        <v>5148061742</v>
      </c>
      <c r="E9" t="s">
        <v>152</v>
      </c>
      <c r="F9">
        <v>12557</v>
      </c>
      <c r="G9" t="s">
        <v>153</v>
      </c>
      <c r="H9" t="s">
        <v>154</v>
      </c>
      <c r="I9" t="s">
        <v>155</v>
      </c>
      <c r="J9" t="s">
        <v>156</v>
      </c>
      <c r="K9" t="s">
        <v>157</v>
      </c>
      <c r="L9" t="s">
        <v>158</v>
      </c>
      <c r="M9">
        <v>11</v>
      </c>
      <c r="N9">
        <v>1</v>
      </c>
      <c r="O9">
        <v>41309366</v>
      </c>
      <c r="P9" t="s">
        <v>159</v>
      </c>
      <c r="Q9">
        <v>66129447</v>
      </c>
      <c r="V9" t="s">
        <v>160</v>
      </c>
      <c r="W9" t="s">
        <v>161</v>
      </c>
      <c r="X9" t="s">
        <v>162</v>
      </c>
      <c r="Y9" t="s">
        <v>163</v>
      </c>
      <c r="AB9" t="s">
        <v>159</v>
      </c>
      <c r="AC9" t="s">
        <v>151</v>
      </c>
      <c r="AD9" t="s">
        <v>155</v>
      </c>
      <c r="AE9" s="16">
        <v>-4</v>
      </c>
      <c r="AF9" t="s">
        <v>164</v>
      </c>
      <c r="AG9" t="s">
        <v>151</v>
      </c>
      <c r="AH9" t="s">
        <v>151</v>
      </c>
      <c r="AI9" t="s">
        <v>151</v>
      </c>
      <c r="AJ9" s="16" t="s">
        <v>165</v>
      </c>
      <c r="AK9" t="s">
        <v>166</v>
      </c>
      <c r="AL9">
        <v>70</v>
      </c>
      <c r="AM9" t="s">
        <v>167</v>
      </c>
      <c r="AN9" t="s">
        <v>168</v>
      </c>
      <c r="AO9" t="s">
        <v>169</v>
      </c>
      <c r="AP9" s="16" t="s">
        <v>151</v>
      </c>
      <c r="AQ9" t="s">
        <v>159</v>
      </c>
      <c r="AR9" t="s">
        <v>170</v>
      </c>
      <c r="AS9" t="s">
        <v>171</v>
      </c>
      <c r="AT9" t="s">
        <v>172</v>
      </c>
      <c r="AU9" t="s">
        <v>173</v>
      </c>
      <c r="AV9" t="s">
        <v>174</v>
      </c>
      <c r="AW9" t="s">
        <v>175</v>
      </c>
      <c r="AX9" t="s">
        <v>176</v>
      </c>
      <c r="AY9" t="s">
        <v>177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-1</v>
      </c>
      <c r="BW9" t="s">
        <v>159</v>
      </c>
      <c r="BX9">
        <v>0</v>
      </c>
      <c r="BY9">
        <v>2024</v>
      </c>
      <c r="BZ9">
        <v>6</v>
      </c>
      <c r="CA9" t="s">
        <v>178</v>
      </c>
      <c r="CB9" t="s">
        <v>179</v>
      </c>
      <c r="CC9" t="s">
        <v>179</v>
      </c>
    </row>
    <row r="10" spans="1:162" x14ac:dyDescent="0.35">
      <c r="A10" t="s">
        <v>151</v>
      </c>
      <c r="B10">
        <v>847936481</v>
      </c>
      <c r="C10">
        <v>847936481</v>
      </c>
      <c r="D10">
        <v>5148061742</v>
      </c>
      <c r="E10" t="s">
        <v>152</v>
      </c>
      <c r="F10">
        <v>12557</v>
      </c>
      <c r="G10" t="s">
        <v>153</v>
      </c>
      <c r="H10" t="s">
        <v>154</v>
      </c>
      <c r="I10" t="s">
        <v>155</v>
      </c>
      <c r="J10" t="s">
        <v>156</v>
      </c>
      <c r="K10" t="s">
        <v>157</v>
      </c>
      <c r="L10" t="s">
        <v>158</v>
      </c>
      <c r="M10">
        <v>11</v>
      </c>
      <c r="N10">
        <v>1</v>
      </c>
      <c r="O10">
        <v>41309366</v>
      </c>
      <c r="P10" t="s">
        <v>159</v>
      </c>
      <c r="Q10">
        <v>66129447</v>
      </c>
      <c r="V10" t="s">
        <v>160</v>
      </c>
      <c r="W10" t="s">
        <v>161</v>
      </c>
      <c r="X10" t="s">
        <v>162</v>
      </c>
      <c r="Y10" t="s">
        <v>163</v>
      </c>
      <c r="AB10" t="s">
        <v>159</v>
      </c>
      <c r="AC10" t="s">
        <v>151</v>
      </c>
      <c r="AD10" t="s">
        <v>155</v>
      </c>
      <c r="AE10" s="16">
        <v>-2</v>
      </c>
      <c r="AF10" t="s">
        <v>164</v>
      </c>
      <c r="AG10" t="s">
        <v>151</v>
      </c>
      <c r="AH10" t="s">
        <v>151</v>
      </c>
      <c r="AI10" t="s">
        <v>151</v>
      </c>
      <c r="AJ10" s="16" t="s">
        <v>180</v>
      </c>
      <c r="AK10" t="s">
        <v>166</v>
      </c>
      <c r="AL10">
        <v>70</v>
      </c>
      <c r="AM10" t="s">
        <v>181</v>
      </c>
      <c r="AN10" t="s">
        <v>168</v>
      </c>
      <c r="AO10" t="s">
        <v>169</v>
      </c>
      <c r="AP10" s="16" t="s">
        <v>151</v>
      </c>
      <c r="AQ10" t="s">
        <v>159</v>
      </c>
      <c r="AR10" t="s">
        <v>170</v>
      </c>
      <c r="AS10" t="s">
        <v>171</v>
      </c>
      <c r="AT10" t="s">
        <v>172</v>
      </c>
      <c r="AU10" t="s">
        <v>173</v>
      </c>
      <c r="AV10" t="s">
        <v>174</v>
      </c>
      <c r="AW10" t="s">
        <v>175</v>
      </c>
      <c r="AX10" t="s">
        <v>176</v>
      </c>
      <c r="AY10" t="s">
        <v>177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-1</v>
      </c>
      <c r="BW10" t="s">
        <v>159</v>
      </c>
      <c r="BX10">
        <v>0</v>
      </c>
      <c r="BY10">
        <v>2024</v>
      </c>
      <c r="BZ10">
        <v>6</v>
      </c>
      <c r="CA10" t="s">
        <v>178</v>
      </c>
      <c r="CB10" t="s">
        <v>179</v>
      </c>
      <c r="CC10" t="s">
        <v>179</v>
      </c>
    </row>
    <row r="14" spans="1:162" x14ac:dyDescent="0.35">
      <c r="A14" s="17" t="s">
        <v>333</v>
      </c>
    </row>
    <row r="15" spans="1:162" x14ac:dyDescent="0.35">
      <c r="A15" s="15" t="s">
        <v>182</v>
      </c>
    </row>
    <row r="16" spans="1:162" x14ac:dyDescent="0.35">
      <c r="A16" t="s">
        <v>0</v>
      </c>
      <c r="B16" t="s">
        <v>1</v>
      </c>
      <c r="C16" t="s">
        <v>2</v>
      </c>
      <c r="D16" s="16" t="s">
        <v>3</v>
      </c>
      <c r="E16" t="s">
        <v>75</v>
      </c>
      <c r="F16" t="s">
        <v>76</v>
      </c>
      <c r="G16" t="s">
        <v>78</v>
      </c>
      <c r="H16" t="s">
        <v>4</v>
      </c>
      <c r="I16" t="s">
        <v>184</v>
      </c>
      <c r="J16" t="s">
        <v>185</v>
      </c>
      <c r="K16" t="s">
        <v>186</v>
      </c>
      <c r="L16" t="s">
        <v>187</v>
      </c>
      <c r="M16" t="s">
        <v>85</v>
      </c>
      <c r="N16" t="s">
        <v>83</v>
      </c>
      <c r="O16" t="s">
        <v>188</v>
      </c>
      <c r="P16" t="s">
        <v>189</v>
      </c>
      <c r="Q16" t="s">
        <v>190</v>
      </c>
      <c r="R16" t="s">
        <v>191</v>
      </c>
      <c r="S16" t="s">
        <v>86</v>
      </c>
      <c r="T16" t="s">
        <v>6</v>
      </c>
      <c r="U16" t="s">
        <v>192</v>
      </c>
      <c r="V16" t="s">
        <v>5</v>
      </c>
      <c r="W16" t="s">
        <v>193</v>
      </c>
      <c r="X16" t="s">
        <v>194</v>
      </c>
      <c r="Y16" t="s">
        <v>195</v>
      </c>
      <c r="Z16" t="s">
        <v>196</v>
      </c>
      <c r="AA16" t="s">
        <v>197</v>
      </c>
      <c r="AB16" t="s">
        <v>198</v>
      </c>
      <c r="AC16" t="s">
        <v>199</v>
      </c>
      <c r="AD16" t="s">
        <v>200</v>
      </c>
      <c r="AE16" t="s">
        <v>201</v>
      </c>
      <c r="AF16" t="s">
        <v>202</v>
      </c>
      <c r="AG16" t="s">
        <v>203</v>
      </c>
      <c r="AH16" t="s">
        <v>204</v>
      </c>
      <c r="AI16" t="s">
        <v>205</v>
      </c>
      <c r="AJ16" t="s">
        <v>206</v>
      </c>
      <c r="AK16" t="s">
        <v>207</v>
      </c>
      <c r="AL16" t="s">
        <v>208</v>
      </c>
      <c r="AM16" t="s">
        <v>209</v>
      </c>
      <c r="AN16" t="s">
        <v>210</v>
      </c>
      <c r="AO16" t="s">
        <v>211</v>
      </c>
      <c r="AP16" t="s">
        <v>212</v>
      </c>
      <c r="AQ16" t="s">
        <v>213</v>
      </c>
      <c r="AR16" t="s">
        <v>214</v>
      </c>
      <c r="AS16" t="s">
        <v>95</v>
      </c>
      <c r="AT16" t="s">
        <v>215</v>
      </c>
      <c r="AU16" t="s">
        <v>216</v>
      </c>
      <c r="AV16" t="s">
        <v>217</v>
      </c>
      <c r="AW16" t="s">
        <v>218</v>
      </c>
      <c r="AX16" t="s">
        <v>219</v>
      </c>
      <c r="AY16" t="s">
        <v>220</v>
      </c>
      <c r="AZ16" t="s">
        <v>221</v>
      </c>
      <c r="BA16" t="s">
        <v>222</v>
      </c>
      <c r="BB16" t="s">
        <v>223</v>
      </c>
      <c r="BC16" t="s">
        <v>224</v>
      </c>
      <c r="BD16" s="16" t="s">
        <v>225</v>
      </c>
      <c r="BE16" t="s">
        <v>226</v>
      </c>
      <c r="BF16" t="s">
        <v>100</v>
      </c>
      <c r="BG16" t="s">
        <v>227</v>
      </c>
      <c r="BH16" t="s">
        <v>228</v>
      </c>
      <c r="BI16" t="s">
        <v>229</v>
      </c>
      <c r="BJ16" s="16" t="s">
        <v>230</v>
      </c>
      <c r="BK16" s="16" t="s">
        <v>231</v>
      </c>
      <c r="BL16" t="s">
        <v>232</v>
      </c>
      <c r="BM16" t="s">
        <v>233</v>
      </c>
      <c r="BN16" t="s">
        <v>234</v>
      </c>
      <c r="BO16" t="s">
        <v>235</v>
      </c>
      <c r="BP16" t="s">
        <v>236</v>
      </c>
      <c r="BQ16" t="s">
        <v>237</v>
      </c>
      <c r="BR16" t="s">
        <v>238</v>
      </c>
      <c r="BS16" t="s">
        <v>239</v>
      </c>
      <c r="BT16" t="s">
        <v>240</v>
      </c>
      <c r="BU16" t="s">
        <v>241</v>
      </c>
      <c r="BV16" t="s">
        <v>242</v>
      </c>
      <c r="BW16" t="s">
        <v>243</v>
      </c>
      <c r="BX16" t="s">
        <v>244</v>
      </c>
      <c r="BY16" t="s">
        <v>245</v>
      </c>
      <c r="BZ16" t="s">
        <v>246</v>
      </c>
      <c r="CA16" t="s">
        <v>247</v>
      </c>
      <c r="CB16" t="s">
        <v>248</v>
      </c>
      <c r="CC16" t="s">
        <v>249</v>
      </c>
      <c r="CD16" s="16" t="s">
        <v>250</v>
      </c>
      <c r="CE16" s="16" t="s">
        <v>251</v>
      </c>
      <c r="CF16" t="s">
        <v>252</v>
      </c>
      <c r="CG16" t="s">
        <v>253</v>
      </c>
      <c r="CH16" t="s">
        <v>254</v>
      </c>
      <c r="CI16" t="s">
        <v>255</v>
      </c>
      <c r="CJ16" t="s">
        <v>256</v>
      </c>
      <c r="CK16" t="s">
        <v>257</v>
      </c>
      <c r="CL16" t="s">
        <v>258</v>
      </c>
      <c r="CM16" t="s">
        <v>259</v>
      </c>
      <c r="CN16" t="s">
        <v>260</v>
      </c>
      <c r="CO16" t="s">
        <v>261</v>
      </c>
      <c r="CP16" t="s">
        <v>262</v>
      </c>
      <c r="CQ16" t="s">
        <v>263</v>
      </c>
      <c r="CR16" t="s">
        <v>264</v>
      </c>
      <c r="CS16" s="16" t="s">
        <v>265</v>
      </c>
      <c r="CT16" s="16" t="s">
        <v>266</v>
      </c>
      <c r="CU16" s="16" t="s">
        <v>267</v>
      </c>
      <c r="CV16" t="s">
        <v>268</v>
      </c>
      <c r="CW16" t="s">
        <v>269</v>
      </c>
      <c r="CX16" t="s">
        <v>270</v>
      </c>
      <c r="CY16" t="s">
        <v>271</v>
      </c>
      <c r="CZ16" t="s">
        <v>272</v>
      </c>
      <c r="DA16" t="s">
        <v>273</v>
      </c>
      <c r="DB16" t="s">
        <v>274</v>
      </c>
      <c r="DC16" t="s">
        <v>275</v>
      </c>
      <c r="DD16" t="s">
        <v>276</v>
      </c>
      <c r="DE16" t="s">
        <v>277</v>
      </c>
      <c r="DF16" t="s">
        <v>278</v>
      </c>
      <c r="DG16" t="s">
        <v>279</v>
      </c>
      <c r="DH16" t="s">
        <v>28</v>
      </c>
      <c r="DI16" t="s">
        <v>29</v>
      </c>
      <c r="DJ16" t="s">
        <v>30</v>
      </c>
      <c r="DK16" t="s">
        <v>280</v>
      </c>
      <c r="DL16" t="s">
        <v>281</v>
      </c>
      <c r="DM16" t="s">
        <v>282</v>
      </c>
      <c r="DN16" t="s">
        <v>283</v>
      </c>
      <c r="DO16" t="s">
        <v>284</v>
      </c>
      <c r="DP16" t="s">
        <v>285</v>
      </c>
      <c r="DQ16" t="s">
        <v>286</v>
      </c>
      <c r="DR16" t="s">
        <v>287</v>
      </c>
      <c r="DS16" t="s">
        <v>288</v>
      </c>
      <c r="DT16" t="s">
        <v>289</v>
      </c>
      <c r="DU16" t="s">
        <v>290</v>
      </c>
      <c r="DV16" t="s">
        <v>291</v>
      </c>
      <c r="DW16" t="s">
        <v>292</v>
      </c>
      <c r="DX16" t="s">
        <v>293</v>
      </c>
      <c r="DY16" t="s">
        <v>294</v>
      </c>
      <c r="DZ16" t="s">
        <v>295</v>
      </c>
      <c r="EA16" t="s">
        <v>296</v>
      </c>
      <c r="EB16" t="s">
        <v>297</v>
      </c>
      <c r="EC16" t="s">
        <v>298</v>
      </c>
      <c r="ED16" t="s">
        <v>299</v>
      </c>
      <c r="EE16" t="s">
        <v>300</v>
      </c>
      <c r="EF16" t="s">
        <v>13</v>
      </c>
      <c r="EG16" t="s">
        <v>14</v>
      </c>
      <c r="EH16" t="s">
        <v>15</v>
      </c>
      <c r="EI16" t="s">
        <v>301</v>
      </c>
      <c r="EJ16" t="s">
        <v>302</v>
      </c>
      <c r="EK16" t="s">
        <v>303</v>
      </c>
      <c r="EL16" t="s">
        <v>25</v>
      </c>
      <c r="EM16" t="s">
        <v>26</v>
      </c>
      <c r="EN16" t="s">
        <v>27</v>
      </c>
      <c r="EO16" t="s">
        <v>304</v>
      </c>
      <c r="EP16" t="s">
        <v>305</v>
      </c>
      <c r="EQ16" t="s">
        <v>306</v>
      </c>
      <c r="ER16" t="s">
        <v>31</v>
      </c>
      <c r="ES16" t="s">
        <v>32</v>
      </c>
      <c r="ET16" t="s">
        <v>33</v>
      </c>
      <c r="EU16" t="s">
        <v>307</v>
      </c>
      <c r="EV16" t="s">
        <v>308</v>
      </c>
      <c r="EW16" t="s">
        <v>309</v>
      </c>
      <c r="EX16" t="s">
        <v>37</v>
      </c>
      <c r="EY16" t="s">
        <v>38</v>
      </c>
      <c r="EZ16" t="s">
        <v>39</v>
      </c>
      <c r="FA16" t="s">
        <v>310</v>
      </c>
      <c r="FB16" t="s">
        <v>40</v>
      </c>
      <c r="FC16" t="s">
        <v>311</v>
      </c>
      <c r="FD16" t="s">
        <v>312</v>
      </c>
      <c r="FE16" t="s">
        <v>313</v>
      </c>
      <c r="FF16" t="s">
        <v>314</v>
      </c>
    </row>
    <row r="17" spans="1:162" x14ac:dyDescent="0.35">
      <c r="A17">
        <v>2024</v>
      </c>
      <c r="B17">
        <v>6</v>
      </c>
      <c r="C17">
        <v>24</v>
      </c>
      <c r="D17" s="16" t="s">
        <v>334</v>
      </c>
      <c r="E17">
        <v>926388604</v>
      </c>
      <c r="F17">
        <v>9055317927</v>
      </c>
      <c r="G17">
        <v>83711</v>
      </c>
      <c r="H17" t="s">
        <v>41</v>
      </c>
      <c r="I17">
        <v>11</v>
      </c>
      <c r="J17" t="s">
        <v>157</v>
      </c>
      <c r="K17">
        <v>11</v>
      </c>
      <c r="L17" t="s">
        <v>157</v>
      </c>
      <c r="M17">
        <v>11</v>
      </c>
      <c r="N17" t="s">
        <v>157</v>
      </c>
      <c r="O17" t="s">
        <v>315</v>
      </c>
      <c r="P17" t="s">
        <v>316</v>
      </c>
      <c r="Q17">
        <v>1</v>
      </c>
      <c r="R17">
        <v>1</v>
      </c>
      <c r="S17">
        <v>1</v>
      </c>
      <c r="T17" t="s">
        <v>43</v>
      </c>
      <c r="U17" t="s">
        <v>159</v>
      </c>
      <c r="V17" t="s">
        <v>42</v>
      </c>
      <c r="W17" t="s">
        <v>317</v>
      </c>
      <c r="X17" t="s">
        <v>317</v>
      </c>
      <c r="Y17" t="s">
        <v>159</v>
      </c>
      <c r="Z17" t="s">
        <v>159</v>
      </c>
      <c r="AA17" t="s">
        <v>335</v>
      </c>
      <c r="AB17" t="s">
        <v>336</v>
      </c>
      <c r="AC17" t="s">
        <v>337</v>
      </c>
      <c r="AD17" t="s">
        <v>338</v>
      </c>
      <c r="AE17" t="s">
        <v>335</v>
      </c>
      <c r="AF17" t="s">
        <v>336</v>
      </c>
      <c r="AG17" t="s">
        <v>337</v>
      </c>
      <c r="AH17" t="s">
        <v>338</v>
      </c>
      <c r="AI17" t="s">
        <v>320</v>
      </c>
      <c r="AJ17" t="s">
        <v>317</v>
      </c>
      <c r="AK17" t="s">
        <v>320</v>
      </c>
      <c r="AL17" t="s">
        <v>317</v>
      </c>
      <c r="AM17" t="s">
        <v>339</v>
      </c>
      <c r="AN17" t="s">
        <v>339</v>
      </c>
      <c r="AO17" t="s">
        <v>340</v>
      </c>
      <c r="AP17" t="s">
        <v>340</v>
      </c>
      <c r="AQ17" t="s">
        <v>340</v>
      </c>
      <c r="AR17" t="s">
        <v>340</v>
      </c>
      <c r="AS17" t="s">
        <v>340</v>
      </c>
      <c r="AT17" t="s">
        <v>340</v>
      </c>
      <c r="AU17" t="s">
        <v>340</v>
      </c>
      <c r="AV17">
        <v>17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 s="16">
        <v>1</v>
      </c>
      <c r="BE17">
        <v>0</v>
      </c>
      <c r="BF17">
        <v>0</v>
      </c>
      <c r="BG17">
        <v>0</v>
      </c>
      <c r="BH17">
        <v>1</v>
      </c>
      <c r="BI17">
        <v>0</v>
      </c>
      <c r="BJ17" s="16">
        <v>1</v>
      </c>
      <c r="BK17" s="16">
        <v>1</v>
      </c>
      <c r="BL17">
        <v>0</v>
      </c>
      <c r="BM17" t="s">
        <v>322</v>
      </c>
      <c r="BN17" t="s">
        <v>335</v>
      </c>
      <c r="BO17" t="s">
        <v>341</v>
      </c>
      <c r="BP17" t="s">
        <v>324</v>
      </c>
      <c r="BQ17" t="s">
        <v>335</v>
      </c>
      <c r="BR17" t="s">
        <v>341</v>
      </c>
      <c r="BS17" t="s">
        <v>324</v>
      </c>
      <c r="BT17">
        <v>89350065</v>
      </c>
      <c r="BU17">
        <v>2</v>
      </c>
      <c r="BV17" t="s">
        <v>325</v>
      </c>
      <c r="BW17" t="s">
        <v>322</v>
      </c>
      <c r="BX17" t="s">
        <v>335</v>
      </c>
      <c r="BY17" t="s">
        <v>342</v>
      </c>
      <c r="BZ17" t="s">
        <v>151</v>
      </c>
      <c r="CA17">
        <v>89350065</v>
      </c>
      <c r="CB17">
        <v>2</v>
      </c>
      <c r="CC17" t="s">
        <v>322</v>
      </c>
      <c r="CD17" s="16" t="s">
        <v>335</v>
      </c>
      <c r="CE17" s="16" t="s">
        <v>342</v>
      </c>
      <c r="CF17" t="s">
        <v>151</v>
      </c>
      <c r="CG17">
        <v>59479028</v>
      </c>
      <c r="CH17">
        <v>4</v>
      </c>
      <c r="CI17" t="s">
        <v>326</v>
      </c>
      <c r="CJ17" t="s">
        <v>343</v>
      </c>
      <c r="CK17" t="s">
        <v>344</v>
      </c>
      <c r="CL17" t="s">
        <v>151</v>
      </c>
      <c r="CM17">
        <v>67</v>
      </c>
      <c r="CN17">
        <v>67</v>
      </c>
      <c r="CO17">
        <v>0</v>
      </c>
      <c r="CP17">
        <v>0</v>
      </c>
      <c r="CQ17">
        <v>0</v>
      </c>
      <c r="CR17">
        <v>0</v>
      </c>
      <c r="CS17" s="16">
        <v>-12</v>
      </c>
      <c r="CT17" s="16">
        <v>0</v>
      </c>
      <c r="CU17" s="16">
        <v>12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55</v>
      </c>
      <c r="DF17">
        <v>67</v>
      </c>
      <c r="DG17">
        <v>12</v>
      </c>
      <c r="DH17">
        <v>27.26</v>
      </c>
      <c r="DI17">
        <v>27.26</v>
      </c>
      <c r="DJ17">
        <v>0</v>
      </c>
      <c r="DK17">
        <v>27.74</v>
      </c>
      <c r="DL17">
        <v>39.74</v>
      </c>
      <c r="DM17">
        <v>12</v>
      </c>
      <c r="DN17">
        <v>-11.72</v>
      </c>
      <c r="DO17">
        <v>0</v>
      </c>
      <c r="DP17">
        <v>11.72</v>
      </c>
      <c r="DQ17">
        <v>39.46</v>
      </c>
      <c r="DR17">
        <v>39.74</v>
      </c>
      <c r="DS17">
        <v>0.28000000000000003</v>
      </c>
      <c r="DT17">
        <v>67</v>
      </c>
      <c r="DU17">
        <v>67</v>
      </c>
      <c r="DV17">
        <v>0</v>
      </c>
      <c r="DW17">
        <v>0</v>
      </c>
      <c r="DX17">
        <v>0</v>
      </c>
      <c r="DY17">
        <v>0</v>
      </c>
      <c r="DZ17">
        <v>-12</v>
      </c>
      <c r="EA17">
        <v>0</v>
      </c>
      <c r="EB17">
        <v>12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55</v>
      </c>
      <c r="EM17">
        <v>67</v>
      </c>
      <c r="EN17">
        <v>12</v>
      </c>
      <c r="EO17">
        <v>27.26</v>
      </c>
      <c r="EP17">
        <v>27.26</v>
      </c>
      <c r="EQ17">
        <v>0</v>
      </c>
      <c r="ER17">
        <v>27.74</v>
      </c>
      <c r="ES17">
        <v>39.74</v>
      </c>
      <c r="ET17">
        <v>12</v>
      </c>
      <c r="EU17">
        <v>-11.72</v>
      </c>
      <c r="EV17">
        <v>0</v>
      </c>
      <c r="EW17">
        <v>11.72</v>
      </c>
      <c r="EX17">
        <v>39.46</v>
      </c>
      <c r="EY17">
        <v>39.74</v>
      </c>
      <c r="EZ17">
        <v>0.28000000000000003</v>
      </c>
      <c r="FA17">
        <v>11.72</v>
      </c>
      <c r="FB17">
        <v>1</v>
      </c>
      <c r="FC17" t="s">
        <v>330</v>
      </c>
      <c r="FE17" t="s">
        <v>159</v>
      </c>
      <c r="FF17" t="s">
        <v>331</v>
      </c>
    </row>
    <row r="20" spans="1:162" x14ac:dyDescent="0.35">
      <c r="A20" s="15" t="s">
        <v>353</v>
      </c>
    </row>
    <row r="21" spans="1:162" x14ac:dyDescent="0.35">
      <c r="A21" t="s">
        <v>73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83</v>
      </c>
      <c r="L21" t="s">
        <v>84</v>
      </c>
      <c r="M21" t="s">
        <v>85</v>
      </c>
      <c r="N21" t="s">
        <v>86</v>
      </c>
      <c r="O21" t="s">
        <v>87</v>
      </c>
      <c r="P21" t="s">
        <v>88</v>
      </c>
      <c r="Q21" t="s">
        <v>89</v>
      </c>
      <c r="R21" t="s">
        <v>90</v>
      </c>
      <c r="S21" t="s">
        <v>91</v>
      </c>
      <c r="T21" t="s">
        <v>92</v>
      </c>
      <c r="U21" t="s">
        <v>93</v>
      </c>
      <c r="V21" t="s">
        <v>94</v>
      </c>
      <c r="W21" t="s">
        <v>95</v>
      </c>
      <c r="X21" t="s">
        <v>96</v>
      </c>
      <c r="Y21" t="s">
        <v>97</v>
      </c>
      <c r="Z21" t="s">
        <v>98</v>
      </c>
      <c r="AA21" t="s">
        <v>99</v>
      </c>
      <c r="AB21" t="s">
        <v>100</v>
      </c>
      <c r="AC21" t="s">
        <v>101</v>
      </c>
      <c r="AD21" t="s">
        <v>102</v>
      </c>
      <c r="AE21" s="16" t="s">
        <v>103</v>
      </c>
      <c r="AF21" t="s">
        <v>104</v>
      </c>
      <c r="AG21" t="s">
        <v>105</v>
      </c>
      <c r="AH21" t="s">
        <v>106</v>
      </c>
      <c r="AI21" t="s">
        <v>107</v>
      </c>
      <c r="AJ21" s="16" t="s">
        <v>108</v>
      </c>
      <c r="AK21" t="s">
        <v>109</v>
      </c>
      <c r="AL21" t="s">
        <v>110</v>
      </c>
      <c r="AM21" t="s">
        <v>111</v>
      </c>
      <c r="AN21" t="s">
        <v>112</v>
      </c>
      <c r="AO21" t="s">
        <v>113</v>
      </c>
      <c r="AP21" s="16" t="s">
        <v>114</v>
      </c>
      <c r="AQ21" t="s">
        <v>115</v>
      </c>
      <c r="AR21" t="s">
        <v>116</v>
      </c>
      <c r="AS21" t="s">
        <v>117</v>
      </c>
      <c r="AT21" t="s">
        <v>118</v>
      </c>
      <c r="AU21" t="s">
        <v>119</v>
      </c>
      <c r="AV21" t="s">
        <v>120</v>
      </c>
      <c r="AW21" t="s">
        <v>121</v>
      </c>
      <c r="AX21" t="s">
        <v>122</v>
      </c>
      <c r="AY21" t="s">
        <v>123</v>
      </c>
      <c r="AZ21" t="s">
        <v>124</v>
      </c>
      <c r="BA21" t="s">
        <v>125</v>
      </c>
      <c r="BB21" t="s">
        <v>126</v>
      </c>
      <c r="BC21" t="s">
        <v>127</v>
      </c>
      <c r="BD21" t="s">
        <v>128</v>
      </c>
      <c r="BE21" t="s">
        <v>129</v>
      </c>
      <c r="BF21" t="s">
        <v>130</v>
      </c>
      <c r="BG21" t="s">
        <v>131</v>
      </c>
      <c r="BH21" t="s">
        <v>132</v>
      </c>
      <c r="BI21" t="s">
        <v>133</v>
      </c>
      <c r="BJ21" t="s">
        <v>134</v>
      </c>
      <c r="BK21" t="s">
        <v>135</v>
      </c>
      <c r="BL21" t="s">
        <v>136</v>
      </c>
      <c r="BM21" t="s">
        <v>137</v>
      </c>
      <c r="BN21" t="s">
        <v>138</v>
      </c>
      <c r="BO21" t="s">
        <v>139</v>
      </c>
      <c r="BP21" t="s">
        <v>140</v>
      </c>
      <c r="BQ21" t="s">
        <v>141</v>
      </c>
      <c r="BR21" t="s">
        <v>142</v>
      </c>
      <c r="BS21" t="s">
        <v>143</v>
      </c>
      <c r="BT21" t="s">
        <v>144</v>
      </c>
      <c r="BU21" t="s">
        <v>145</v>
      </c>
      <c r="BV21" t="s">
        <v>146</v>
      </c>
      <c r="BW21" t="s">
        <v>147</v>
      </c>
      <c r="BX21" t="s">
        <v>148</v>
      </c>
      <c r="BY21" t="s">
        <v>0</v>
      </c>
      <c r="BZ21" t="s">
        <v>1</v>
      </c>
      <c r="CA21" t="s">
        <v>3</v>
      </c>
      <c r="CB21" t="s">
        <v>149</v>
      </c>
      <c r="CC21" t="s">
        <v>150</v>
      </c>
    </row>
    <row r="22" spans="1:162" x14ac:dyDescent="0.35">
      <c r="A22" t="s">
        <v>151</v>
      </c>
      <c r="B22">
        <v>926388604</v>
      </c>
      <c r="C22">
        <v>926388604</v>
      </c>
      <c r="D22">
        <v>9055317927</v>
      </c>
      <c r="E22" t="s">
        <v>152</v>
      </c>
      <c r="F22">
        <v>83711</v>
      </c>
      <c r="G22" t="s">
        <v>345</v>
      </c>
      <c r="H22" t="s">
        <v>345</v>
      </c>
      <c r="I22" t="s">
        <v>336</v>
      </c>
      <c r="J22" t="s">
        <v>338</v>
      </c>
      <c r="K22" t="s">
        <v>157</v>
      </c>
      <c r="L22" t="s">
        <v>158</v>
      </c>
      <c r="M22">
        <v>11</v>
      </c>
      <c r="N22">
        <v>1</v>
      </c>
      <c r="O22">
        <v>316041284</v>
      </c>
      <c r="P22" t="s">
        <v>159</v>
      </c>
      <c r="Q22">
        <v>426140598</v>
      </c>
      <c r="V22" t="s">
        <v>160</v>
      </c>
      <c r="W22" t="s">
        <v>340</v>
      </c>
      <c r="X22" t="s">
        <v>346</v>
      </c>
      <c r="Y22" t="s">
        <v>346</v>
      </c>
      <c r="AB22" t="s">
        <v>159</v>
      </c>
      <c r="AC22" t="s">
        <v>151</v>
      </c>
      <c r="AD22" t="s">
        <v>336</v>
      </c>
      <c r="AE22" s="16">
        <v>-5</v>
      </c>
      <c r="AF22" t="s">
        <v>164</v>
      </c>
      <c r="AG22" t="s">
        <v>151</v>
      </c>
      <c r="AH22" t="s">
        <v>151</v>
      </c>
      <c r="AI22" t="s">
        <v>151</v>
      </c>
      <c r="AJ22" s="16" t="s">
        <v>347</v>
      </c>
      <c r="AK22" t="s">
        <v>348</v>
      </c>
      <c r="AL22">
        <v>70</v>
      </c>
      <c r="AM22" t="s">
        <v>335</v>
      </c>
      <c r="AN22" t="s">
        <v>342</v>
      </c>
      <c r="AO22" t="s">
        <v>169</v>
      </c>
      <c r="AP22" s="16">
        <v>24</v>
      </c>
      <c r="AQ22" t="s">
        <v>159</v>
      </c>
      <c r="AR22" t="s">
        <v>349</v>
      </c>
      <c r="AS22" t="s">
        <v>350</v>
      </c>
      <c r="AT22" t="s">
        <v>172</v>
      </c>
      <c r="AU22" t="s">
        <v>173</v>
      </c>
      <c r="AV22" t="s">
        <v>341</v>
      </c>
      <c r="AW22" t="s">
        <v>351</v>
      </c>
      <c r="AX22" t="s">
        <v>176</v>
      </c>
      <c r="AY22" t="s">
        <v>177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-1</v>
      </c>
      <c r="BW22" t="s">
        <v>159</v>
      </c>
      <c r="BX22">
        <v>0</v>
      </c>
      <c r="BY22">
        <v>2024</v>
      </c>
      <c r="BZ22">
        <v>6</v>
      </c>
      <c r="CA22" t="s">
        <v>334</v>
      </c>
      <c r="CB22" t="s">
        <v>179</v>
      </c>
      <c r="CC22" t="s">
        <v>179</v>
      </c>
    </row>
    <row r="23" spans="1:162" x14ac:dyDescent="0.35">
      <c r="A23" t="s">
        <v>151</v>
      </c>
      <c r="B23">
        <v>926388604</v>
      </c>
      <c r="C23">
        <v>926388604</v>
      </c>
      <c r="D23">
        <v>9055317927</v>
      </c>
      <c r="E23" t="s">
        <v>152</v>
      </c>
      <c r="F23">
        <v>83711</v>
      </c>
      <c r="G23" t="s">
        <v>345</v>
      </c>
      <c r="H23" t="s">
        <v>345</v>
      </c>
      <c r="I23" t="s">
        <v>336</v>
      </c>
      <c r="J23" t="s">
        <v>338</v>
      </c>
      <c r="K23" t="s">
        <v>157</v>
      </c>
      <c r="L23" t="s">
        <v>158</v>
      </c>
      <c r="M23">
        <v>11</v>
      </c>
      <c r="N23">
        <v>1</v>
      </c>
      <c r="O23">
        <v>316041284</v>
      </c>
      <c r="P23" t="s">
        <v>159</v>
      </c>
      <c r="Q23">
        <v>426140598</v>
      </c>
      <c r="V23" t="s">
        <v>160</v>
      </c>
      <c r="W23" t="s">
        <v>340</v>
      </c>
      <c r="X23" t="s">
        <v>346</v>
      </c>
      <c r="Y23" t="s">
        <v>346</v>
      </c>
      <c r="AB23" t="s">
        <v>159</v>
      </c>
      <c r="AC23" t="s">
        <v>151</v>
      </c>
      <c r="AD23" t="s">
        <v>336</v>
      </c>
      <c r="AE23" s="16">
        <v>-3</v>
      </c>
      <c r="AF23" t="s">
        <v>164</v>
      </c>
      <c r="AG23" t="s">
        <v>151</v>
      </c>
      <c r="AH23" t="s">
        <v>151</v>
      </c>
      <c r="AI23" t="s">
        <v>151</v>
      </c>
      <c r="AJ23" s="16" t="s">
        <v>352</v>
      </c>
      <c r="AK23" t="s">
        <v>166</v>
      </c>
      <c r="AL23">
        <v>70</v>
      </c>
      <c r="AM23" t="s">
        <v>181</v>
      </c>
      <c r="AN23" t="s">
        <v>342</v>
      </c>
      <c r="AO23" t="s">
        <v>169</v>
      </c>
      <c r="AP23" s="16" t="s">
        <v>151</v>
      </c>
      <c r="AQ23" t="s">
        <v>159</v>
      </c>
      <c r="AR23" t="s">
        <v>349</v>
      </c>
      <c r="AS23" t="s">
        <v>350</v>
      </c>
      <c r="AT23" t="s">
        <v>172</v>
      </c>
      <c r="AU23" t="s">
        <v>173</v>
      </c>
      <c r="AV23" t="s">
        <v>341</v>
      </c>
      <c r="AW23" t="s">
        <v>351</v>
      </c>
      <c r="AX23" t="s">
        <v>176</v>
      </c>
      <c r="AY23" t="s">
        <v>177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-1</v>
      </c>
      <c r="BW23" t="s">
        <v>159</v>
      </c>
      <c r="BX23">
        <v>0</v>
      </c>
      <c r="BY23">
        <v>2024</v>
      </c>
      <c r="BZ23">
        <v>6</v>
      </c>
      <c r="CA23" t="s">
        <v>334</v>
      </c>
      <c r="CB23" t="s">
        <v>179</v>
      </c>
      <c r="CC23" t="s">
        <v>179</v>
      </c>
    </row>
    <row r="24" spans="1:162" x14ac:dyDescent="0.35">
      <c r="A24" t="s">
        <v>151</v>
      </c>
      <c r="B24">
        <v>926388604</v>
      </c>
      <c r="C24">
        <v>926388604</v>
      </c>
      <c r="D24">
        <v>9055317927</v>
      </c>
      <c r="E24" t="s">
        <v>152</v>
      </c>
      <c r="F24">
        <v>83711</v>
      </c>
      <c r="G24" t="s">
        <v>345</v>
      </c>
      <c r="H24" t="s">
        <v>345</v>
      </c>
      <c r="I24" t="s">
        <v>336</v>
      </c>
      <c r="J24" t="s">
        <v>338</v>
      </c>
      <c r="K24" t="s">
        <v>157</v>
      </c>
      <c r="L24" t="s">
        <v>158</v>
      </c>
      <c r="M24">
        <v>11</v>
      </c>
      <c r="N24">
        <v>1</v>
      </c>
      <c r="O24">
        <v>316041284</v>
      </c>
      <c r="P24" t="s">
        <v>159</v>
      </c>
      <c r="Q24">
        <v>426140598</v>
      </c>
      <c r="V24" t="s">
        <v>160</v>
      </c>
      <c r="W24" t="s">
        <v>340</v>
      </c>
      <c r="X24" t="s">
        <v>346</v>
      </c>
      <c r="Y24" t="s">
        <v>346</v>
      </c>
      <c r="AB24" t="s">
        <v>159</v>
      </c>
      <c r="AC24" t="s">
        <v>151</v>
      </c>
      <c r="AD24" t="s">
        <v>336</v>
      </c>
      <c r="AE24" s="16">
        <v>-4</v>
      </c>
      <c r="AF24" t="s">
        <v>164</v>
      </c>
      <c r="AG24" t="s">
        <v>151</v>
      </c>
      <c r="AH24" t="s">
        <v>151</v>
      </c>
      <c r="AI24" t="s">
        <v>151</v>
      </c>
      <c r="AJ24" s="16" t="s">
        <v>165</v>
      </c>
      <c r="AK24" t="s">
        <v>166</v>
      </c>
      <c r="AL24">
        <v>70</v>
      </c>
      <c r="AM24" t="s">
        <v>167</v>
      </c>
      <c r="AN24" t="s">
        <v>342</v>
      </c>
      <c r="AO24" t="s">
        <v>169</v>
      </c>
      <c r="AP24" s="16" t="s">
        <v>151</v>
      </c>
      <c r="AQ24" t="s">
        <v>159</v>
      </c>
      <c r="AR24" t="s">
        <v>349</v>
      </c>
      <c r="AS24" t="s">
        <v>350</v>
      </c>
      <c r="AT24" t="s">
        <v>172</v>
      </c>
      <c r="AU24" t="s">
        <v>173</v>
      </c>
      <c r="AV24" t="s">
        <v>341</v>
      </c>
      <c r="AW24" t="s">
        <v>351</v>
      </c>
      <c r="AX24" t="s">
        <v>176</v>
      </c>
      <c r="AY24" t="s">
        <v>177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-1</v>
      </c>
      <c r="BW24" t="s">
        <v>159</v>
      </c>
      <c r="BX24">
        <v>0</v>
      </c>
      <c r="BY24">
        <v>2024</v>
      </c>
      <c r="BZ24">
        <v>6</v>
      </c>
      <c r="CA24" t="s">
        <v>334</v>
      </c>
      <c r="CB24" t="s">
        <v>179</v>
      </c>
      <c r="CC24" t="s">
        <v>179</v>
      </c>
    </row>
    <row r="28" spans="1:162" x14ac:dyDescent="0.35">
      <c r="A28" s="17" t="s">
        <v>354</v>
      </c>
    </row>
    <row r="29" spans="1:162" x14ac:dyDescent="0.35">
      <c r="A29" s="15" t="s">
        <v>182</v>
      </c>
    </row>
    <row r="30" spans="1:162" x14ac:dyDescent="0.35">
      <c r="A30" t="s">
        <v>0</v>
      </c>
      <c r="B30" t="s">
        <v>1</v>
      </c>
      <c r="C30" t="s">
        <v>2</v>
      </c>
      <c r="D30" s="16" t="s">
        <v>3</v>
      </c>
      <c r="E30" t="s">
        <v>75</v>
      </c>
      <c r="F30" t="s">
        <v>76</v>
      </c>
      <c r="G30" t="s">
        <v>78</v>
      </c>
      <c r="H30" t="s">
        <v>4</v>
      </c>
      <c r="I30" t="s">
        <v>184</v>
      </c>
      <c r="J30" t="s">
        <v>185</v>
      </c>
      <c r="K30" t="s">
        <v>186</v>
      </c>
      <c r="L30" t="s">
        <v>187</v>
      </c>
      <c r="M30" t="s">
        <v>85</v>
      </c>
      <c r="N30" t="s">
        <v>83</v>
      </c>
      <c r="O30" t="s">
        <v>188</v>
      </c>
      <c r="P30" t="s">
        <v>189</v>
      </c>
      <c r="Q30" t="s">
        <v>190</v>
      </c>
      <c r="R30" t="s">
        <v>191</v>
      </c>
      <c r="S30" t="s">
        <v>86</v>
      </c>
      <c r="T30" t="s">
        <v>6</v>
      </c>
      <c r="U30" t="s">
        <v>192</v>
      </c>
      <c r="V30" t="s">
        <v>5</v>
      </c>
      <c r="W30" t="s">
        <v>193</v>
      </c>
      <c r="X30" t="s">
        <v>194</v>
      </c>
      <c r="Y30" t="s">
        <v>195</v>
      </c>
      <c r="Z30" t="s">
        <v>196</v>
      </c>
      <c r="AA30" t="s">
        <v>197</v>
      </c>
      <c r="AB30" t="s">
        <v>198</v>
      </c>
      <c r="AC30" t="s">
        <v>199</v>
      </c>
      <c r="AD30" t="s">
        <v>200</v>
      </c>
      <c r="AE30" t="s">
        <v>201</v>
      </c>
      <c r="AF30" t="s">
        <v>202</v>
      </c>
      <c r="AG30" t="s">
        <v>203</v>
      </c>
      <c r="AH30" t="s">
        <v>204</v>
      </c>
      <c r="AI30" t="s">
        <v>205</v>
      </c>
      <c r="AJ30" t="s">
        <v>206</v>
      </c>
      <c r="AK30" t="s">
        <v>207</v>
      </c>
      <c r="AL30" t="s">
        <v>208</v>
      </c>
      <c r="AM30" t="s">
        <v>209</v>
      </c>
      <c r="AN30" t="s">
        <v>210</v>
      </c>
      <c r="AO30" t="s">
        <v>211</v>
      </c>
      <c r="AP30" t="s">
        <v>212</v>
      </c>
      <c r="AQ30" t="s">
        <v>213</v>
      </c>
      <c r="AR30" t="s">
        <v>214</v>
      </c>
      <c r="AS30" t="s">
        <v>95</v>
      </c>
      <c r="AT30" t="s">
        <v>215</v>
      </c>
      <c r="AU30" t="s">
        <v>216</v>
      </c>
      <c r="AV30" t="s">
        <v>217</v>
      </c>
      <c r="AW30" t="s">
        <v>218</v>
      </c>
      <c r="AX30" t="s">
        <v>219</v>
      </c>
      <c r="AY30" t="s">
        <v>220</v>
      </c>
      <c r="AZ30" t="s">
        <v>221</v>
      </c>
      <c r="BA30" t="s">
        <v>222</v>
      </c>
      <c r="BB30" t="s">
        <v>223</v>
      </c>
      <c r="BC30" t="s">
        <v>224</v>
      </c>
      <c r="BD30" s="16" t="s">
        <v>225</v>
      </c>
      <c r="BE30" t="s">
        <v>226</v>
      </c>
      <c r="BF30" t="s">
        <v>100</v>
      </c>
      <c r="BG30" t="s">
        <v>227</v>
      </c>
      <c r="BH30" t="s">
        <v>228</v>
      </c>
      <c r="BI30" t="s">
        <v>229</v>
      </c>
      <c r="BJ30" s="16" t="s">
        <v>230</v>
      </c>
      <c r="BK30" s="16" t="s">
        <v>231</v>
      </c>
      <c r="BL30" t="s">
        <v>232</v>
      </c>
      <c r="BM30" t="s">
        <v>233</v>
      </c>
      <c r="BN30" t="s">
        <v>234</v>
      </c>
      <c r="BO30" t="s">
        <v>235</v>
      </c>
      <c r="BP30" t="s">
        <v>236</v>
      </c>
      <c r="BQ30" t="s">
        <v>237</v>
      </c>
      <c r="BR30" t="s">
        <v>238</v>
      </c>
      <c r="BS30" t="s">
        <v>239</v>
      </c>
      <c r="BT30" t="s">
        <v>240</v>
      </c>
      <c r="BU30" t="s">
        <v>241</v>
      </c>
      <c r="BV30" t="s">
        <v>242</v>
      </c>
      <c r="BW30" t="s">
        <v>243</v>
      </c>
      <c r="BX30" t="s">
        <v>244</v>
      </c>
      <c r="BY30" t="s">
        <v>245</v>
      </c>
      <c r="BZ30" t="s">
        <v>246</v>
      </c>
      <c r="CA30" t="s">
        <v>247</v>
      </c>
      <c r="CB30" t="s">
        <v>248</v>
      </c>
      <c r="CC30" t="s">
        <v>249</v>
      </c>
      <c r="CD30" s="16" t="s">
        <v>250</v>
      </c>
      <c r="CE30" s="16" t="s">
        <v>251</v>
      </c>
      <c r="CF30" t="s">
        <v>252</v>
      </c>
      <c r="CG30" t="s">
        <v>253</v>
      </c>
      <c r="CH30" t="s">
        <v>254</v>
      </c>
      <c r="CI30" t="s">
        <v>255</v>
      </c>
      <c r="CJ30" t="s">
        <v>256</v>
      </c>
      <c r="CK30" t="s">
        <v>257</v>
      </c>
      <c r="CL30" t="s">
        <v>258</v>
      </c>
      <c r="CM30" t="s">
        <v>259</v>
      </c>
      <c r="CN30" t="s">
        <v>260</v>
      </c>
      <c r="CO30" t="s">
        <v>261</v>
      </c>
      <c r="CP30" t="s">
        <v>262</v>
      </c>
      <c r="CQ30" t="s">
        <v>263</v>
      </c>
      <c r="CR30" t="s">
        <v>264</v>
      </c>
      <c r="CS30" s="16" t="s">
        <v>265</v>
      </c>
      <c r="CT30" s="16" t="s">
        <v>266</v>
      </c>
      <c r="CU30" s="16" t="s">
        <v>267</v>
      </c>
      <c r="CV30" t="s">
        <v>268</v>
      </c>
      <c r="CW30" t="s">
        <v>269</v>
      </c>
      <c r="CX30" t="s">
        <v>270</v>
      </c>
      <c r="CY30" t="s">
        <v>271</v>
      </c>
      <c r="CZ30" t="s">
        <v>272</v>
      </c>
      <c r="DA30" t="s">
        <v>273</v>
      </c>
      <c r="DB30" t="s">
        <v>274</v>
      </c>
      <c r="DC30" t="s">
        <v>275</v>
      </c>
      <c r="DD30" t="s">
        <v>276</v>
      </c>
      <c r="DE30" t="s">
        <v>277</v>
      </c>
      <c r="DF30" t="s">
        <v>278</v>
      </c>
      <c r="DG30" t="s">
        <v>279</v>
      </c>
      <c r="DH30" t="s">
        <v>28</v>
      </c>
      <c r="DI30" t="s">
        <v>29</v>
      </c>
      <c r="DJ30" t="s">
        <v>30</v>
      </c>
      <c r="DK30" t="s">
        <v>280</v>
      </c>
      <c r="DL30" t="s">
        <v>281</v>
      </c>
      <c r="DM30" t="s">
        <v>282</v>
      </c>
      <c r="DN30" t="s">
        <v>283</v>
      </c>
      <c r="DO30" t="s">
        <v>284</v>
      </c>
      <c r="DP30" t="s">
        <v>285</v>
      </c>
      <c r="DQ30" t="s">
        <v>286</v>
      </c>
      <c r="DR30" t="s">
        <v>287</v>
      </c>
      <c r="DS30" t="s">
        <v>288</v>
      </c>
      <c r="DT30" t="s">
        <v>289</v>
      </c>
      <c r="DU30" t="s">
        <v>290</v>
      </c>
      <c r="DV30" t="s">
        <v>291</v>
      </c>
      <c r="DW30" t="s">
        <v>292</v>
      </c>
      <c r="DX30" t="s">
        <v>293</v>
      </c>
      <c r="DY30" t="s">
        <v>294</v>
      </c>
      <c r="DZ30" t="s">
        <v>295</v>
      </c>
      <c r="EA30" t="s">
        <v>296</v>
      </c>
      <c r="EB30" t="s">
        <v>297</v>
      </c>
      <c r="EC30" t="s">
        <v>298</v>
      </c>
      <c r="ED30" t="s">
        <v>299</v>
      </c>
      <c r="EE30" t="s">
        <v>300</v>
      </c>
      <c r="EF30" t="s">
        <v>13</v>
      </c>
      <c r="EG30" t="s">
        <v>14</v>
      </c>
      <c r="EH30" t="s">
        <v>15</v>
      </c>
      <c r="EI30" t="s">
        <v>301</v>
      </c>
      <c r="EJ30" t="s">
        <v>302</v>
      </c>
      <c r="EK30" t="s">
        <v>303</v>
      </c>
      <c r="EL30" t="s">
        <v>25</v>
      </c>
      <c r="EM30" t="s">
        <v>26</v>
      </c>
      <c r="EN30" t="s">
        <v>27</v>
      </c>
      <c r="EO30" t="s">
        <v>304</v>
      </c>
      <c r="EP30" t="s">
        <v>305</v>
      </c>
      <c r="EQ30" t="s">
        <v>306</v>
      </c>
      <c r="ER30" t="s">
        <v>31</v>
      </c>
      <c r="ES30" t="s">
        <v>32</v>
      </c>
      <c r="ET30" t="s">
        <v>33</v>
      </c>
      <c r="EU30" t="s">
        <v>307</v>
      </c>
      <c r="EV30" t="s">
        <v>308</v>
      </c>
      <c r="EW30" t="s">
        <v>309</v>
      </c>
      <c r="EX30" t="s">
        <v>37</v>
      </c>
      <c r="EY30" t="s">
        <v>38</v>
      </c>
      <c r="EZ30" t="s">
        <v>39</v>
      </c>
      <c r="FA30" t="s">
        <v>310</v>
      </c>
      <c r="FB30" t="s">
        <v>40</v>
      </c>
      <c r="FC30" t="s">
        <v>311</v>
      </c>
      <c r="FD30" t="s">
        <v>312</v>
      </c>
      <c r="FE30" t="s">
        <v>313</v>
      </c>
      <c r="FF30" t="s">
        <v>314</v>
      </c>
    </row>
    <row r="31" spans="1:162" x14ac:dyDescent="0.35">
      <c r="A31">
        <v>2024</v>
      </c>
      <c r="B31">
        <v>6</v>
      </c>
      <c r="C31">
        <v>24</v>
      </c>
      <c r="D31" s="16" t="s">
        <v>355</v>
      </c>
      <c r="E31">
        <v>926385519</v>
      </c>
      <c r="F31">
        <v>6043758161</v>
      </c>
      <c r="G31">
        <v>33914641</v>
      </c>
      <c r="H31" t="s">
        <v>44</v>
      </c>
      <c r="I31">
        <v>1</v>
      </c>
      <c r="J31" t="s">
        <v>157</v>
      </c>
      <c r="K31">
        <v>1</v>
      </c>
      <c r="L31" t="s">
        <v>157</v>
      </c>
      <c r="M31">
        <v>1</v>
      </c>
      <c r="N31" t="s">
        <v>157</v>
      </c>
      <c r="O31" t="s">
        <v>315</v>
      </c>
      <c r="P31" t="s">
        <v>316</v>
      </c>
      <c r="Q31">
        <v>20</v>
      </c>
      <c r="R31">
        <v>20</v>
      </c>
      <c r="S31">
        <v>20</v>
      </c>
      <c r="T31" t="s">
        <v>50</v>
      </c>
      <c r="U31" t="s">
        <v>159</v>
      </c>
      <c r="V31" t="s">
        <v>47</v>
      </c>
      <c r="W31" t="s">
        <v>317</v>
      </c>
      <c r="X31" t="s">
        <v>317</v>
      </c>
      <c r="Y31" t="s">
        <v>169</v>
      </c>
      <c r="Z31" t="s">
        <v>169</v>
      </c>
      <c r="AA31" t="s">
        <v>356</v>
      </c>
      <c r="AB31" t="s">
        <v>357</v>
      </c>
      <c r="AC31" t="s">
        <v>358</v>
      </c>
      <c r="AD31" t="s">
        <v>359</v>
      </c>
      <c r="AE31" t="s">
        <v>356</v>
      </c>
      <c r="AF31" t="s">
        <v>357</v>
      </c>
      <c r="AG31" t="s">
        <v>358</v>
      </c>
      <c r="AH31" t="s">
        <v>359</v>
      </c>
      <c r="AI31" t="s">
        <v>360</v>
      </c>
      <c r="AJ31" t="s">
        <v>361</v>
      </c>
      <c r="AK31" t="s">
        <v>360</v>
      </c>
      <c r="AL31" t="s">
        <v>361</v>
      </c>
      <c r="AM31" t="s">
        <v>339</v>
      </c>
      <c r="AN31" t="s">
        <v>339</v>
      </c>
      <c r="AO31" t="s">
        <v>362</v>
      </c>
      <c r="AP31" t="s">
        <v>362</v>
      </c>
      <c r="AQ31" t="s">
        <v>362</v>
      </c>
      <c r="AR31" t="s">
        <v>362</v>
      </c>
      <c r="AS31" t="s">
        <v>362</v>
      </c>
      <c r="AT31" t="s">
        <v>362</v>
      </c>
      <c r="AU31" t="s">
        <v>362</v>
      </c>
      <c r="AV31">
        <v>24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 s="16">
        <v>1</v>
      </c>
      <c r="BE31">
        <v>0</v>
      </c>
      <c r="BF31">
        <v>0</v>
      </c>
      <c r="BG31">
        <v>0</v>
      </c>
      <c r="BH31">
        <v>1</v>
      </c>
      <c r="BI31">
        <v>0</v>
      </c>
      <c r="BJ31" s="16">
        <v>1</v>
      </c>
      <c r="BK31" s="16">
        <v>1</v>
      </c>
      <c r="BL31">
        <v>0</v>
      </c>
      <c r="BM31" t="s">
        <v>322</v>
      </c>
      <c r="BN31" t="s">
        <v>356</v>
      </c>
      <c r="BO31" t="s">
        <v>342</v>
      </c>
      <c r="BP31" t="s">
        <v>324</v>
      </c>
      <c r="BQ31" t="s">
        <v>356</v>
      </c>
      <c r="BR31" t="s">
        <v>342</v>
      </c>
      <c r="BS31" t="s">
        <v>324</v>
      </c>
      <c r="BT31">
        <v>89341499</v>
      </c>
      <c r="BU31">
        <v>2</v>
      </c>
      <c r="BV31" t="s">
        <v>325</v>
      </c>
      <c r="BW31" t="s">
        <v>322</v>
      </c>
      <c r="BX31" t="s">
        <v>356</v>
      </c>
      <c r="BY31" t="s">
        <v>363</v>
      </c>
      <c r="BZ31" t="s">
        <v>151</v>
      </c>
      <c r="CA31">
        <v>89341499</v>
      </c>
      <c r="CB31">
        <v>2</v>
      </c>
      <c r="CC31" t="s">
        <v>322</v>
      </c>
      <c r="CD31" s="16" t="s">
        <v>356</v>
      </c>
      <c r="CE31" s="16" t="s">
        <v>363</v>
      </c>
      <c r="CF31" t="s">
        <v>151</v>
      </c>
      <c r="CG31" t="s">
        <v>151</v>
      </c>
      <c r="CH31" t="s">
        <v>151</v>
      </c>
      <c r="CI31" t="s">
        <v>364</v>
      </c>
      <c r="CJ31" t="s">
        <v>151</v>
      </c>
      <c r="CK31" t="s">
        <v>151</v>
      </c>
      <c r="CL31" t="s">
        <v>151</v>
      </c>
      <c r="CM31">
        <v>62</v>
      </c>
      <c r="CN31">
        <v>62</v>
      </c>
      <c r="CO31">
        <v>0</v>
      </c>
      <c r="CP31">
        <v>0</v>
      </c>
      <c r="CQ31">
        <v>0</v>
      </c>
      <c r="CR31">
        <v>0</v>
      </c>
      <c r="CS31" s="16">
        <v>-12</v>
      </c>
      <c r="CT31" s="16">
        <v>-5</v>
      </c>
      <c r="CU31" s="16">
        <v>7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50</v>
      </c>
      <c r="DF31">
        <v>57</v>
      </c>
      <c r="DG31">
        <v>7</v>
      </c>
      <c r="DH31">
        <v>15</v>
      </c>
      <c r="DI31">
        <v>15</v>
      </c>
      <c r="DJ31">
        <v>0</v>
      </c>
      <c r="DK31">
        <v>35</v>
      </c>
      <c r="DL31">
        <v>42</v>
      </c>
      <c r="DM31">
        <v>7</v>
      </c>
      <c r="DN31">
        <v>-8.0399999999999991</v>
      </c>
      <c r="DO31">
        <v>0</v>
      </c>
      <c r="DP31">
        <v>8.0399999999999991</v>
      </c>
      <c r="DQ31">
        <v>43.04</v>
      </c>
      <c r="DR31">
        <v>42</v>
      </c>
      <c r="DS31">
        <v>-1.04</v>
      </c>
      <c r="DT31">
        <v>62</v>
      </c>
      <c r="DU31">
        <v>62</v>
      </c>
      <c r="DV31">
        <v>0</v>
      </c>
      <c r="DW31">
        <v>0</v>
      </c>
      <c r="DX31">
        <v>0</v>
      </c>
      <c r="DY31">
        <v>0</v>
      </c>
      <c r="DZ31">
        <v>-12</v>
      </c>
      <c r="EA31">
        <v>-5</v>
      </c>
      <c r="EB31">
        <v>7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50</v>
      </c>
      <c r="EM31">
        <v>57</v>
      </c>
      <c r="EN31">
        <v>7</v>
      </c>
      <c r="EO31">
        <v>15</v>
      </c>
      <c r="EP31">
        <v>15</v>
      </c>
      <c r="EQ31">
        <v>0</v>
      </c>
      <c r="ER31">
        <v>35</v>
      </c>
      <c r="ES31">
        <v>42</v>
      </c>
      <c r="ET31">
        <v>7</v>
      </c>
      <c r="EU31">
        <v>-8.0399999999999991</v>
      </c>
      <c r="EV31">
        <v>0</v>
      </c>
      <c r="EW31">
        <v>8.0399999999999991</v>
      </c>
      <c r="EX31">
        <v>43.04</v>
      </c>
      <c r="EY31">
        <v>42</v>
      </c>
      <c r="EZ31">
        <v>-1.04</v>
      </c>
      <c r="FA31">
        <v>8.0399999999999991</v>
      </c>
      <c r="FB31">
        <v>1</v>
      </c>
      <c r="FC31" t="s">
        <v>330</v>
      </c>
      <c r="FE31" t="s">
        <v>159</v>
      </c>
      <c r="FF31" t="s">
        <v>331</v>
      </c>
    </row>
    <row r="34" spans="1:81" x14ac:dyDescent="0.35">
      <c r="A34" s="15" t="s">
        <v>353</v>
      </c>
    </row>
    <row r="35" spans="1:81" x14ac:dyDescent="0.35">
      <c r="A35" t="s">
        <v>73</v>
      </c>
      <c r="B35" t="s">
        <v>74</v>
      </c>
      <c r="C35" t="s">
        <v>75</v>
      </c>
      <c r="D35" t="s">
        <v>76</v>
      </c>
      <c r="E35" t="s">
        <v>77</v>
      </c>
      <c r="F35" t="s">
        <v>78</v>
      </c>
      <c r="G35" t="s">
        <v>79</v>
      </c>
      <c r="H35" t="s">
        <v>80</v>
      </c>
      <c r="I35" t="s">
        <v>81</v>
      </c>
      <c r="J35" t="s">
        <v>82</v>
      </c>
      <c r="K35" t="s">
        <v>83</v>
      </c>
      <c r="L35" t="s">
        <v>84</v>
      </c>
      <c r="M35" t="s">
        <v>85</v>
      </c>
      <c r="N35" t="s">
        <v>86</v>
      </c>
      <c r="O35" t="s">
        <v>87</v>
      </c>
      <c r="P35" t="s">
        <v>88</v>
      </c>
      <c r="Q35" t="s">
        <v>89</v>
      </c>
      <c r="R35" t="s">
        <v>90</v>
      </c>
      <c r="S35" t="s">
        <v>91</v>
      </c>
      <c r="T35" t="s">
        <v>92</v>
      </c>
      <c r="U35" t="s">
        <v>93</v>
      </c>
      <c r="V35" t="s">
        <v>94</v>
      </c>
      <c r="W35" t="s">
        <v>95</v>
      </c>
      <c r="X35" t="s">
        <v>96</v>
      </c>
      <c r="Y35" t="s">
        <v>97</v>
      </c>
      <c r="Z35" t="s">
        <v>98</v>
      </c>
      <c r="AA35" t="s">
        <v>99</v>
      </c>
      <c r="AB35" t="s">
        <v>100</v>
      </c>
      <c r="AC35" t="s">
        <v>101</v>
      </c>
      <c r="AD35" t="s">
        <v>102</v>
      </c>
      <c r="AE35" s="16" t="s">
        <v>103</v>
      </c>
      <c r="AF35" t="s">
        <v>104</v>
      </c>
      <c r="AG35" t="s">
        <v>105</v>
      </c>
      <c r="AH35" t="s">
        <v>106</v>
      </c>
      <c r="AI35" t="s">
        <v>107</v>
      </c>
      <c r="AJ35" s="16" t="s">
        <v>108</v>
      </c>
      <c r="AK35" t="s">
        <v>109</v>
      </c>
      <c r="AL35" t="s">
        <v>110</v>
      </c>
      <c r="AM35" t="s">
        <v>111</v>
      </c>
      <c r="AN35" t="s">
        <v>112</v>
      </c>
      <c r="AO35" t="s">
        <v>113</v>
      </c>
      <c r="AP35" s="16" t="s">
        <v>114</v>
      </c>
      <c r="AQ35" t="s">
        <v>115</v>
      </c>
      <c r="AR35" t="s">
        <v>116</v>
      </c>
      <c r="AS35" t="s">
        <v>117</v>
      </c>
      <c r="AT35" t="s">
        <v>118</v>
      </c>
      <c r="AU35" t="s">
        <v>119</v>
      </c>
      <c r="AV35" t="s">
        <v>120</v>
      </c>
      <c r="AW35" t="s">
        <v>121</v>
      </c>
      <c r="AX35" t="s">
        <v>122</v>
      </c>
      <c r="AY35" t="s">
        <v>123</v>
      </c>
      <c r="AZ35" t="s">
        <v>124</v>
      </c>
      <c r="BA35" t="s">
        <v>125</v>
      </c>
      <c r="BB35" t="s">
        <v>126</v>
      </c>
      <c r="BC35" t="s">
        <v>127</v>
      </c>
      <c r="BD35" t="s">
        <v>128</v>
      </c>
      <c r="BE35" t="s">
        <v>129</v>
      </c>
      <c r="BF35" t="s">
        <v>130</v>
      </c>
      <c r="BG35" t="s">
        <v>131</v>
      </c>
      <c r="BH35" t="s">
        <v>132</v>
      </c>
      <c r="BI35" t="s">
        <v>133</v>
      </c>
      <c r="BJ35" t="s">
        <v>134</v>
      </c>
      <c r="BK35" t="s">
        <v>135</v>
      </c>
      <c r="BL35" t="s">
        <v>136</v>
      </c>
      <c r="BM35" t="s">
        <v>137</v>
      </c>
      <c r="BN35" t="s">
        <v>138</v>
      </c>
      <c r="BO35" t="s">
        <v>139</v>
      </c>
      <c r="BP35" t="s">
        <v>140</v>
      </c>
      <c r="BQ35" t="s">
        <v>141</v>
      </c>
      <c r="BR35" t="s">
        <v>142</v>
      </c>
      <c r="BS35" t="s">
        <v>143</v>
      </c>
      <c r="BT35" t="s">
        <v>144</v>
      </c>
      <c r="BU35" t="s">
        <v>145</v>
      </c>
      <c r="BV35" t="s">
        <v>146</v>
      </c>
      <c r="BW35" t="s">
        <v>147</v>
      </c>
      <c r="BX35" t="s">
        <v>148</v>
      </c>
      <c r="BY35" t="s">
        <v>0</v>
      </c>
      <c r="BZ35" t="s">
        <v>1</v>
      </c>
      <c r="CA35" t="s">
        <v>3</v>
      </c>
      <c r="CB35" t="s">
        <v>149</v>
      </c>
      <c r="CC35" t="s">
        <v>150</v>
      </c>
    </row>
    <row r="36" spans="1:81" x14ac:dyDescent="0.35">
      <c r="A36" t="s">
        <v>151</v>
      </c>
      <c r="B36">
        <v>926385519</v>
      </c>
      <c r="C36">
        <v>926385519</v>
      </c>
      <c r="D36">
        <v>6043758161</v>
      </c>
      <c r="E36" t="s">
        <v>152</v>
      </c>
      <c r="F36">
        <v>33914641</v>
      </c>
      <c r="G36" t="s">
        <v>365</v>
      </c>
      <c r="H36" t="s">
        <v>365</v>
      </c>
      <c r="I36" t="s">
        <v>357</v>
      </c>
      <c r="J36" t="s">
        <v>359</v>
      </c>
      <c r="K36" t="s">
        <v>157</v>
      </c>
      <c r="L36" t="s">
        <v>158</v>
      </c>
      <c r="M36">
        <v>1</v>
      </c>
      <c r="N36">
        <v>20</v>
      </c>
      <c r="O36">
        <v>322481694</v>
      </c>
      <c r="P36" t="s">
        <v>169</v>
      </c>
      <c r="Q36">
        <v>436075673</v>
      </c>
      <c r="V36" t="s">
        <v>160</v>
      </c>
      <c r="W36" t="s">
        <v>362</v>
      </c>
      <c r="X36" t="s">
        <v>366</v>
      </c>
      <c r="Y36" t="s">
        <v>366</v>
      </c>
      <c r="AB36" t="s">
        <v>159</v>
      </c>
      <c r="AC36" t="s">
        <v>151</v>
      </c>
      <c r="AD36" t="s">
        <v>357</v>
      </c>
      <c r="AE36" s="16">
        <v>-3</v>
      </c>
      <c r="AF36" t="s">
        <v>164</v>
      </c>
      <c r="AG36" t="s">
        <v>151</v>
      </c>
      <c r="AH36" t="s">
        <v>151</v>
      </c>
      <c r="AI36" t="s">
        <v>151</v>
      </c>
      <c r="AJ36" s="16" t="s">
        <v>367</v>
      </c>
      <c r="AK36" t="s">
        <v>368</v>
      </c>
      <c r="AL36">
        <v>70</v>
      </c>
      <c r="AM36" t="s">
        <v>181</v>
      </c>
      <c r="AN36" t="s">
        <v>363</v>
      </c>
      <c r="AO36" t="s">
        <v>169</v>
      </c>
      <c r="AP36" s="16" t="s">
        <v>151</v>
      </c>
      <c r="AQ36" t="s">
        <v>159</v>
      </c>
      <c r="AR36" t="s">
        <v>369</v>
      </c>
      <c r="AS36" t="s">
        <v>370</v>
      </c>
      <c r="AT36" t="s">
        <v>172</v>
      </c>
      <c r="AU36" t="s">
        <v>173</v>
      </c>
      <c r="AV36" t="s">
        <v>342</v>
      </c>
      <c r="AW36" t="s">
        <v>371</v>
      </c>
      <c r="AX36" t="s">
        <v>176</v>
      </c>
      <c r="AY36" t="s">
        <v>177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-1</v>
      </c>
      <c r="BW36" t="s">
        <v>159</v>
      </c>
      <c r="BX36">
        <v>0</v>
      </c>
      <c r="BY36">
        <v>2024</v>
      </c>
      <c r="BZ36">
        <v>6</v>
      </c>
      <c r="CA36" t="s">
        <v>355</v>
      </c>
      <c r="CB36" t="s">
        <v>179</v>
      </c>
      <c r="CC36" t="s">
        <v>179</v>
      </c>
    </row>
    <row r="37" spans="1:81" x14ac:dyDescent="0.35">
      <c r="A37" t="s">
        <v>151</v>
      </c>
      <c r="B37">
        <v>926385519</v>
      </c>
      <c r="C37">
        <v>926385519</v>
      </c>
      <c r="D37">
        <v>6043758161</v>
      </c>
      <c r="E37" t="s">
        <v>152</v>
      </c>
      <c r="F37">
        <v>33914641</v>
      </c>
      <c r="G37" t="s">
        <v>365</v>
      </c>
      <c r="H37" t="s">
        <v>365</v>
      </c>
      <c r="I37" t="s">
        <v>357</v>
      </c>
      <c r="J37" t="s">
        <v>359</v>
      </c>
      <c r="K37" t="s">
        <v>157</v>
      </c>
      <c r="L37" t="s">
        <v>158</v>
      </c>
      <c r="M37">
        <v>1</v>
      </c>
      <c r="N37">
        <v>20</v>
      </c>
      <c r="O37">
        <v>322481694</v>
      </c>
      <c r="P37" t="s">
        <v>169</v>
      </c>
      <c r="Q37">
        <v>436075673</v>
      </c>
      <c r="V37" t="s">
        <v>160</v>
      </c>
      <c r="W37" t="s">
        <v>362</v>
      </c>
      <c r="X37" t="s">
        <v>366</v>
      </c>
      <c r="Y37" t="s">
        <v>366</v>
      </c>
      <c r="AB37" t="s">
        <v>159</v>
      </c>
      <c r="AC37" t="s">
        <v>151</v>
      </c>
      <c r="AD37" t="s">
        <v>357</v>
      </c>
      <c r="AE37" s="16">
        <v>-4</v>
      </c>
      <c r="AF37" t="s">
        <v>164</v>
      </c>
      <c r="AG37" t="s">
        <v>151</v>
      </c>
      <c r="AH37" t="s">
        <v>151</v>
      </c>
      <c r="AI37" t="s">
        <v>151</v>
      </c>
      <c r="AJ37" s="16" t="s">
        <v>372</v>
      </c>
      <c r="AK37" t="s">
        <v>368</v>
      </c>
      <c r="AL37">
        <v>70</v>
      </c>
      <c r="AM37" t="s">
        <v>167</v>
      </c>
      <c r="AN37" t="s">
        <v>363</v>
      </c>
      <c r="AO37" t="s">
        <v>169</v>
      </c>
      <c r="AP37" s="16" t="s">
        <v>151</v>
      </c>
      <c r="AQ37" t="s">
        <v>159</v>
      </c>
      <c r="AR37" t="s">
        <v>369</v>
      </c>
      <c r="AS37" t="s">
        <v>370</v>
      </c>
      <c r="AT37" t="s">
        <v>172</v>
      </c>
      <c r="AU37" t="s">
        <v>173</v>
      </c>
      <c r="AV37" t="s">
        <v>342</v>
      </c>
      <c r="AW37" t="s">
        <v>371</v>
      </c>
      <c r="AX37" t="s">
        <v>176</v>
      </c>
      <c r="AY37" t="s">
        <v>177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-1</v>
      </c>
      <c r="BW37" t="s">
        <v>159</v>
      </c>
      <c r="BX37">
        <v>0</v>
      </c>
      <c r="BY37">
        <v>2024</v>
      </c>
      <c r="BZ37">
        <v>6</v>
      </c>
      <c r="CA37" t="s">
        <v>355</v>
      </c>
      <c r="CB37" t="s">
        <v>179</v>
      </c>
      <c r="CC37" t="s">
        <v>179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55146-F1BC-45C8-93E5-A73B6B9AD506}">
  <dimension ref="A7:J41"/>
  <sheetViews>
    <sheetView topLeftCell="A4" zoomScale="130" zoomScaleNormal="130" workbookViewId="0">
      <selection activeCell="H37" sqref="H37"/>
    </sheetView>
  </sheetViews>
  <sheetFormatPr defaultRowHeight="14.5" outlineLevelRow="1" x14ac:dyDescent="0.35"/>
  <cols>
    <col min="1" max="1" width="26.26953125" bestFit="1" customWidth="1"/>
    <col min="2" max="2" width="16.81640625" bestFit="1" customWidth="1"/>
    <col min="3" max="6" width="9.81640625" bestFit="1" customWidth="1"/>
    <col min="7" max="7" width="8.81640625" bestFit="1" customWidth="1"/>
    <col min="8" max="8" width="11.54296875" bestFit="1" customWidth="1"/>
  </cols>
  <sheetData>
    <row r="7" spans="1:10" x14ac:dyDescent="0.35">
      <c r="A7" s="6" t="s">
        <v>5</v>
      </c>
      <c r="B7" t="s">
        <v>71</v>
      </c>
    </row>
    <row r="8" spans="1:10" x14ac:dyDescent="0.35">
      <c r="A8" s="6" t="s">
        <v>6</v>
      </c>
      <c r="B8" t="s">
        <v>71</v>
      </c>
    </row>
    <row r="10" spans="1:10" x14ac:dyDescent="0.35">
      <c r="B10" s="6" t="s">
        <v>69</v>
      </c>
    </row>
    <row r="11" spans="1:10" x14ac:dyDescent="0.35">
      <c r="A11" s="6" t="s">
        <v>57</v>
      </c>
      <c r="B11">
        <v>22</v>
      </c>
      <c r="C11">
        <v>23</v>
      </c>
      <c r="D11">
        <v>24</v>
      </c>
      <c r="E11">
        <v>25</v>
      </c>
      <c r="F11">
        <v>26</v>
      </c>
      <c r="G11">
        <v>27</v>
      </c>
      <c r="H11" t="s">
        <v>70</v>
      </c>
    </row>
    <row r="12" spans="1:10" x14ac:dyDescent="0.35">
      <c r="A12" s="7" t="s">
        <v>56</v>
      </c>
      <c r="B12" s="4">
        <v>3087.76</v>
      </c>
      <c r="C12" s="4">
        <v>27378.940000000002</v>
      </c>
      <c r="D12" s="4">
        <v>27817.049999999996</v>
      </c>
      <c r="E12" s="4">
        <v>26674.179999999997</v>
      </c>
      <c r="F12" s="4">
        <v>25923.040000000001</v>
      </c>
      <c r="G12" s="4">
        <v>2161.8000000000002</v>
      </c>
      <c r="H12" s="4">
        <v>113042.77</v>
      </c>
    </row>
    <row r="13" spans="1:10" x14ac:dyDescent="0.35">
      <c r="A13" s="7" t="s">
        <v>54</v>
      </c>
      <c r="B13" s="4">
        <v>57026.049999999741</v>
      </c>
      <c r="C13" s="4">
        <v>464980.94999999815</v>
      </c>
      <c r="D13" s="4">
        <v>495965.04999999818</v>
      </c>
      <c r="E13" s="4">
        <v>487997.55999999767</v>
      </c>
      <c r="F13" s="4">
        <v>473619.21999999805</v>
      </c>
      <c r="G13" s="4">
        <v>68778.259999999704</v>
      </c>
      <c r="H13" s="4">
        <v>2048367.0899999917</v>
      </c>
    </row>
    <row r="14" spans="1:10" x14ac:dyDescent="0.35">
      <c r="A14" s="8" t="s">
        <v>55</v>
      </c>
      <c r="B14" s="9">
        <v>-53938.289999999768</v>
      </c>
      <c r="C14" s="9">
        <v>-437601.99999999814</v>
      </c>
      <c r="D14" s="9">
        <v>-468147.9999999982</v>
      </c>
      <c r="E14" s="9">
        <v>-461304.62999999768</v>
      </c>
      <c r="F14" s="9">
        <v>-447696.17999999796</v>
      </c>
      <c r="G14" s="9">
        <v>-66616.459999999701</v>
      </c>
      <c r="H14" s="9">
        <v>-1935305.5599999914</v>
      </c>
      <c r="I14">
        <v>85000</v>
      </c>
      <c r="J14" s="5">
        <f>I14/I16</f>
        <v>0.9486607142857143</v>
      </c>
    </row>
    <row r="15" spans="1:10" x14ac:dyDescent="0.35">
      <c r="A15" s="7" t="s">
        <v>53</v>
      </c>
      <c r="B15" s="4">
        <v>18923.649999999987</v>
      </c>
      <c r="C15" s="4">
        <v>177806.99000000014</v>
      </c>
      <c r="D15" s="4">
        <v>196508.36000000034</v>
      </c>
      <c r="E15" s="4">
        <v>182652.3900000001</v>
      </c>
      <c r="F15" s="4">
        <v>173271.67</v>
      </c>
      <c r="G15" s="4">
        <v>6128.1900000000032</v>
      </c>
      <c r="H15" s="4">
        <v>755291.2500000007</v>
      </c>
      <c r="I15">
        <v>4600</v>
      </c>
    </row>
    <row r="16" spans="1:10" x14ac:dyDescent="0.35">
      <c r="A16" s="7" t="s">
        <v>52</v>
      </c>
      <c r="B16" s="4">
        <v>38102.400000000016</v>
      </c>
      <c r="C16" s="4">
        <v>287173.95999999932</v>
      </c>
      <c r="D16" s="4">
        <v>299456.68999999913</v>
      </c>
      <c r="E16" s="4">
        <v>305345.16999999923</v>
      </c>
      <c r="F16" s="4">
        <v>300347.54999999941</v>
      </c>
      <c r="G16" s="4">
        <v>62650.06999999976</v>
      </c>
      <c r="H16" s="4">
        <v>1293075.8399999968</v>
      </c>
      <c r="I16">
        <f>I14+I15</f>
        <v>89600</v>
      </c>
    </row>
    <row r="17" spans="1:9" x14ac:dyDescent="0.35">
      <c r="A17" s="7" t="s">
        <v>66</v>
      </c>
      <c r="B17" s="4">
        <v>3074.25</v>
      </c>
      <c r="C17" s="4">
        <v>26989.82</v>
      </c>
      <c r="D17" s="4">
        <v>28149.3</v>
      </c>
      <c r="E17" s="4">
        <v>27047.460000000003</v>
      </c>
      <c r="F17" s="4">
        <v>26086.34</v>
      </c>
      <c r="G17" s="4">
        <v>2178.25</v>
      </c>
      <c r="H17" s="4">
        <v>113525.42</v>
      </c>
    </row>
    <row r="18" spans="1:9" x14ac:dyDescent="0.35">
      <c r="A18" s="7" t="s">
        <v>67</v>
      </c>
      <c r="B18" s="4">
        <v>0</v>
      </c>
      <c r="C18" s="4">
        <v>2.3400000000000003</v>
      </c>
      <c r="D18" s="4">
        <v>0.55000000000000004</v>
      </c>
      <c r="E18" s="4">
        <v>-0.46</v>
      </c>
      <c r="F18" s="4">
        <v>-0.92</v>
      </c>
      <c r="G18" s="4">
        <v>-0.46</v>
      </c>
      <c r="H18" s="4">
        <v>1.0500000000000007</v>
      </c>
    </row>
    <row r="19" spans="1:9" x14ac:dyDescent="0.35">
      <c r="A19" s="7" t="s">
        <v>68</v>
      </c>
      <c r="B19" s="4">
        <v>-8</v>
      </c>
      <c r="C19" s="4">
        <v>5.7</v>
      </c>
      <c r="D19" s="4">
        <v>15.99</v>
      </c>
      <c r="E19" s="4">
        <v>0</v>
      </c>
      <c r="F19" s="4">
        <v>0</v>
      </c>
      <c r="G19" s="4">
        <v>0</v>
      </c>
      <c r="H19" s="4">
        <v>13.690000000000001</v>
      </c>
    </row>
    <row r="22" spans="1:9" hidden="1" outlineLevel="1" x14ac:dyDescent="0.35"/>
    <row r="23" spans="1:9" hidden="1" outlineLevel="1" x14ac:dyDescent="0.35"/>
    <row r="24" spans="1:9" hidden="1" outlineLevel="1" x14ac:dyDescent="0.35"/>
    <row r="25" spans="1:9" hidden="1" outlineLevel="1" x14ac:dyDescent="0.35"/>
    <row r="26" spans="1:9" hidden="1" outlineLevel="1" x14ac:dyDescent="0.35"/>
    <row r="27" spans="1:9" hidden="1" outlineLevel="1" x14ac:dyDescent="0.35"/>
    <row r="28" spans="1:9" hidden="1" outlineLevel="1" x14ac:dyDescent="0.35"/>
    <row r="29" spans="1:9" collapsed="1" x14ac:dyDescent="0.35"/>
    <row r="31" spans="1:9" x14ac:dyDescent="0.35">
      <c r="A31" t="s">
        <v>58</v>
      </c>
    </row>
    <row r="32" spans="1:9" x14ac:dyDescent="0.35">
      <c r="A32" s="10" t="s">
        <v>59</v>
      </c>
      <c r="B32" s="11">
        <f>B16</f>
        <v>38102.400000000016</v>
      </c>
      <c r="C32" s="11">
        <f t="shared" ref="C32:F32" si="0">C16</f>
        <v>287173.95999999932</v>
      </c>
      <c r="D32" s="11">
        <f t="shared" si="0"/>
        <v>299456.68999999913</v>
      </c>
      <c r="E32" s="11">
        <f t="shared" si="0"/>
        <v>305345.16999999923</v>
      </c>
      <c r="F32" s="11">
        <f t="shared" si="0"/>
        <v>300347.54999999941</v>
      </c>
      <c r="G32" s="11">
        <f t="shared" ref="G32:H32" si="1">G16</f>
        <v>62650.06999999976</v>
      </c>
      <c r="H32" s="11">
        <f t="shared" si="1"/>
        <v>1293075.8399999968</v>
      </c>
      <c r="I32" s="11"/>
    </row>
    <row r="33" spans="1:9" x14ac:dyDescent="0.35">
      <c r="A33" s="12" t="s">
        <v>60</v>
      </c>
      <c r="B33" s="4">
        <f>B12</f>
        <v>3087.76</v>
      </c>
      <c r="C33" s="4">
        <f t="shared" ref="C33:F33" si="2">C12</f>
        <v>27378.940000000002</v>
      </c>
      <c r="D33" s="4">
        <f t="shared" si="2"/>
        <v>27817.049999999996</v>
      </c>
      <c r="E33" s="4">
        <f t="shared" si="2"/>
        <v>26674.179999999997</v>
      </c>
      <c r="F33" s="4">
        <f t="shared" si="2"/>
        <v>25923.040000000001</v>
      </c>
      <c r="G33" s="4">
        <f t="shared" ref="G33:H33" si="3">G12</f>
        <v>2161.8000000000002</v>
      </c>
      <c r="H33" s="4">
        <f t="shared" si="3"/>
        <v>113042.77</v>
      </c>
      <c r="I33" s="4"/>
    </row>
    <row r="34" spans="1:9" x14ac:dyDescent="0.35">
      <c r="A34" s="13" t="s">
        <v>62</v>
      </c>
      <c r="B34" s="4">
        <f>B33-B35</f>
        <v>21.510000000000218</v>
      </c>
      <c r="C34" s="4">
        <f t="shared" ref="C34:F34" si="4">C33-C35</f>
        <v>381.08000000000175</v>
      </c>
      <c r="D34" s="4">
        <f t="shared" si="4"/>
        <v>-348.79000000000451</v>
      </c>
      <c r="E34" s="4">
        <f t="shared" si="4"/>
        <v>-372.82000000000698</v>
      </c>
      <c r="F34" s="4">
        <f t="shared" si="4"/>
        <v>-162.38000000000102</v>
      </c>
      <c r="G34" s="4">
        <f t="shared" ref="G34:H34" si="5">G33-G35</f>
        <v>-15.989999999999782</v>
      </c>
      <c r="H34" s="4">
        <f t="shared" si="5"/>
        <v>-497.38999999999942</v>
      </c>
      <c r="I34" s="4"/>
    </row>
    <row r="35" spans="1:9" x14ac:dyDescent="0.35">
      <c r="A35" s="13" t="s">
        <v>63</v>
      </c>
      <c r="B35" s="4">
        <f>B19+B17+B18</f>
        <v>3066.25</v>
      </c>
      <c r="C35" s="4">
        <f t="shared" ref="C35:F35" si="6">C19+C17+C18</f>
        <v>26997.86</v>
      </c>
      <c r="D35" s="4">
        <f t="shared" si="6"/>
        <v>28165.84</v>
      </c>
      <c r="E35" s="4">
        <f t="shared" si="6"/>
        <v>27047.000000000004</v>
      </c>
      <c r="F35" s="4">
        <f t="shared" si="6"/>
        <v>26085.420000000002</v>
      </c>
      <c r="G35" s="4">
        <f t="shared" ref="G35:H35" si="7">G19+G17+G18</f>
        <v>2177.79</v>
      </c>
      <c r="H35" s="4">
        <f t="shared" si="7"/>
        <v>113540.16</v>
      </c>
      <c r="I35" s="4"/>
    </row>
    <row r="36" spans="1:9" x14ac:dyDescent="0.35">
      <c r="A36" s="12"/>
    </row>
    <row r="37" spans="1:9" x14ac:dyDescent="0.35">
      <c r="A37" s="12" t="s">
        <v>61</v>
      </c>
      <c r="B37" s="4">
        <f>B38+B39</f>
        <v>35014.639999999752</v>
      </c>
      <c r="C37" s="4">
        <f t="shared" ref="C37:F37" si="8">C38+C39</f>
        <v>259795.01999999801</v>
      </c>
      <c r="D37" s="4">
        <f t="shared" si="8"/>
        <v>271639.63999999786</v>
      </c>
      <c r="E37" s="4">
        <f t="shared" si="8"/>
        <v>278670.98999999755</v>
      </c>
      <c r="F37" s="4">
        <f t="shared" si="8"/>
        <v>274424.50999999803</v>
      </c>
      <c r="G37" s="4">
        <f t="shared" ref="G37:H37" si="9">G38+G39</f>
        <v>60488.269999999698</v>
      </c>
      <c r="H37" s="4">
        <f t="shared" si="9"/>
        <v>1180033.069999991</v>
      </c>
      <c r="I37" s="4"/>
    </row>
    <row r="38" spans="1:9" x14ac:dyDescent="0.35">
      <c r="A38" s="13" t="s">
        <v>64</v>
      </c>
      <c r="B38" s="4">
        <f>B13-B12</f>
        <v>53938.289999999739</v>
      </c>
      <c r="C38" s="4">
        <f t="shared" ref="C38:F38" si="10">C13-C12</f>
        <v>437602.00999999815</v>
      </c>
      <c r="D38" s="4">
        <f t="shared" si="10"/>
        <v>468147.9999999982</v>
      </c>
      <c r="E38" s="4">
        <f t="shared" si="10"/>
        <v>461323.37999999768</v>
      </c>
      <c r="F38" s="4">
        <f t="shared" si="10"/>
        <v>447696.17999999807</v>
      </c>
      <c r="G38" s="4">
        <f t="shared" ref="G38:H38" si="11">G13-G12</f>
        <v>66616.459999999701</v>
      </c>
      <c r="H38" s="4">
        <f t="shared" si="11"/>
        <v>1935324.3199999917</v>
      </c>
      <c r="I38" s="4"/>
    </row>
    <row r="39" spans="1:9" x14ac:dyDescent="0.35">
      <c r="A39" s="13" t="s">
        <v>65</v>
      </c>
      <c r="B39" s="4">
        <f>-B15</f>
        <v>-18923.649999999987</v>
      </c>
      <c r="C39" s="4">
        <f t="shared" ref="C39:F39" si="12">-C15</f>
        <v>-177806.99000000014</v>
      </c>
      <c r="D39" s="4">
        <f t="shared" si="12"/>
        <v>-196508.36000000034</v>
      </c>
      <c r="E39" s="4">
        <f t="shared" si="12"/>
        <v>-182652.3900000001</v>
      </c>
      <c r="F39" s="4">
        <f t="shared" si="12"/>
        <v>-173271.67</v>
      </c>
      <c r="G39" s="4">
        <f t="shared" ref="G39:H39" si="13">-G15</f>
        <v>-6128.1900000000032</v>
      </c>
      <c r="H39" s="4">
        <f t="shared" si="13"/>
        <v>-755291.2500000007</v>
      </c>
      <c r="I39" s="4"/>
    </row>
    <row r="41" spans="1:9" x14ac:dyDescent="0.35">
      <c r="B41" s="5">
        <f>B35/B32</f>
        <v>8.047393340052067E-2</v>
      </c>
      <c r="C41" s="5">
        <f t="shared" ref="C41:F41" si="14">C35/C32</f>
        <v>9.4012214756519233E-2</v>
      </c>
      <c r="D41" s="5">
        <f t="shared" si="14"/>
        <v>9.4056472740682739E-2</v>
      </c>
      <c r="E41" s="5">
        <f t="shared" si="14"/>
        <v>8.8578443864037779E-2</v>
      </c>
      <c r="F41" s="5">
        <f t="shared" si="14"/>
        <v>8.6850783367468959E-2</v>
      </c>
      <c r="G41" s="5">
        <f t="shared" ref="G41:H41" si="15">G35/G32</f>
        <v>3.4761174249286687E-2</v>
      </c>
      <c r="H41" s="5">
        <f t="shared" si="15"/>
        <v>8.7806265098882591E-2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4D49-5186-44A5-853B-CAE43144A8D7}">
  <dimension ref="A7:J41"/>
  <sheetViews>
    <sheetView tabSelected="1" topLeftCell="A4" zoomScale="75" zoomScaleNormal="75" workbookViewId="0">
      <selection activeCell="I36" sqref="I36"/>
    </sheetView>
  </sheetViews>
  <sheetFormatPr defaultRowHeight="14.5" outlineLevelRow="1" x14ac:dyDescent="0.35"/>
  <cols>
    <col min="1" max="1" width="25.26953125" bestFit="1" customWidth="1"/>
    <col min="2" max="2" width="17.08984375" bestFit="1" customWidth="1"/>
    <col min="3" max="5" width="9.81640625" bestFit="1" customWidth="1"/>
    <col min="6" max="7" width="11.36328125" bestFit="1" customWidth="1"/>
    <col min="8" max="8" width="11.54296875" bestFit="1" customWidth="1"/>
  </cols>
  <sheetData>
    <row r="7" spans="1:10" x14ac:dyDescent="0.35">
      <c r="A7" s="6" t="s">
        <v>5</v>
      </c>
      <c r="B7" t="s">
        <v>71</v>
      </c>
    </row>
    <row r="8" spans="1:10" x14ac:dyDescent="0.35">
      <c r="A8" s="6" t="s">
        <v>6</v>
      </c>
      <c r="B8" t="s">
        <v>71</v>
      </c>
    </row>
    <row r="10" spans="1:10" x14ac:dyDescent="0.35">
      <c r="B10" s="6" t="s">
        <v>69</v>
      </c>
    </row>
    <row r="11" spans="1:10" x14ac:dyDescent="0.35">
      <c r="A11" s="6" t="s">
        <v>57</v>
      </c>
      <c r="B11">
        <v>27</v>
      </c>
      <c r="C11">
        <v>28</v>
      </c>
      <c r="D11">
        <v>29</v>
      </c>
      <c r="E11">
        <v>30</v>
      </c>
      <c r="F11" t="s">
        <v>70</v>
      </c>
    </row>
    <row r="12" spans="1:10" x14ac:dyDescent="0.35">
      <c r="A12" s="7" t="s">
        <v>56</v>
      </c>
      <c r="B12" s="4">
        <v>19651.119999999995</v>
      </c>
      <c r="C12" s="4">
        <v>11270.74</v>
      </c>
      <c r="D12" s="4">
        <v>13232.440000000002</v>
      </c>
      <c r="E12" s="4">
        <v>18459.95</v>
      </c>
      <c r="F12" s="4">
        <v>62614.25</v>
      </c>
    </row>
    <row r="13" spans="1:10" x14ac:dyDescent="0.35">
      <c r="A13" s="7" t="s">
        <v>54</v>
      </c>
      <c r="B13" s="4">
        <v>320695.76999999862</v>
      </c>
      <c r="C13" s="4">
        <v>250844.58999999921</v>
      </c>
      <c r="D13" s="4">
        <v>261845.76999999923</v>
      </c>
      <c r="E13" s="4">
        <v>379510.59999999707</v>
      </c>
      <c r="F13" s="4">
        <v>1212896.7299999939</v>
      </c>
    </row>
    <row r="14" spans="1:10" x14ac:dyDescent="0.35">
      <c r="A14" s="18" t="s">
        <v>55</v>
      </c>
      <c r="B14" s="19">
        <v>-301044.63999999862</v>
      </c>
      <c r="C14" s="19">
        <v>-239573.85999999935</v>
      </c>
      <c r="D14" s="19">
        <v>-248613.32999999929</v>
      </c>
      <c r="E14" s="19">
        <v>-361050.64999999746</v>
      </c>
      <c r="F14" s="19">
        <v>-1150282.4799999946</v>
      </c>
      <c r="J14" s="5"/>
    </row>
    <row r="15" spans="1:10" x14ac:dyDescent="0.35">
      <c r="A15" s="7" t="s">
        <v>53</v>
      </c>
      <c r="B15" s="4">
        <v>133692.18000000014</v>
      </c>
      <c r="C15" s="4">
        <v>92099.000000000044</v>
      </c>
      <c r="D15" s="4">
        <v>83269.799999999945</v>
      </c>
      <c r="E15" s="4">
        <v>163144.09000000003</v>
      </c>
      <c r="F15" s="4">
        <v>472205.07000000012</v>
      </c>
    </row>
    <row r="16" spans="1:10" x14ac:dyDescent="0.35">
      <c r="A16" s="7" t="s">
        <v>52</v>
      </c>
      <c r="B16" s="4">
        <v>187003.58999999924</v>
      </c>
      <c r="C16" s="4">
        <v>158745.58999999962</v>
      </c>
      <c r="D16" s="4">
        <v>178575.97</v>
      </c>
      <c r="E16" s="4">
        <v>216366.51000000007</v>
      </c>
      <c r="F16" s="4">
        <v>740691.65999999898</v>
      </c>
    </row>
    <row r="17" spans="1:9" x14ac:dyDescent="0.35">
      <c r="A17" s="7" t="s">
        <v>66</v>
      </c>
      <c r="B17" s="4">
        <v>20139.3</v>
      </c>
      <c r="C17" s="4">
        <v>11446.359999999999</v>
      </c>
      <c r="D17" s="4">
        <v>13615.96</v>
      </c>
      <c r="E17" s="4">
        <v>18854.7</v>
      </c>
      <c r="F17" s="4">
        <v>64056.319999999992</v>
      </c>
    </row>
    <row r="18" spans="1:9" x14ac:dyDescent="0.35">
      <c r="A18" s="7" t="s">
        <v>67</v>
      </c>
      <c r="B18" s="4">
        <v>7</v>
      </c>
      <c r="C18" s="4">
        <v>0</v>
      </c>
      <c r="D18" s="4">
        <v>0.46</v>
      </c>
      <c r="E18" s="4">
        <v>-0.95000000000000007</v>
      </c>
      <c r="F18" s="4">
        <v>6.51</v>
      </c>
    </row>
    <row r="19" spans="1:9" x14ac:dyDescent="0.35">
      <c r="A19" s="7" t="s">
        <v>68</v>
      </c>
      <c r="B19" s="4">
        <v>12.98</v>
      </c>
      <c r="C19" s="4">
        <v>9.9999999999997868E-3</v>
      </c>
      <c r="D19" s="4">
        <v>0</v>
      </c>
      <c r="E19" s="4">
        <v>14.5</v>
      </c>
      <c r="F19" s="4">
        <v>27.490000000000002</v>
      </c>
    </row>
    <row r="22" spans="1:9" hidden="1" outlineLevel="1" x14ac:dyDescent="0.35"/>
    <row r="23" spans="1:9" hidden="1" outlineLevel="1" x14ac:dyDescent="0.35"/>
    <row r="24" spans="1:9" hidden="1" outlineLevel="1" x14ac:dyDescent="0.35"/>
    <row r="25" spans="1:9" hidden="1" outlineLevel="1" x14ac:dyDescent="0.35"/>
    <row r="26" spans="1:9" hidden="1" outlineLevel="1" x14ac:dyDescent="0.35"/>
    <row r="27" spans="1:9" hidden="1" outlineLevel="1" x14ac:dyDescent="0.35"/>
    <row r="28" spans="1:9" hidden="1" outlineLevel="1" x14ac:dyDescent="0.35"/>
    <row r="29" spans="1:9" collapsed="1" x14ac:dyDescent="0.35"/>
    <row r="31" spans="1:9" x14ac:dyDescent="0.35">
      <c r="A31" t="s">
        <v>58</v>
      </c>
    </row>
    <row r="32" spans="1:9" x14ac:dyDescent="0.35">
      <c r="A32" s="10" t="s">
        <v>59</v>
      </c>
      <c r="B32" s="11">
        <f>B16</f>
        <v>187003.58999999924</v>
      </c>
      <c r="C32" s="11">
        <f t="shared" ref="C32:H32" si="0">C16</f>
        <v>158745.58999999962</v>
      </c>
      <c r="D32" s="11">
        <f t="shared" si="0"/>
        <v>178575.97</v>
      </c>
      <c r="E32" s="11">
        <f t="shared" si="0"/>
        <v>216366.51000000007</v>
      </c>
      <c r="F32" s="11">
        <f t="shared" si="0"/>
        <v>740691.65999999898</v>
      </c>
      <c r="G32" s="11"/>
      <c r="H32" s="11"/>
      <c r="I32" s="11"/>
    </row>
    <row r="33" spans="1:9" x14ac:dyDescent="0.35">
      <c r="A33" s="12" t="s">
        <v>60</v>
      </c>
      <c r="B33" s="4">
        <f>B12</f>
        <v>19651.119999999995</v>
      </c>
      <c r="C33" s="4">
        <f t="shared" ref="C33:H33" si="1">C12</f>
        <v>11270.74</v>
      </c>
      <c r="D33" s="4">
        <f t="shared" si="1"/>
        <v>13232.440000000002</v>
      </c>
      <c r="E33" s="4">
        <f t="shared" si="1"/>
        <v>18459.95</v>
      </c>
      <c r="F33" s="4">
        <f t="shared" si="1"/>
        <v>62614.25</v>
      </c>
      <c r="G33" s="4"/>
      <c r="H33" s="4"/>
      <c r="I33" s="4"/>
    </row>
    <row r="34" spans="1:9" x14ac:dyDescent="0.35">
      <c r="A34" s="13" t="s">
        <v>62</v>
      </c>
      <c r="B34" s="4">
        <f>B33-B35</f>
        <v>-508.16000000000349</v>
      </c>
      <c r="C34" s="4">
        <f t="shared" ref="C34:H34" si="2">C33-C35</f>
        <v>-175.6299999999992</v>
      </c>
      <c r="D34" s="4">
        <f t="shared" si="2"/>
        <v>-383.97999999999593</v>
      </c>
      <c r="E34" s="4">
        <f t="shared" si="2"/>
        <v>-408.29999999999927</v>
      </c>
      <c r="F34" s="4">
        <f t="shared" si="2"/>
        <v>-1476.0699999999924</v>
      </c>
      <c r="G34" s="4"/>
      <c r="H34" s="4"/>
      <c r="I34" s="4"/>
    </row>
    <row r="35" spans="1:9" x14ac:dyDescent="0.35">
      <c r="A35" s="13" t="s">
        <v>63</v>
      </c>
      <c r="B35" s="4">
        <f>B19+B17+B18</f>
        <v>20159.28</v>
      </c>
      <c r="C35" s="4">
        <f t="shared" ref="C35:H35" si="3">C19+C17+C18</f>
        <v>11446.369999999999</v>
      </c>
      <c r="D35" s="4">
        <f t="shared" si="3"/>
        <v>13616.419999999998</v>
      </c>
      <c r="E35" s="4">
        <f t="shared" si="3"/>
        <v>18868.25</v>
      </c>
      <c r="F35" s="4">
        <f t="shared" si="3"/>
        <v>64090.319999999992</v>
      </c>
      <c r="G35" s="4"/>
      <c r="H35" s="4"/>
      <c r="I35" s="4"/>
    </row>
    <row r="36" spans="1:9" x14ac:dyDescent="0.35">
      <c r="A36" s="12"/>
    </row>
    <row r="37" spans="1:9" x14ac:dyDescent="0.35">
      <c r="A37" s="12" t="s">
        <v>61</v>
      </c>
      <c r="B37" s="4">
        <f>B38+B39</f>
        <v>167352.46999999849</v>
      </c>
      <c r="C37" s="4">
        <f t="shared" ref="C37:H37" si="4">C38+C39</f>
        <v>147474.84999999916</v>
      </c>
      <c r="D37" s="4">
        <f t="shared" si="4"/>
        <v>165343.52999999927</v>
      </c>
      <c r="E37" s="4">
        <f t="shared" si="4"/>
        <v>197906.55999999703</v>
      </c>
      <c r="F37" s="4">
        <f t="shared" si="4"/>
        <v>678077.40999999386</v>
      </c>
      <c r="G37" s="4"/>
      <c r="H37" s="4"/>
      <c r="I37" s="4"/>
    </row>
    <row r="38" spans="1:9" x14ac:dyDescent="0.35">
      <c r="A38" s="13" t="s">
        <v>64</v>
      </c>
      <c r="B38" s="4">
        <f>B13-B12</f>
        <v>301044.64999999863</v>
      </c>
      <c r="C38" s="4">
        <f t="shared" ref="C38:H38" si="5">C13-C12</f>
        <v>239573.84999999922</v>
      </c>
      <c r="D38" s="4">
        <f t="shared" si="5"/>
        <v>248613.32999999923</v>
      </c>
      <c r="E38" s="4">
        <f t="shared" si="5"/>
        <v>361050.64999999705</v>
      </c>
      <c r="F38" s="4">
        <f t="shared" si="5"/>
        <v>1150282.4799999939</v>
      </c>
      <c r="G38" s="4"/>
      <c r="H38" s="4"/>
      <c r="I38" s="4"/>
    </row>
    <row r="39" spans="1:9" x14ac:dyDescent="0.35">
      <c r="A39" s="13" t="s">
        <v>65</v>
      </c>
      <c r="B39" s="4">
        <f>-B15</f>
        <v>-133692.18000000014</v>
      </c>
      <c r="C39" s="4">
        <f t="shared" ref="C39:H39" si="6">-C15</f>
        <v>-92099.000000000044</v>
      </c>
      <c r="D39" s="19">
        <f t="shared" si="6"/>
        <v>-83269.799999999945</v>
      </c>
      <c r="E39" s="9">
        <f t="shared" si="6"/>
        <v>-163144.09000000003</v>
      </c>
      <c r="F39" s="4">
        <f t="shared" si="6"/>
        <v>-472205.07000000012</v>
      </c>
      <c r="G39" s="4"/>
      <c r="H39" s="4"/>
      <c r="I39" s="4"/>
    </row>
    <row r="41" spans="1:9" x14ac:dyDescent="0.35">
      <c r="B41" s="5">
        <f>B35/B32</f>
        <v>0.10780156680414574</v>
      </c>
      <c r="C41" s="5">
        <f t="shared" ref="C41:H41" si="7">C35/C32</f>
        <v>7.2105121156436705E-2</v>
      </c>
      <c r="D41" s="5">
        <f t="shared" si="7"/>
        <v>7.6250012809674209E-2</v>
      </c>
      <c r="E41" s="5">
        <f t="shared" si="7"/>
        <v>8.7205039264163356E-2</v>
      </c>
      <c r="F41" s="5">
        <f t="shared" si="7"/>
        <v>8.6527665236571016E-2</v>
      </c>
      <c r="G41" s="5"/>
      <c r="H4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C71E-581B-4727-9E37-B10FBD00D95B}">
  <dimension ref="A1:AO211"/>
  <sheetViews>
    <sheetView workbookViewId="0">
      <selection activeCell="B212" sqref="B212"/>
    </sheetView>
  </sheetViews>
  <sheetFormatPr defaultRowHeight="14.5" x14ac:dyDescent="0.35"/>
  <cols>
    <col min="1" max="1" width="5" bestFit="1" customWidth="1"/>
    <col min="2" max="2" width="7.1796875" bestFit="1" customWidth="1"/>
    <col min="3" max="3" width="5.453125" bestFit="1" customWidth="1"/>
    <col min="4" max="4" width="12.453125" bestFit="1" customWidth="1"/>
    <col min="5" max="5" width="13.1796875" bestFit="1" customWidth="1"/>
    <col min="7" max="7" width="13" bestFit="1" customWidth="1"/>
    <col min="8" max="9" width="9.453125" bestFit="1" customWidth="1"/>
    <col min="10" max="10" width="8.26953125" bestFit="1" customWidth="1"/>
    <col min="11" max="11" width="13.1796875" bestFit="1" customWidth="1"/>
    <col min="12" max="12" width="14.26953125" bestFit="1" customWidth="1"/>
    <col min="13" max="13" width="13.1796875" bestFit="1" customWidth="1"/>
    <col min="14" max="14" width="7.453125" bestFit="1" customWidth="1"/>
    <col min="15" max="15" width="8.453125" bestFit="1" customWidth="1"/>
    <col min="16" max="16" width="7.1796875" bestFit="1" customWidth="1"/>
    <col min="17" max="17" width="11.81640625" bestFit="1" customWidth="1"/>
    <col min="18" max="18" width="13.1796875" bestFit="1" customWidth="1"/>
    <col min="19" max="19" width="11.81640625" bestFit="1" customWidth="1"/>
    <col min="20" max="20" width="16.54296875" bestFit="1" customWidth="1"/>
    <col min="21" max="21" width="17.81640625" bestFit="1" customWidth="1"/>
    <col min="22" max="22" width="16.54296875" bestFit="1" customWidth="1"/>
    <col min="23" max="23" width="12" bestFit="1" customWidth="1"/>
    <col min="24" max="24" width="13.26953125" bestFit="1" customWidth="1"/>
    <col min="25" max="25" width="12" bestFit="1" customWidth="1"/>
    <col min="26" max="26" width="9.453125" bestFit="1" customWidth="1"/>
    <col min="27" max="27" width="9.81640625" bestFit="1" customWidth="1"/>
    <col min="28" max="28" width="8.54296875" bestFit="1" customWidth="1"/>
    <col min="29" max="29" width="18.453125" bestFit="1" customWidth="1"/>
    <col min="30" max="30" width="19.54296875" bestFit="1" customWidth="1"/>
    <col min="31" max="31" width="18.453125" bestFit="1" customWidth="1"/>
    <col min="32" max="33" width="9.453125" bestFit="1" customWidth="1"/>
    <col min="34" max="34" width="8.453125" bestFit="1" customWidth="1"/>
    <col min="35" max="35" width="9.453125" bestFit="1" customWidth="1"/>
    <col min="36" max="36" width="8.54296875" bestFit="1" customWidth="1"/>
    <col min="37" max="37" width="8.81640625" bestFit="1" customWidth="1"/>
    <col min="38" max="39" width="9.81640625" bestFit="1" customWidth="1"/>
    <col min="40" max="40" width="8.81640625" bestFit="1" customWidth="1"/>
    <col min="41" max="41" width="7.81640625" bestFit="1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2024</v>
      </c>
      <c r="B2">
        <v>6</v>
      </c>
      <c r="C2">
        <v>22</v>
      </c>
      <c r="D2" s="1">
        <v>45444</v>
      </c>
      <c r="E2" s="2" t="s">
        <v>41</v>
      </c>
      <c r="F2" s="2" t="s">
        <v>42</v>
      </c>
      <c r="G2" s="2" t="s">
        <v>43</v>
      </c>
      <c r="H2" s="3">
        <v>129787</v>
      </c>
      <c r="I2" s="3">
        <v>129787</v>
      </c>
      <c r="J2" s="3">
        <v>0</v>
      </c>
      <c r="K2" s="3">
        <v>1636.5400000000263</v>
      </c>
      <c r="L2" s="3">
        <v>1636.5400000000263</v>
      </c>
      <c r="M2" s="3">
        <v>0</v>
      </c>
      <c r="N2" s="3">
        <v>2704.0699999999906</v>
      </c>
      <c r="O2" s="3">
        <v>2704.0699999999906</v>
      </c>
      <c r="P2" s="3">
        <v>0</v>
      </c>
      <c r="Q2" s="3">
        <v>-12961.58</v>
      </c>
      <c r="R2" s="3">
        <v>-11597.58</v>
      </c>
      <c r="S2" s="3">
        <v>1364</v>
      </c>
      <c r="T2" s="3">
        <v>-15.290000000000006</v>
      </c>
      <c r="U2" s="3">
        <v>-15.290000000000006</v>
      </c>
      <c r="V2" s="3">
        <v>0</v>
      </c>
      <c r="W2" s="3">
        <v>-74.58</v>
      </c>
      <c r="X2" s="3">
        <v>-74.58</v>
      </c>
      <c r="Y2" s="3">
        <v>0</v>
      </c>
      <c r="Z2" s="3">
        <v>121076.16000000168</v>
      </c>
      <c r="AA2" s="3">
        <v>122440.16000000174</v>
      </c>
      <c r="AB2" s="3">
        <v>1364</v>
      </c>
      <c r="AC2" s="3">
        <v>51213.339999999844</v>
      </c>
      <c r="AD2" s="3">
        <v>26025.459999999825</v>
      </c>
      <c r="AE2" s="3">
        <v>-25187.879999999815</v>
      </c>
      <c r="AF2" s="3">
        <v>69862.81999999976</v>
      </c>
      <c r="AG2" s="3">
        <v>96414.70000000055</v>
      </c>
      <c r="AH2" s="3">
        <v>26551.87999999979</v>
      </c>
      <c r="AI2">
        <v>-12617.569999999976</v>
      </c>
      <c r="AJ2">
        <v>0</v>
      </c>
      <c r="AK2">
        <v>12617.569999999976</v>
      </c>
      <c r="AL2">
        <v>82480.390000000218</v>
      </c>
      <c r="AM2">
        <v>96414.70000000055</v>
      </c>
      <c r="AN2">
        <v>13934.310000000029</v>
      </c>
      <c r="AO2">
        <v>2252</v>
      </c>
    </row>
    <row r="3" spans="1:41" x14ac:dyDescent="0.35">
      <c r="A3">
        <v>2024</v>
      </c>
      <c r="B3">
        <v>6</v>
      </c>
      <c r="C3">
        <v>22</v>
      </c>
      <c r="D3" s="1">
        <v>45444</v>
      </c>
      <c r="E3" s="2" t="s">
        <v>44</v>
      </c>
      <c r="F3" s="2" t="s">
        <v>42</v>
      </c>
      <c r="G3" s="2" t="s">
        <v>45</v>
      </c>
      <c r="H3" s="3">
        <v>147259</v>
      </c>
      <c r="I3" s="3">
        <v>147259</v>
      </c>
      <c r="J3" s="3">
        <v>0</v>
      </c>
      <c r="K3" s="3">
        <v>1054.72000000001</v>
      </c>
      <c r="L3" s="3">
        <v>1054.72000000001</v>
      </c>
      <c r="M3" s="3">
        <v>0</v>
      </c>
      <c r="N3" s="3">
        <v>5861.1699999999473</v>
      </c>
      <c r="O3" s="3">
        <v>5861.1699999999473</v>
      </c>
      <c r="P3" s="3">
        <v>0</v>
      </c>
      <c r="Q3" s="3">
        <v>-24416.5</v>
      </c>
      <c r="R3" s="3">
        <v>-23380.25</v>
      </c>
      <c r="S3" s="3">
        <v>1036.25</v>
      </c>
      <c r="T3" s="3">
        <v>-10.210000000000001</v>
      </c>
      <c r="U3" s="3">
        <v>-10.210000000000001</v>
      </c>
      <c r="V3" s="3">
        <v>0</v>
      </c>
      <c r="W3" s="3">
        <v>-88.08</v>
      </c>
      <c r="X3" s="3">
        <v>-96.08</v>
      </c>
      <c r="Y3" s="3">
        <v>-8</v>
      </c>
      <c r="Z3" s="3">
        <v>129660.10000000107</v>
      </c>
      <c r="AA3" s="3">
        <v>130688.35000000107</v>
      </c>
      <c r="AB3" s="3">
        <v>1028.25</v>
      </c>
      <c r="AC3" s="3">
        <v>35317.509999999878</v>
      </c>
      <c r="AD3" s="3">
        <v>18310.909999999931</v>
      </c>
      <c r="AE3" s="3">
        <v>-17006.599999999944</v>
      </c>
      <c r="AF3" s="3">
        <v>94342.590000000288</v>
      </c>
      <c r="AG3" s="3">
        <v>112377.44000000061</v>
      </c>
      <c r="AH3" s="3">
        <v>18034.84999999994</v>
      </c>
      <c r="AI3">
        <v>-8807.4900000000016</v>
      </c>
      <c r="AJ3">
        <v>0</v>
      </c>
      <c r="AK3">
        <v>8807.4900000000016</v>
      </c>
      <c r="AL3">
        <v>103150.0799999999</v>
      </c>
      <c r="AM3">
        <v>112377.44000000061</v>
      </c>
      <c r="AN3">
        <v>9227.3599999999915</v>
      </c>
      <c r="AO3">
        <v>1953</v>
      </c>
    </row>
    <row r="4" spans="1:41" x14ac:dyDescent="0.35">
      <c r="A4">
        <v>2024</v>
      </c>
      <c r="B4">
        <v>6</v>
      </c>
      <c r="C4">
        <v>22</v>
      </c>
      <c r="D4" s="1">
        <v>45444</v>
      </c>
      <c r="E4" s="2" t="s">
        <v>44</v>
      </c>
      <c r="F4" s="2" t="s">
        <v>42</v>
      </c>
      <c r="G4" s="2" t="s">
        <v>46</v>
      </c>
      <c r="H4" s="3">
        <v>52568.630000000005</v>
      </c>
      <c r="I4" s="3">
        <v>52568.630000000005</v>
      </c>
      <c r="J4" s="3">
        <v>0</v>
      </c>
      <c r="K4" s="3">
        <v>386.59999999999923</v>
      </c>
      <c r="L4" s="3">
        <v>411.59999999999872</v>
      </c>
      <c r="M4" s="3">
        <v>25</v>
      </c>
      <c r="N4" s="3">
        <v>1208.2200000000005</v>
      </c>
      <c r="O4" s="3">
        <v>1208.2200000000005</v>
      </c>
      <c r="P4" s="3">
        <v>0</v>
      </c>
      <c r="Q4" s="3">
        <v>-17864.800000000003</v>
      </c>
      <c r="R4" s="3">
        <v>-17526.800000000003</v>
      </c>
      <c r="S4" s="3">
        <v>338</v>
      </c>
      <c r="T4" s="3">
        <v>0</v>
      </c>
      <c r="U4" s="3">
        <v>0</v>
      </c>
      <c r="V4" s="3">
        <v>0</v>
      </c>
      <c r="W4" s="3">
        <v>-5</v>
      </c>
      <c r="X4" s="3">
        <v>-5</v>
      </c>
      <c r="Y4" s="3">
        <v>0</v>
      </c>
      <c r="Z4" s="3">
        <v>36293.64999999998</v>
      </c>
      <c r="AA4" s="3">
        <v>36656.649999999987</v>
      </c>
      <c r="AB4" s="3">
        <v>363</v>
      </c>
      <c r="AC4" s="3">
        <v>12741.989999999974</v>
      </c>
      <c r="AD4" s="3">
        <v>7056.1500000000078</v>
      </c>
      <c r="AE4" s="3">
        <v>-5685.8400000000056</v>
      </c>
      <c r="AF4" s="3">
        <v>23551.660000000007</v>
      </c>
      <c r="AG4" s="3">
        <v>29600.5</v>
      </c>
      <c r="AH4" s="3">
        <v>6048.8400000000056</v>
      </c>
      <c r="AI4">
        <v>-2384.6100000000015</v>
      </c>
      <c r="AJ4">
        <v>0</v>
      </c>
      <c r="AK4">
        <v>2384.6100000000015</v>
      </c>
      <c r="AL4">
        <v>25936.269999999986</v>
      </c>
      <c r="AM4">
        <v>29600.5</v>
      </c>
      <c r="AN4">
        <v>3664.2299999999996</v>
      </c>
      <c r="AO4">
        <v>605</v>
      </c>
    </row>
    <row r="5" spans="1:41" x14ac:dyDescent="0.35">
      <c r="A5">
        <v>2024</v>
      </c>
      <c r="B5">
        <v>6</v>
      </c>
      <c r="C5">
        <v>22</v>
      </c>
      <c r="D5" s="1">
        <v>45444</v>
      </c>
      <c r="E5" s="2" t="s">
        <v>44</v>
      </c>
      <c r="F5" s="2" t="s">
        <v>47</v>
      </c>
      <c r="G5" s="2" t="s">
        <v>48</v>
      </c>
      <c r="H5" s="3">
        <v>15074.249999999918</v>
      </c>
      <c r="I5" s="3">
        <v>15074.249999999918</v>
      </c>
      <c r="J5" s="3">
        <v>0</v>
      </c>
      <c r="K5" s="3">
        <v>1028.8000000000006</v>
      </c>
      <c r="L5" s="3">
        <v>1028.8000000000006</v>
      </c>
      <c r="M5" s="3">
        <v>0</v>
      </c>
      <c r="N5" s="3">
        <v>0</v>
      </c>
      <c r="O5" s="3">
        <v>0</v>
      </c>
      <c r="P5" s="3">
        <v>0</v>
      </c>
      <c r="Q5" s="3">
        <v>-5472.899999999996</v>
      </c>
      <c r="R5" s="3">
        <v>-5472.899999999996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10630.149999999987</v>
      </c>
      <c r="AA5" s="3">
        <v>10630.149999999987</v>
      </c>
      <c r="AB5" s="3">
        <v>0</v>
      </c>
      <c r="AC5" s="3">
        <v>1645.1700000000012</v>
      </c>
      <c r="AD5" s="3"/>
      <c r="AE5" s="3">
        <v>-1645.1700000000012</v>
      </c>
      <c r="AF5" s="3">
        <v>8984.9800000000196</v>
      </c>
      <c r="AG5" s="3">
        <v>10630.149999999987</v>
      </c>
      <c r="AH5" s="3">
        <v>1645.1700000000012</v>
      </c>
      <c r="AI5">
        <v>3467.0199999999923</v>
      </c>
      <c r="AJ5">
        <v>0</v>
      </c>
      <c r="AK5">
        <v>-3467.0199999999923</v>
      </c>
      <c r="AL5">
        <v>5517.9599999999973</v>
      </c>
      <c r="AM5">
        <v>10630.149999999987</v>
      </c>
      <c r="AN5">
        <v>5112.189999999996</v>
      </c>
      <c r="AO5">
        <v>407</v>
      </c>
    </row>
    <row r="6" spans="1:41" x14ac:dyDescent="0.35">
      <c r="A6">
        <v>2024</v>
      </c>
      <c r="B6">
        <v>6</v>
      </c>
      <c r="C6">
        <v>22</v>
      </c>
      <c r="D6" s="1">
        <v>45444</v>
      </c>
      <c r="E6" s="2" t="s">
        <v>44</v>
      </c>
      <c r="F6" s="2" t="s">
        <v>47</v>
      </c>
      <c r="G6" s="2" t="s">
        <v>49</v>
      </c>
      <c r="H6" s="3">
        <v>12747.2</v>
      </c>
      <c r="I6" s="3">
        <v>12747.2</v>
      </c>
      <c r="J6" s="3">
        <v>0</v>
      </c>
      <c r="K6" s="3">
        <v>230.79000000000008</v>
      </c>
      <c r="L6" s="3">
        <v>230.79000000000008</v>
      </c>
      <c r="M6" s="3">
        <v>0</v>
      </c>
      <c r="N6" s="3">
        <v>251.86000000000007</v>
      </c>
      <c r="O6" s="3">
        <v>251.86000000000007</v>
      </c>
      <c r="P6" s="3">
        <v>0</v>
      </c>
      <c r="Q6" s="3">
        <v>-4688.0499999999984</v>
      </c>
      <c r="R6" s="3">
        <v>-4660.0499999999984</v>
      </c>
      <c r="S6" s="3">
        <v>28</v>
      </c>
      <c r="T6" s="3">
        <v>-22.6</v>
      </c>
      <c r="U6" s="3">
        <v>-22.6</v>
      </c>
      <c r="V6" s="3">
        <v>0</v>
      </c>
      <c r="W6" s="3">
        <v>-5</v>
      </c>
      <c r="X6" s="3">
        <v>-5</v>
      </c>
      <c r="Y6" s="3">
        <v>0</v>
      </c>
      <c r="Z6" s="3">
        <v>8514.2000000000007</v>
      </c>
      <c r="AA6" s="3">
        <v>8542.1999999999989</v>
      </c>
      <c r="AB6" s="3">
        <v>28</v>
      </c>
      <c r="AC6" s="3">
        <v>1093.05</v>
      </c>
      <c r="AD6" s="3">
        <v>502.21000000000004</v>
      </c>
      <c r="AE6" s="3">
        <v>-590.84</v>
      </c>
      <c r="AF6" s="3">
        <v>7421.15</v>
      </c>
      <c r="AG6" s="3">
        <v>8039.99</v>
      </c>
      <c r="AH6" s="3">
        <v>618.84</v>
      </c>
      <c r="AI6">
        <v>1408.3500000000001</v>
      </c>
      <c r="AJ6">
        <v>0</v>
      </c>
      <c r="AK6">
        <v>-1408.3500000000001</v>
      </c>
      <c r="AL6">
        <v>6012.8000000000029</v>
      </c>
      <c r="AM6">
        <v>8039.99</v>
      </c>
      <c r="AN6">
        <v>2027.19</v>
      </c>
      <c r="AO6">
        <v>164</v>
      </c>
    </row>
    <row r="7" spans="1:41" x14ac:dyDescent="0.35">
      <c r="A7">
        <v>2024</v>
      </c>
      <c r="B7">
        <v>6</v>
      </c>
      <c r="C7">
        <v>22</v>
      </c>
      <c r="D7" s="1">
        <v>45444</v>
      </c>
      <c r="E7" s="2" t="s">
        <v>44</v>
      </c>
      <c r="F7" s="2" t="s">
        <v>47</v>
      </c>
      <c r="G7" s="2" t="s">
        <v>50</v>
      </c>
      <c r="H7" s="3">
        <v>35225.25</v>
      </c>
      <c r="I7" s="3">
        <v>35225.25</v>
      </c>
      <c r="J7" s="3">
        <v>0</v>
      </c>
      <c r="K7" s="3">
        <v>600.49999999999909</v>
      </c>
      <c r="L7" s="3">
        <v>600.49999999999909</v>
      </c>
      <c r="M7" s="3">
        <v>0</v>
      </c>
      <c r="N7" s="3">
        <v>1206.2500000000005</v>
      </c>
      <c r="O7" s="3">
        <v>1190.2600000000004</v>
      </c>
      <c r="P7" s="3">
        <v>-15.99</v>
      </c>
      <c r="Q7" s="3">
        <v>-10341.1</v>
      </c>
      <c r="R7" s="3">
        <v>-10033.1</v>
      </c>
      <c r="S7" s="3">
        <v>308</v>
      </c>
      <c r="T7" s="3">
        <v>-15</v>
      </c>
      <c r="U7" s="3">
        <v>-15</v>
      </c>
      <c r="V7" s="3">
        <v>0</v>
      </c>
      <c r="W7" s="3">
        <v>-30</v>
      </c>
      <c r="X7" s="3">
        <v>-30</v>
      </c>
      <c r="Y7" s="3">
        <v>0</v>
      </c>
      <c r="Z7" s="3">
        <v>26645.9</v>
      </c>
      <c r="AA7" s="3">
        <v>26937.909999999996</v>
      </c>
      <c r="AB7" s="3">
        <v>292.01</v>
      </c>
      <c r="AC7" s="3">
        <v>7127.7900000000072</v>
      </c>
      <c r="AD7" s="3">
        <v>3322.4900000000025</v>
      </c>
      <c r="AE7" s="3">
        <v>-3805.300000000002</v>
      </c>
      <c r="AF7" s="3">
        <v>19518.110000000019</v>
      </c>
      <c r="AG7" s="3">
        <v>23615.420000000013</v>
      </c>
      <c r="AH7" s="3">
        <v>4097.3100000000031</v>
      </c>
      <c r="AI7">
        <v>-1513.9400000000012</v>
      </c>
      <c r="AJ7">
        <v>0</v>
      </c>
      <c r="AK7">
        <v>1513.9400000000012</v>
      </c>
      <c r="AL7">
        <v>21032.050000000003</v>
      </c>
      <c r="AM7">
        <v>23615.420000000013</v>
      </c>
      <c r="AN7">
        <v>2583.3700000000017</v>
      </c>
      <c r="AO7">
        <v>396</v>
      </c>
    </row>
    <row r="8" spans="1:41" x14ac:dyDescent="0.35">
      <c r="A8">
        <v>2024</v>
      </c>
      <c r="B8">
        <v>6</v>
      </c>
      <c r="C8">
        <v>22</v>
      </c>
      <c r="D8" s="1">
        <v>45444</v>
      </c>
      <c r="E8" s="2" t="s">
        <v>44</v>
      </c>
      <c r="F8" s="2" t="s">
        <v>47</v>
      </c>
      <c r="G8" s="2" t="s">
        <v>51</v>
      </c>
      <c r="H8" s="3">
        <v>13676.300000000052</v>
      </c>
      <c r="I8" s="3">
        <v>13676.300000000052</v>
      </c>
      <c r="J8" s="3">
        <v>0</v>
      </c>
      <c r="K8" s="3">
        <v>22.5</v>
      </c>
      <c r="L8" s="3">
        <v>35</v>
      </c>
      <c r="M8" s="3">
        <v>12.5</v>
      </c>
      <c r="N8" s="3">
        <v>0</v>
      </c>
      <c r="O8" s="3">
        <v>0</v>
      </c>
      <c r="P8" s="3">
        <v>0</v>
      </c>
      <c r="Q8" s="3">
        <v>-1194.4499999999998</v>
      </c>
      <c r="R8" s="3">
        <v>-1194.4499999999998</v>
      </c>
      <c r="S8" s="3">
        <v>0</v>
      </c>
      <c r="T8" s="3">
        <v>-4</v>
      </c>
      <c r="U8" s="3">
        <v>-4</v>
      </c>
      <c r="V8" s="3">
        <v>0</v>
      </c>
      <c r="W8" s="3">
        <v>0</v>
      </c>
      <c r="X8" s="3">
        <v>0</v>
      </c>
      <c r="Y8" s="3">
        <v>0</v>
      </c>
      <c r="Z8" s="3">
        <v>12500.350000000049</v>
      </c>
      <c r="AA8" s="3">
        <v>12512.850000000049</v>
      </c>
      <c r="AB8" s="3">
        <v>12.500000000000014</v>
      </c>
      <c r="AC8" s="3">
        <v>85.73</v>
      </c>
      <c r="AD8" s="3">
        <v>69.069999999999993</v>
      </c>
      <c r="AE8" s="3">
        <v>-16.66</v>
      </c>
      <c r="AF8" s="3">
        <v>12414.62000000005</v>
      </c>
      <c r="AG8" s="3">
        <v>12443.78000000005</v>
      </c>
      <c r="AH8" s="3">
        <v>29.160000000000011</v>
      </c>
      <c r="AI8">
        <v>1524.5900000000008</v>
      </c>
      <c r="AJ8">
        <v>0</v>
      </c>
      <c r="AK8">
        <v>-1524.5900000000008</v>
      </c>
      <c r="AL8">
        <v>10890.030000000037</v>
      </c>
      <c r="AM8">
        <v>12443.78000000005</v>
      </c>
      <c r="AN8">
        <v>1553.7500000000009</v>
      </c>
      <c r="AO8">
        <v>298</v>
      </c>
    </row>
    <row r="9" spans="1:41" x14ac:dyDescent="0.35">
      <c r="A9">
        <v>2024</v>
      </c>
      <c r="B9">
        <v>6</v>
      </c>
      <c r="C9">
        <v>23</v>
      </c>
      <c r="D9" s="1">
        <v>45445</v>
      </c>
      <c r="E9" s="2" t="s">
        <v>41</v>
      </c>
      <c r="F9" s="2" t="s">
        <v>42</v>
      </c>
      <c r="G9" s="2" t="s">
        <v>43</v>
      </c>
      <c r="H9" s="3">
        <v>142129.75</v>
      </c>
      <c r="I9" s="3">
        <v>142129.75</v>
      </c>
      <c r="J9" s="3">
        <v>0</v>
      </c>
      <c r="K9" s="3">
        <v>1691.9600000000294</v>
      </c>
      <c r="L9" s="3">
        <v>1691.9600000000294</v>
      </c>
      <c r="M9" s="3">
        <v>0</v>
      </c>
      <c r="N9" s="3">
        <v>3044.8199999999856</v>
      </c>
      <c r="O9" s="3">
        <v>3044.8199999999856</v>
      </c>
      <c r="P9" s="3">
        <v>0</v>
      </c>
      <c r="Q9" s="3">
        <v>-13747.33</v>
      </c>
      <c r="R9" s="3">
        <v>-12614.33</v>
      </c>
      <c r="S9" s="3">
        <v>1133</v>
      </c>
      <c r="T9" s="3">
        <v>-13.120000000000005</v>
      </c>
      <c r="U9" s="3">
        <v>-13.120000000000005</v>
      </c>
      <c r="V9" s="3">
        <v>0</v>
      </c>
      <c r="W9" s="3">
        <v>-55.5</v>
      </c>
      <c r="X9" s="3">
        <v>-55.5</v>
      </c>
      <c r="Y9" s="3">
        <v>0</v>
      </c>
      <c r="Z9" s="3">
        <v>133050.58000000182</v>
      </c>
      <c r="AA9" s="3">
        <v>134183.58000000179</v>
      </c>
      <c r="AB9" s="3">
        <v>1133</v>
      </c>
      <c r="AC9" s="3">
        <v>57869.110000000146</v>
      </c>
      <c r="AD9" s="3">
        <v>31790.629999999757</v>
      </c>
      <c r="AE9" s="3">
        <v>-26078.479999999756</v>
      </c>
      <c r="AF9" s="3">
        <v>75181.469999999754</v>
      </c>
      <c r="AG9" s="3">
        <v>102392.95000000087</v>
      </c>
      <c r="AH9" s="3">
        <v>27211.479999999749</v>
      </c>
      <c r="AI9">
        <v>-15717.48000000001</v>
      </c>
      <c r="AJ9">
        <v>0</v>
      </c>
      <c r="AK9">
        <v>15717.48000000001</v>
      </c>
      <c r="AL9">
        <v>90898.949999999852</v>
      </c>
      <c r="AM9">
        <v>102392.95000000087</v>
      </c>
      <c r="AN9">
        <v>11494.000000000047</v>
      </c>
      <c r="AO9">
        <v>2462</v>
      </c>
    </row>
    <row r="10" spans="1:41" x14ac:dyDescent="0.35">
      <c r="A10">
        <v>2024</v>
      </c>
      <c r="B10">
        <v>6</v>
      </c>
      <c r="C10">
        <v>23</v>
      </c>
      <c r="D10" s="1">
        <v>45446</v>
      </c>
      <c r="E10" s="2" t="s">
        <v>41</v>
      </c>
      <c r="F10" s="2" t="s">
        <v>42</v>
      </c>
      <c r="G10" s="2" t="s">
        <v>43</v>
      </c>
      <c r="H10" s="3">
        <v>144750.25</v>
      </c>
      <c r="I10" s="3">
        <v>144750.25</v>
      </c>
      <c r="J10" s="3">
        <v>0</v>
      </c>
      <c r="K10" s="3">
        <v>1464.2100000000216</v>
      </c>
      <c r="L10" s="3">
        <v>1457.2100000000214</v>
      </c>
      <c r="M10" s="3">
        <v>-7</v>
      </c>
      <c r="N10" s="3">
        <v>3449.5799999999795</v>
      </c>
      <c r="O10" s="3">
        <v>3436.5899999999797</v>
      </c>
      <c r="P10" s="3">
        <v>-12.99</v>
      </c>
      <c r="Q10" s="3">
        <v>-14928.25</v>
      </c>
      <c r="R10" s="3">
        <v>-11976.25</v>
      </c>
      <c r="S10" s="3">
        <v>2952</v>
      </c>
      <c r="T10" s="3">
        <v>-10.760000000000002</v>
      </c>
      <c r="U10" s="3">
        <v>-8.8800000000000008</v>
      </c>
      <c r="V10" s="3">
        <v>1.8800000000000001</v>
      </c>
      <c r="W10" s="3">
        <v>-85.2</v>
      </c>
      <c r="X10" s="3">
        <v>-85.2</v>
      </c>
      <c r="Y10" s="3">
        <v>0</v>
      </c>
      <c r="Z10" s="3">
        <v>134639.83000000176</v>
      </c>
      <c r="AA10" s="3">
        <v>137573.72000000163</v>
      </c>
      <c r="AB10" s="3">
        <v>2933.8900000000003</v>
      </c>
      <c r="AC10" s="3">
        <v>56522.690000000053</v>
      </c>
      <c r="AD10" s="3">
        <v>25035.3599999998</v>
      </c>
      <c r="AE10" s="3">
        <v>-31487.329999999754</v>
      </c>
      <c r="AF10" s="3">
        <v>78117.14</v>
      </c>
      <c r="AG10" s="3">
        <v>112538.36000000114</v>
      </c>
      <c r="AH10" s="3">
        <v>34421.219999999783</v>
      </c>
      <c r="AI10">
        <v>-12393.599999999999</v>
      </c>
      <c r="AJ10">
        <v>0</v>
      </c>
      <c r="AK10">
        <v>12393.599999999999</v>
      </c>
      <c r="AL10">
        <v>90510.740000000238</v>
      </c>
      <c r="AM10">
        <v>112538.36000000114</v>
      </c>
      <c r="AN10">
        <v>22027.61999999985</v>
      </c>
      <c r="AO10">
        <v>2494</v>
      </c>
    </row>
    <row r="11" spans="1:41" x14ac:dyDescent="0.35">
      <c r="A11">
        <v>2024</v>
      </c>
      <c r="B11">
        <v>6</v>
      </c>
      <c r="C11">
        <v>23</v>
      </c>
      <c r="D11" s="1">
        <v>45447</v>
      </c>
      <c r="E11" s="2" t="s">
        <v>41</v>
      </c>
      <c r="F11" s="2" t="s">
        <v>42</v>
      </c>
      <c r="G11" s="2" t="s">
        <v>43</v>
      </c>
      <c r="H11" s="3">
        <v>136214.75</v>
      </c>
      <c r="I11" s="3">
        <v>136214.75</v>
      </c>
      <c r="J11" s="3">
        <v>0</v>
      </c>
      <c r="K11" s="3">
        <v>1315.7200000000216</v>
      </c>
      <c r="L11" s="3">
        <v>1308.7200000000216</v>
      </c>
      <c r="M11" s="3">
        <v>-7.0000000000000009</v>
      </c>
      <c r="N11" s="3">
        <v>3296.6899999999819</v>
      </c>
      <c r="O11" s="3">
        <v>3287.6999999999821</v>
      </c>
      <c r="P11" s="3">
        <v>-8.99</v>
      </c>
      <c r="Q11" s="3">
        <v>-13369.23</v>
      </c>
      <c r="R11" s="3">
        <v>-12085.73</v>
      </c>
      <c r="S11" s="3">
        <v>1283.5</v>
      </c>
      <c r="T11" s="3">
        <v>-7.78</v>
      </c>
      <c r="U11" s="3">
        <v>-7.3200000000000012</v>
      </c>
      <c r="V11" s="3">
        <v>0.46</v>
      </c>
      <c r="W11" s="3">
        <v>-93.49</v>
      </c>
      <c r="X11" s="3">
        <v>-93.49</v>
      </c>
      <c r="Y11" s="3">
        <v>0</v>
      </c>
      <c r="Z11" s="3">
        <v>127356.66000000134</v>
      </c>
      <c r="AA11" s="3">
        <v>128624.63000000134</v>
      </c>
      <c r="AB11" s="3">
        <v>1267.97</v>
      </c>
      <c r="AC11" s="3">
        <v>51616.870000000192</v>
      </c>
      <c r="AD11" s="3">
        <v>27006.249999999756</v>
      </c>
      <c r="AE11" s="3">
        <v>-24610.619999999799</v>
      </c>
      <c r="AF11" s="3">
        <v>75739.789999999863</v>
      </c>
      <c r="AG11" s="3">
        <v>101618.38000000067</v>
      </c>
      <c r="AH11" s="3">
        <v>25878.589999999804</v>
      </c>
      <c r="AI11">
        <v>-13154.560000000014</v>
      </c>
      <c r="AJ11">
        <v>0</v>
      </c>
      <c r="AK11">
        <v>13154.560000000014</v>
      </c>
      <c r="AL11">
        <v>88894.350000000137</v>
      </c>
      <c r="AM11">
        <v>101618.38000000067</v>
      </c>
      <c r="AN11">
        <v>12724.030000000013</v>
      </c>
      <c r="AO11">
        <v>2352</v>
      </c>
    </row>
    <row r="12" spans="1:41" x14ac:dyDescent="0.35">
      <c r="A12">
        <v>2024</v>
      </c>
      <c r="B12">
        <v>6</v>
      </c>
      <c r="C12">
        <v>23</v>
      </c>
      <c r="D12" s="1">
        <v>45448</v>
      </c>
      <c r="E12" s="2" t="s">
        <v>41</v>
      </c>
      <c r="F12" s="2" t="s">
        <v>42</v>
      </c>
      <c r="G12" s="2" t="s">
        <v>43</v>
      </c>
      <c r="H12" s="3">
        <v>155756</v>
      </c>
      <c r="I12" s="3">
        <v>155756</v>
      </c>
      <c r="J12" s="3">
        <v>0</v>
      </c>
      <c r="K12" s="3">
        <v>1502.6600000000228</v>
      </c>
      <c r="L12" s="3">
        <v>1502.6600000000228</v>
      </c>
      <c r="M12" s="3">
        <v>0</v>
      </c>
      <c r="N12" s="3">
        <v>3287.6699999999823</v>
      </c>
      <c r="O12" s="3">
        <v>3287.6699999999823</v>
      </c>
      <c r="P12" s="3">
        <v>0</v>
      </c>
      <c r="Q12" s="3">
        <v>-15644.230000000001</v>
      </c>
      <c r="R12" s="3">
        <v>-13865.230000000001</v>
      </c>
      <c r="S12" s="3">
        <v>1779</v>
      </c>
      <c r="T12" s="3">
        <v>-7.3000000000000034</v>
      </c>
      <c r="U12" s="3">
        <v>-7.3000000000000034</v>
      </c>
      <c r="V12" s="3">
        <v>0</v>
      </c>
      <c r="W12" s="3">
        <v>-127.98</v>
      </c>
      <c r="X12" s="3">
        <v>-127.98</v>
      </c>
      <c r="Y12" s="3">
        <v>0</v>
      </c>
      <c r="Z12" s="3">
        <v>144766.82000000123</v>
      </c>
      <c r="AA12" s="3">
        <v>146545.82000000117</v>
      </c>
      <c r="AB12" s="3">
        <v>1779</v>
      </c>
      <c r="AC12" s="3">
        <v>61503.080000000147</v>
      </c>
      <c r="AD12" s="3">
        <v>34884.249999999796</v>
      </c>
      <c r="AE12" s="3">
        <v>-26618.829999999853</v>
      </c>
      <c r="AF12" s="3">
        <v>83263.740000000209</v>
      </c>
      <c r="AG12" s="3">
        <v>111661.57000000108</v>
      </c>
      <c r="AH12" s="3">
        <v>28397.82999999982</v>
      </c>
      <c r="AI12">
        <v>-17215.929999999971</v>
      </c>
      <c r="AJ12">
        <v>0</v>
      </c>
      <c r="AK12">
        <v>17215.929999999971</v>
      </c>
      <c r="AL12">
        <v>100479.67000000039</v>
      </c>
      <c r="AM12">
        <v>111661.57000000108</v>
      </c>
      <c r="AN12">
        <v>11181.900000000047</v>
      </c>
      <c r="AO12">
        <v>2689</v>
      </c>
    </row>
    <row r="13" spans="1:41" x14ac:dyDescent="0.35">
      <c r="A13">
        <v>2024</v>
      </c>
      <c r="B13">
        <v>6</v>
      </c>
      <c r="C13">
        <v>23</v>
      </c>
      <c r="D13" s="1">
        <v>45449</v>
      </c>
      <c r="E13" s="2" t="s">
        <v>41</v>
      </c>
      <c r="F13" s="2" t="s">
        <v>42</v>
      </c>
      <c r="G13" s="2" t="s">
        <v>43</v>
      </c>
      <c r="H13" s="3">
        <v>166978.25</v>
      </c>
      <c r="I13" s="3">
        <v>166978.25</v>
      </c>
      <c r="J13" s="3">
        <v>0</v>
      </c>
      <c r="K13" s="3">
        <v>1902.8500000000317</v>
      </c>
      <c r="L13" s="3">
        <v>1902.8500000000315</v>
      </c>
      <c r="M13" s="3">
        <v>0</v>
      </c>
      <c r="N13" s="3">
        <v>3220.7399999999825</v>
      </c>
      <c r="O13" s="3">
        <v>3220.7399999999825</v>
      </c>
      <c r="P13" s="3">
        <v>0</v>
      </c>
      <c r="Q13" s="3">
        <v>-15702.25</v>
      </c>
      <c r="R13" s="3">
        <v>-14204</v>
      </c>
      <c r="S13" s="3">
        <v>1498.25</v>
      </c>
      <c r="T13" s="3">
        <v>-4.5199999999999996</v>
      </c>
      <c r="U13" s="3">
        <v>-4.5199999999999996</v>
      </c>
      <c r="V13" s="3">
        <v>0</v>
      </c>
      <c r="W13" s="3">
        <v>-140.49</v>
      </c>
      <c r="X13" s="3">
        <v>-140.49</v>
      </c>
      <c r="Y13" s="3">
        <v>0</v>
      </c>
      <c r="Z13" s="3">
        <v>156254.58000000098</v>
      </c>
      <c r="AA13" s="3">
        <v>157752.83000000092</v>
      </c>
      <c r="AB13" s="3">
        <v>1498.25</v>
      </c>
      <c r="AC13" s="3">
        <v>67944.269999999902</v>
      </c>
      <c r="AD13" s="3">
        <v>33325.46999999971</v>
      </c>
      <c r="AE13" s="3">
        <v>-34618.799999999785</v>
      </c>
      <c r="AF13" s="3">
        <v>88310.310000000565</v>
      </c>
      <c r="AG13" s="3">
        <v>124427.36000000127</v>
      </c>
      <c r="AH13" s="3">
        <v>36117.049999999843</v>
      </c>
      <c r="AI13">
        <v>-16225.069999999998</v>
      </c>
      <c r="AJ13">
        <v>0</v>
      </c>
      <c r="AK13">
        <v>16225.069999999998</v>
      </c>
      <c r="AL13">
        <v>104535.38000000067</v>
      </c>
      <c r="AM13">
        <v>124427.36000000127</v>
      </c>
      <c r="AN13">
        <v>19891.97999999988</v>
      </c>
      <c r="AO13">
        <v>2869</v>
      </c>
    </row>
    <row r="14" spans="1:41" x14ac:dyDescent="0.35">
      <c r="A14">
        <v>2024</v>
      </c>
      <c r="B14">
        <v>6</v>
      </c>
      <c r="C14">
        <v>23</v>
      </c>
      <c r="D14" s="1">
        <v>45450</v>
      </c>
      <c r="E14" s="2" t="s">
        <v>41</v>
      </c>
      <c r="F14" s="2" t="s">
        <v>42</v>
      </c>
      <c r="G14" s="2" t="s">
        <v>43</v>
      </c>
      <c r="H14" s="3">
        <v>157603</v>
      </c>
      <c r="I14" s="3">
        <v>157603</v>
      </c>
      <c r="J14" s="3">
        <v>0</v>
      </c>
      <c r="K14" s="3">
        <v>1873.3100000000259</v>
      </c>
      <c r="L14" s="3">
        <v>1873.3100000000259</v>
      </c>
      <c r="M14" s="3">
        <v>0</v>
      </c>
      <c r="N14" s="3">
        <v>3072.8799999999851</v>
      </c>
      <c r="O14" s="3">
        <v>3072.8799999999851</v>
      </c>
      <c r="P14" s="3">
        <v>0</v>
      </c>
      <c r="Q14" s="3">
        <v>-15223</v>
      </c>
      <c r="R14" s="3">
        <v>-13213</v>
      </c>
      <c r="S14" s="3">
        <v>2010</v>
      </c>
      <c r="T14" s="3">
        <v>-12.450000000000001</v>
      </c>
      <c r="U14" s="3">
        <v>-12.450000000000001</v>
      </c>
      <c r="V14" s="3">
        <v>0</v>
      </c>
      <c r="W14" s="3">
        <v>-66.5</v>
      </c>
      <c r="X14" s="3">
        <v>-66.5</v>
      </c>
      <c r="Y14" s="3">
        <v>0</v>
      </c>
      <c r="Z14" s="3">
        <v>147247.2400000013</v>
      </c>
      <c r="AA14" s="3">
        <v>149257.24000000133</v>
      </c>
      <c r="AB14" s="3">
        <v>2010</v>
      </c>
      <c r="AC14" s="3">
        <v>65651.090000000127</v>
      </c>
      <c r="AD14" s="3">
        <v>32965.719999999747</v>
      </c>
      <c r="AE14" s="3">
        <v>-32685.369999999752</v>
      </c>
      <c r="AF14" s="3">
        <v>81596.149999999921</v>
      </c>
      <c r="AG14" s="3">
        <v>116291.52000000136</v>
      </c>
      <c r="AH14" s="3">
        <v>34695.369999999777</v>
      </c>
      <c r="AI14">
        <v>-15947.199999999995</v>
      </c>
      <c r="AJ14">
        <v>0</v>
      </c>
      <c r="AK14">
        <v>15947.199999999995</v>
      </c>
      <c r="AL14">
        <v>97543.350000000311</v>
      </c>
      <c r="AM14">
        <v>116291.52000000136</v>
      </c>
      <c r="AN14">
        <v>18748.169999999911</v>
      </c>
      <c r="AO14">
        <v>2722</v>
      </c>
    </row>
    <row r="15" spans="1:41" x14ac:dyDescent="0.35">
      <c r="A15">
        <v>2024</v>
      </c>
      <c r="B15">
        <v>6</v>
      </c>
      <c r="C15">
        <v>23</v>
      </c>
      <c r="D15" s="1">
        <v>45451</v>
      </c>
      <c r="E15" s="2" t="s">
        <v>41</v>
      </c>
      <c r="F15" s="2" t="s">
        <v>42</v>
      </c>
      <c r="G15" s="2" t="s">
        <v>43</v>
      </c>
      <c r="H15" s="3">
        <v>152356</v>
      </c>
      <c r="I15" s="3">
        <v>152294</v>
      </c>
      <c r="J15" s="3">
        <v>-62</v>
      </c>
      <c r="K15" s="3">
        <v>1831.1500000000315</v>
      </c>
      <c r="L15" s="3">
        <v>1823.2000000000314</v>
      </c>
      <c r="M15" s="3">
        <v>-7.95</v>
      </c>
      <c r="N15" s="3">
        <v>3406.6299999999801</v>
      </c>
      <c r="O15" s="3">
        <v>3390.6399999999803</v>
      </c>
      <c r="P15" s="3">
        <v>-15.99</v>
      </c>
      <c r="Q15" s="3">
        <v>-14559.95</v>
      </c>
      <c r="R15" s="3">
        <v>-12947.95</v>
      </c>
      <c r="S15" s="3">
        <v>1612</v>
      </c>
      <c r="T15" s="3">
        <v>-11.490000000000002</v>
      </c>
      <c r="U15" s="3">
        <v>-11.490000000000002</v>
      </c>
      <c r="V15" s="3">
        <v>0</v>
      </c>
      <c r="W15" s="3">
        <v>-75.989999999999995</v>
      </c>
      <c r="X15" s="3">
        <v>-75.989999999999995</v>
      </c>
      <c r="Y15" s="3">
        <v>0</v>
      </c>
      <c r="Z15" s="3">
        <v>142946.35000000134</v>
      </c>
      <c r="AA15" s="3">
        <v>144472.41000000128</v>
      </c>
      <c r="AB15" s="3">
        <v>1526.06</v>
      </c>
      <c r="AC15" s="3">
        <v>61422.110000000226</v>
      </c>
      <c r="AD15" s="3">
        <v>28694.099999999769</v>
      </c>
      <c r="AE15" s="3">
        <v>-32728.009999999718</v>
      </c>
      <c r="AF15" s="3">
        <v>81524.240000000122</v>
      </c>
      <c r="AG15" s="3">
        <v>115778.31000000112</v>
      </c>
      <c r="AH15" s="3">
        <v>34254.06999999976</v>
      </c>
      <c r="AI15">
        <v>-13902.489999999994</v>
      </c>
      <c r="AJ15">
        <v>0</v>
      </c>
      <c r="AK15">
        <v>13902.489999999994</v>
      </c>
      <c r="AL15">
        <v>95426.730000000316</v>
      </c>
      <c r="AM15">
        <v>115778.31000000112</v>
      </c>
      <c r="AN15">
        <v>20351.579999999929</v>
      </c>
      <c r="AO15">
        <v>2642</v>
      </c>
    </row>
    <row r="16" spans="1:41" x14ac:dyDescent="0.35">
      <c r="A16">
        <v>2024</v>
      </c>
      <c r="B16">
        <v>6</v>
      </c>
      <c r="C16">
        <v>23</v>
      </c>
      <c r="D16" s="1">
        <v>45445</v>
      </c>
      <c r="E16" s="2" t="s">
        <v>44</v>
      </c>
      <c r="F16" s="2" t="s">
        <v>42</v>
      </c>
      <c r="G16" s="2" t="s">
        <v>45</v>
      </c>
      <c r="H16" s="3">
        <v>172416</v>
      </c>
      <c r="I16" s="3">
        <v>172416</v>
      </c>
      <c r="J16" s="3">
        <v>0</v>
      </c>
      <c r="K16" s="3">
        <v>1392.2700000000123</v>
      </c>
      <c r="L16" s="3">
        <v>1392.2700000000123</v>
      </c>
      <c r="M16" s="3">
        <v>0</v>
      </c>
      <c r="N16" s="3">
        <v>7307.2599999999265</v>
      </c>
      <c r="O16" s="3">
        <v>7291.2699999999268</v>
      </c>
      <c r="P16" s="3">
        <v>-15.99</v>
      </c>
      <c r="Q16" s="3">
        <v>-28360.5</v>
      </c>
      <c r="R16" s="3">
        <v>-27621.5</v>
      </c>
      <c r="S16" s="3">
        <v>739</v>
      </c>
      <c r="T16" s="3">
        <v>-10.200000000000001</v>
      </c>
      <c r="U16" s="3">
        <v>-10.200000000000001</v>
      </c>
      <c r="V16" s="3">
        <v>0</v>
      </c>
      <c r="W16" s="3">
        <v>-117.59</v>
      </c>
      <c r="X16" s="3">
        <v>-117.59</v>
      </c>
      <c r="Y16" s="3">
        <v>0</v>
      </c>
      <c r="Z16" s="3">
        <v>152627.24000000066</v>
      </c>
      <c r="AA16" s="3">
        <v>153350.25000000061</v>
      </c>
      <c r="AB16" s="3">
        <v>723.01</v>
      </c>
      <c r="AC16" s="3">
        <v>42105.079999999791</v>
      </c>
      <c r="AD16" s="3">
        <v>23871.549999999916</v>
      </c>
      <c r="AE16" s="3">
        <v>-18233.529999999933</v>
      </c>
      <c r="AF16" s="3">
        <v>110522.16000000063</v>
      </c>
      <c r="AG16" s="3">
        <v>129478.710000001</v>
      </c>
      <c r="AH16" s="3">
        <v>18956.549999999934</v>
      </c>
      <c r="AI16">
        <v>-11495.570000000012</v>
      </c>
      <c r="AJ16">
        <v>0</v>
      </c>
      <c r="AK16">
        <v>11495.570000000012</v>
      </c>
      <c r="AL16">
        <v>122017.72999999989</v>
      </c>
      <c r="AM16">
        <v>129478.710000001</v>
      </c>
      <c r="AN16">
        <v>7460.9800000000141</v>
      </c>
      <c r="AO16">
        <v>2244</v>
      </c>
    </row>
    <row r="17" spans="1:41" x14ac:dyDescent="0.35">
      <c r="A17">
        <v>2024</v>
      </c>
      <c r="B17">
        <v>6</v>
      </c>
      <c r="C17">
        <v>23</v>
      </c>
      <c r="D17" s="1">
        <v>45446</v>
      </c>
      <c r="E17" s="2" t="s">
        <v>44</v>
      </c>
      <c r="F17" s="2" t="s">
        <v>42</v>
      </c>
      <c r="G17" s="2" t="s">
        <v>45</v>
      </c>
      <c r="H17" s="3">
        <v>168064</v>
      </c>
      <c r="I17" s="3">
        <v>168064</v>
      </c>
      <c r="J17" s="3">
        <v>0</v>
      </c>
      <c r="K17" s="3">
        <v>1161.1000000000133</v>
      </c>
      <c r="L17" s="3">
        <v>1161.1000000000133</v>
      </c>
      <c r="M17" s="3">
        <v>0</v>
      </c>
      <c r="N17" s="3">
        <v>7654.139999999923</v>
      </c>
      <c r="O17" s="3">
        <v>7654.139999999923</v>
      </c>
      <c r="P17" s="3">
        <v>0</v>
      </c>
      <c r="Q17" s="3">
        <v>-28549.7</v>
      </c>
      <c r="R17" s="3">
        <v>-26753.200000000001</v>
      </c>
      <c r="S17" s="3">
        <v>1796.5</v>
      </c>
      <c r="T17" s="3">
        <v>-6.9600000000000009</v>
      </c>
      <c r="U17" s="3">
        <v>-6.9600000000000009</v>
      </c>
      <c r="V17" s="3">
        <v>0</v>
      </c>
      <c r="W17" s="3">
        <v>-143.97999999999999</v>
      </c>
      <c r="X17" s="3">
        <v>-143.97999999999999</v>
      </c>
      <c r="Y17" s="3">
        <v>0</v>
      </c>
      <c r="Z17" s="3">
        <v>148178.60000000073</v>
      </c>
      <c r="AA17" s="3">
        <v>149975.10000000076</v>
      </c>
      <c r="AB17" s="3">
        <v>1796.5</v>
      </c>
      <c r="AC17" s="3">
        <v>42225.78999999979</v>
      </c>
      <c r="AD17" s="3">
        <v>19094.449999999924</v>
      </c>
      <c r="AE17" s="3">
        <v>-23131.339999999942</v>
      </c>
      <c r="AF17" s="3">
        <v>105952.81000000045</v>
      </c>
      <c r="AG17" s="3">
        <v>130880.65000000095</v>
      </c>
      <c r="AH17" s="3">
        <v>24927.839999999949</v>
      </c>
      <c r="AI17">
        <v>-9309.9500000000062</v>
      </c>
      <c r="AJ17">
        <v>0</v>
      </c>
      <c r="AK17">
        <v>9309.9500000000062</v>
      </c>
      <c r="AL17">
        <v>115262.76000000005</v>
      </c>
      <c r="AM17">
        <v>130880.65000000095</v>
      </c>
      <c r="AN17">
        <v>15617.88999999989</v>
      </c>
      <c r="AO17">
        <v>2175</v>
      </c>
    </row>
    <row r="18" spans="1:41" x14ac:dyDescent="0.35">
      <c r="A18">
        <v>2024</v>
      </c>
      <c r="B18">
        <v>6</v>
      </c>
      <c r="C18">
        <v>23</v>
      </c>
      <c r="D18" s="1">
        <v>45447</v>
      </c>
      <c r="E18" s="2" t="s">
        <v>44</v>
      </c>
      <c r="F18" s="2" t="s">
        <v>42</v>
      </c>
      <c r="G18" s="2" t="s">
        <v>45</v>
      </c>
      <c r="H18" s="3">
        <v>137267</v>
      </c>
      <c r="I18" s="3">
        <v>137267</v>
      </c>
      <c r="J18" s="3">
        <v>0</v>
      </c>
      <c r="K18" s="3">
        <v>883.81000000000256</v>
      </c>
      <c r="L18" s="3">
        <v>883.81000000000256</v>
      </c>
      <c r="M18" s="3">
        <v>0</v>
      </c>
      <c r="N18" s="3">
        <v>5890.1999999999462</v>
      </c>
      <c r="O18" s="3">
        <v>5890.1999999999462</v>
      </c>
      <c r="P18" s="3">
        <v>0</v>
      </c>
      <c r="Q18" s="3">
        <v>-23164.65</v>
      </c>
      <c r="R18" s="3">
        <v>-22264.65</v>
      </c>
      <c r="S18" s="3">
        <v>900</v>
      </c>
      <c r="T18" s="3">
        <v>-11.91</v>
      </c>
      <c r="U18" s="3">
        <v>-11.91</v>
      </c>
      <c r="V18" s="3">
        <v>0</v>
      </c>
      <c r="W18" s="3">
        <v>-111</v>
      </c>
      <c r="X18" s="3">
        <v>-111</v>
      </c>
      <c r="Y18" s="3">
        <v>0</v>
      </c>
      <c r="Z18" s="3">
        <v>120753.45000000058</v>
      </c>
      <c r="AA18" s="3">
        <v>121653.45000000061</v>
      </c>
      <c r="AB18" s="3">
        <v>900</v>
      </c>
      <c r="AC18" s="3">
        <v>34876.089999999895</v>
      </c>
      <c r="AD18" s="3">
        <v>16108.519999999942</v>
      </c>
      <c r="AE18" s="3">
        <v>-18767.569999999942</v>
      </c>
      <c r="AF18" s="3">
        <v>85877.36000000019</v>
      </c>
      <c r="AG18" s="3">
        <v>105544.93000000027</v>
      </c>
      <c r="AH18" s="3">
        <v>19667.569999999934</v>
      </c>
      <c r="AI18">
        <v>-7571.7999999999975</v>
      </c>
      <c r="AJ18">
        <v>0</v>
      </c>
      <c r="AK18">
        <v>7571.7999999999975</v>
      </c>
      <c r="AL18">
        <v>93449.160000000033</v>
      </c>
      <c r="AM18">
        <v>105544.93000000027</v>
      </c>
      <c r="AN18">
        <v>12095.769999999944</v>
      </c>
      <c r="AO18">
        <v>1763</v>
      </c>
    </row>
    <row r="19" spans="1:41" x14ac:dyDescent="0.35">
      <c r="A19">
        <v>2024</v>
      </c>
      <c r="B19">
        <v>6</v>
      </c>
      <c r="C19">
        <v>23</v>
      </c>
      <c r="D19" s="1">
        <v>45448</v>
      </c>
      <c r="E19" s="2" t="s">
        <v>44</v>
      </c>
      <c r="F19" s="2" t="s">
        <v>42</v>
      </c>
      <c r="G19" s="2" t="s">
        <v>45</v>
      </c>
      <c r="H19" s="3">
        <v>159396</v>
      </c>
      <c r="I19" s="3">
        <v>159396</v>
      </c>
      <c r="J19" s="3">
        <v>0</v>
      </c>
      <c r="K19" s="3">
        <v>1129.9300000000135</v>
      </c>
      <c r="L19" s="3">
        <v>1129.9300000000135</v>
      </c>
      <c r="M19" s="3">
        <v>0</v>
      </c>
      <c r="N19" s="3">
        <v>6358.9299999999412</v>
      </c>
      <c r="O19" s="3">
        <v>6339.9399999999423</v>
      </c>
      <c r="P19" s="3">
        <v>-18.990000000000002</v>
      </c>
      <c r="Q19" s="3">
        <v>-26098.950000000004</v>
      </c>
      <c r="R19" s="3">
        <v>-25083.950000000004</v>
      </c>
      <c r="S19" s="3">
        <v>1015</v>
      </c>
      <c r="T19" s="3">
        <v>-28.540000000000003</v>
      </c>
      <c r="U19" s="3">
        <v>-28.540000000000003</v>
      </c>
      <c r="V19" s="3">
        <v>0</v>
      </c>
      <c r="W19" s="3">
        <v>-155.69</v>
      </c>
      <c r="X19" s="3">
        <v>-149.99</v>
      </c>
      <c r="Y19" s="3">
        <v>5.7</v>
      </c>
      <c r="Z19" s="3">
        <v>140601.68000000066</v>
      </c>
      <c r="AA19" s="3">
        <v>141603.3900000006</v>
      </c>
      <c r="AB19" s="3">
        <v>1001.71</v>
      </c>
      <c r="AC19" s="3">
        <v>40560.229999999763</v>
      </c>
      <c r="AD19" s="3">
        <v>24648.299999999945</v>
      </c>
      <c r="AE19" s="3">
        <v>-15911.929999999969</v>
      </c>
      <c r="AF19" s="3">
        <v>100041.45000000035</v>
      </c>
      <c r="AG19" s="3">
        <v>116955.09000000058</v>
      </c>
      <c r="AH19" s="3">
        <v>16913.639999999967</v>
      </c>
      <c r="AI19">
        <v>-11930.200000000013</v>
      </c>
      <c r="AJ19">
        <v>0</v>
      </c>
      <c r="AK19">
        <v>11930.200000000013</v>
      </c>
      <c r="AL19">
        <v>111971.6500000001</v>
      </c>
      <c r="AM19">
        <v>116955.09000000058</v>
      </c>
      <c r="AN19">
        <v>4983.440000000016</v>
      </c>
      <c r="AO19">
        <v>2037</v>
      </c>
    </row>
    <row r="20" spans="1:41" x14ac:dyDescent="0.35">
      <c r="A20">
        <v>2024</v>
      </c>
      <c r="B20">
        <v>6</v>
      </c>
      <c r="C20">
        <v>23</v>
      </c>
      <c r="D20" s="1">
        <v>45449</v>
      </c>
      <c r="E20" s="2" t="s">
        <v>44</v>
      </c>
      <c r="F20" s="2" t="s">
        <v>42</v>
      </c>
      <c r="G20" s="2" t="s">
        <v>45</v>
      </c>
      <c r="H20" s="3">
        <v>181794</v>
      </c>
      <c r="I20" s="3">
        <v>181794</v>
      </c>
      <c r="J20" s="3">
        <v>0</v>
      </c>
      <c r="K20" s="3">
        <v>1415.5900000000097</v>
      </c>
      <c r="L20" s="3">
        <v>1415.5900000000097</v>
      </c>
      <c r="M20" s="3">
        <v>0</v>
      </c>
      <c r="N20" s="3">
        <v>7126.4099999999307</v>
      </c>
      <c r="O20" s="3">
        <v>7126.4099999999307</v>
      </c>
      <c r="P20" s="3">
        <v>0</v>
      </c>
      <c r="Q20" s="3">
        <v>-29312</v>
      </c>
      <c r="R20" s="3">
        <v>-27940.75</v>
      </c>
      <c r="S20" s="3">
        <v>1371.25</v>
      </c>
      <c r="T20" s="3">
        <v>-15.959999999999999</v>
      </c>
      <c r="U20" s="3">
        <v>-15.959999999999999</v>
      </c>
      <c r="V20" s="3">
        <v>0</v>
      </c>
      <c r="W20" s="3">
        <v>-119.7</v>
      </c>
      <c r="X20" s="3">
        <v>-119.7</v>
      </c>
      <c r="Y20" s="3">
        <v>0</v>
      </c>
      <c r="Z20" s="3">
        <v>160888.34000000035</v>
      </c>
      <c r="AA20" s="3">
        <v>162259.59000000035</v>
      </c>
      <c r="AB20" s="3">
        <v>1371.25</v>
      </c>
      <c r="AC20" s="3">
        <v>48016.209999999774</v>
      </c>
      <c r="AD20" s="3">
        <v>24333.679999999906</v>
      </c>
      <c r="AE20" s="3">
        <v>-23682.529999999922</v>
      </c>
      <c r="AF20" s="3">
        <v>112872.13000000041</v>
      </c>
      <c r="AG20" s="3">
        <v>137925.91000000076</v>
      </c>
      <c r="AH20" s="3">
        <v>25053.779999999922</v>
      </c>
      <c r="AI20">
        <v>-11686.900000000016</v>
      </c>
      <c r="AJ20">
        <v>0</v>
      </c>
      <c r="AK20">
        <v>11686.900000000016</v>
      </c>
      <c r="AL20">
        <v>124559.03000000003</v>
      </c>
      <c r="AM20">
        <v>137925.91000000076</v>
      </c>
      <c r="AN20">
        <v>13366.87999999993</v>
      </c>
      <c r="AO20">
        <v>2346</v>
      </c>
    </row>
    <row r="21" spans="1:41" x14ac:dyDescent="0.35">
      <c r="A21">
        <v>2024</v>
      </c>
      <c r="B21">
        <v>6</v>
      </c>
      <c r="C21">
        <v>23</v>
      </c>
      <c r="D21" s="1">
        <v>45450</v>
      </c>
      <c r="E21" s="2" t="s">
        <v>44</v>
      </c>
      <c r="F21" s="2" t="s">
        <v>42</v>
      </c>
      <c r="G21" s="2" t="s">
        <v>45</v>
      </c>
      <c r="H21" s="3">
        <v>177193.5</v>
      </c>
      <c r="I21" s="3">
        <v>177193.5</v>
      </c>
      <c r="J21" s="3">
        <v>0</v>
      </c>
      <c r="K21" s="3">
        <v>1342.3200000000163</v>
      </c>
      <c r="L21" s="3">
        <v>1342.3200000000163</v>
      </c>
      <c r="M21" s="3">
        <v>0</v>
      </c>
      <c r="N21" s="3">
        <v>7188.3799999999292</v>
      </c>
      <c r="O21" s="3">
        <v>7156.3999999999296</v>
      </c>
      <c r="P21" s="3">
        <v>-31.98</v>
      </c>
      <c r="Q21" s="3">
        <v>-28378</v>
      </c>
      <c r="R21" s="3">
        <v>-27290.5</v>
      </c>
      <c r="S21" s="3">
        <v>1087.5</v>
      </c>
      <c r="T21" s="3">
        <v>-12.110000000000003</v>
      </c>
      <c r="U21" s="3">
        <v>-12.110000000000003</v>
      </c>
      <c r="V21" s="3">
        <v>0</v>
      </c>
      <c r="W21" s="3">
        <v>-153.59</v>
      </c>
      <c r="X21" s="3">
        <v>-153.59</v>
      </c>
      <c r="Y21" s="3">
        <v>0</v>
      </c>
      <c r="Z21" s="3">
        <v>157180.50000000044</v>
      </c>
      <c r="AA21" s="3">
        <v>158236.0200000004</v>
      </c>
      <c r="AB21" s="3">
        <v>1055.52</v>
      </c>
      <c r="AC21" s="3">
        <v>47166.439999999653</v>
      </c>
      <c r="AD21" s="3">
        <v>23652.829999999954</v>
      </c>
      <c r="AE21" s="3">
        <v>-23513.609999999935</v>
      </c>
      <c r="AF21" s="3">
        <v>110014.06000000033</v>
      </c>
      <c r="AG21" s="3">
        <v>134583.19000000061</v>
      </c>
      <c r="AH21" s="3">
        <v>24569.129999999932</v>
      </c>
      <c r="AI21">
        <v>-11054.220000000036</v>
      </c>
      <c r="AJ21">
        <v>0</v>
      </c>
      <c r="AK21">
        <v>11054.220000000036</v>
      </c>
      <c r="AL21">
        <v>121068.27999999955</v>
      </c>
      <c r="AM21">
        <v>134583.19000000061</v>
      </c>
      <c r="AN21">
        <v>13514.909999999922</v>
      </c>
      <c r="AO21">
        <v>2283</v>
      </c>
    </row>
    <row r="22" spans="1:41" x14ac:dyDescent="0.35">
      <c r="A22">
        <v>2024</v>
      </c>
      <c r="B22">
        <v>6</v>
      </c>
      <c r="C22">
        <v>23</v>
      </c>
      <c r="D22" s="1">
        <v>45451</v>
      </c>
      <c r="E22" s="2" t="s">
        <v>44</v>
      </c>
      <c r="F22" s="2" t="s">
        <v>42</v>
      </c>
      <c r="G22" s="2" t="s">
        <v>45</v>
      </c>
      <c r="H22" s="3">
        <v>179093</v>
      </c>
      <c r="I22" s="3">
        <v>179093</v>
      </c>
      <c r="J22" s="3">
        <v>0</v>
      </c>
      <c r="K22" s="3">
        <v>1233.6000000000099</v>
      </c>
      <c r="L22" s="3">
        <v>1233.6000000000099</v>
      </c>
      <c r="M22" s="3">
        <v>0</v>
      </c>
      <c r="N22" s="3">
        <v>7092.4099999999298</v>
      </c>
      <c r="O22" s="3">
        <v>7044.4399999999305</v>
      </c>
      <c r="P22" s="3">
        <v>-47.97</v>
      </c>
      <c r="Q22" s="3">
        <v>-29761.3</v>
      </c>
      <c r="R22" s="3">
        <v>-28646.3</v>
      </c>
      <c r="S22" s="3">
        <v>1115</v>
      </c>
      <c r="T22" s="3">
        <v>-9.8200000000000021</v>
      </c>
      <c r="U22" s="3">
        <v>-9.8200000000000021</v>
      </c>
      <c r="V22" s="3">
        <v>0</v>
      </c>
      <c r="W22" s="3">
        <v>-140.49</v>
      </c>
      <c r="X22" s="3">
        <v>-140.49</v>
      </c>
      <c r="Y22" s="3">
        <v>0</v>
      </c>
      <c r="Z22" s="3">
        <v>157507.40000000072</v>
      </c>
      <c r="AA22" s="3">
        <v>158574.43000000075</v>
      </c>
      <c r="AB22" s="3">
        <v>1067.03</v>
      </c>
      <c r="AC22" s="3">
        <v>46460.929999999782</v>
      </c>
      <c r="AD22" s="3">
        <v>23254.599999999908</v>
      </c>
      <c r="AE22" s="3">
        <v>-23206.329999999936</v>
      </c>
      <c r="AF22" s="3">
        <v>111046.47000000029</v>
      </c>
      <c r="AG22" s="3">
        <v>135319.8300000006</v>
      </c>
      <c r="AH22" s="3">
        <v>24273.359999999939</v>
      </c>
      <c r="AI22">
        <v>-11058.330000000025</v>
      </c>
      <c r="AJ22">
        <v>0</v>
      </c>
      <c r="AK22">
        <v>11058.330000000025</v>
      </c>
      <c r="AL22">
        <v>122104.80000000008</v>
      </c>
      <c r="AM22">
        <v>135319.8300000006</v>
      </c>
      <c r="AN22">
        <v>13215.029999999933</v>
      </c>
      <c r="AO22">
        <v>2291</v>
      </c>
    </row>
    <row r="23" spans="1:41" x14ac:dyDescent="0.35">
      <c r="A23">
        <v>2024</v>
      </c>
      <c r="B23">
        <v>6</v>
      </c>
      <c r="C23">
        <v>23</v>
      </c>
      <c r="D23" s="1">
        <v>45445</v>
      </c>
      <c r="E23" s="2" t="s">
        <v>44</v>
      </c>
      <c r="F23" s="2" t="s">
        <v>42</v>
      </c>
      <c r="G23" s="2" t="s">
        <v>46</v>
      </c>
      <c r="H23" s="3">
        <v>62581.98</v>
      </c>
      <c r="I23" s="3">
        <v>62581.98</v>
      </c>
      <c r="J23" s="3">
        <v>0</v>
      </c>
      <c r="K23" s="3">
        <v>289.57999999999981</v>
      </c>
      <c r="L23" s="3">
        <v>289.57999999999981</v>
      </c>
      <c r="M23" s="3">
        <v>0</v>
      </c>
      <c r="N23" s="3">
        <v>1288.1600000000005</v>
      </c>
      <c r="O23" s="3">
        <v>1288.1600000000005</v>
      </c>
      <c r="P23" s="3">
        <v>0</v>
      </c>
      <c r="Q23" s="3">
        <v>-21614.53</v>
      </c>
      <c r="R23" s="3">
        <v>-21516.03</v>
      </c>
      <c r="S23" s="3">
        <v>98.5</v>
      </c>
      <c r="T23" s="3">
        <v>-1</v>
      </c>
      <c r="U23" s="3">
        <v>-1</v>
      </c>
      <c r="V23" s="3">
        <v>0</v>
      </c>
      <c r="W23" s="3">
        <v>-5</v>
      </c>
      <c r="X23" s="3">
        <v>-5</v>
      </c>
      <c r="Y23" s="3">
        <v>0</v>
      </c>
      <c r="Z23" s="3">
        <v>42539.18999999993</v>
      </c>
      <c r="AA23" s="3">
        <v>42637.689999999922</v>
      </c>
      <c r="AB23" s="3">
        <v>98.500000000000028</v>
      </c>
      <c r="AC23" s="3">
        <v>15682.979999999947</v>
      </c>
      <c r="AD23" s="3">
        <v>8628.1600000000053</v>
      </c>
      <c r="AE23" s="3">
        <v>-7054.820000000007</v>
      </c>
      <c r="AF23" s="3">
        <v>26856.210000000039</v>
      </c>
      <c r="AG23" s="3">
        <v>34009.53000000005</v>
      </c>
      <c r="AH23" s="3">
        <v>7153.320000000007</v>
      </c>
      <c r="AI23">
        <v>-2895.7900000000018</v>
      </c>
      <c r="AJ23">
        <v>0</v>
      </c>
      <c r="AK23">
        <v>2895.7900000000018</v>
      </c>
      <c r="AL23">
        <v>29752.000000000051</v>
      </c>
      <c r="AM23">
        <v>34009.53000000005</v>
      </c>
      <c r="AN23">
        <v>4257.5300000000034</v>
      </c>
      <c r="AO23">
        <v>717</v>
      </c>
    </row>
    <row r="24" spans="1:41" x14ac:dyDescent="0.35">
      <c r="A24">
        <v>2024</v>
      </c>
      <c r="B24">
        <v>6</v>
      </c>
      <c r="C24">
        <v>23</v>
      </c>
      <c r="D24" s="1">
        <v>45446</v>
      </c>
      <c r="E24" s="2" t="s">
        <v>44</v>
      </c>
      <c r="F24" s="2" t="s">
        <v>42</v>
      </c>
      <c r="G24" s="2" t="s">
        <v>46</v>
      </c>
      <c r="H24" s="3">
        <v>55464.44</v>
      </c>
      <c r="I24" s="3">
        <v>55464.44</v>
      </c>
      <c r="J24" s="3">
        <v>0</v>
      </c>
      <c r="K24" s="3">
        <v>286.64000000000021</v>
      </c>
      <c r="L24" s="3">
        <v>286.64000000000021</v>
      </c>
      <c r="M24" s="3">
        <v>0</v>
      </c>
      <c r="N24" s="3">
        <v>1694.9100000000008</v>
      </c>
      <c r="O24" s="3">
        <v>1694.9100000000008</v>
      </c>
      <c r="P24" s="3">
        <v>0</v>
      </c>
      <c r="Q24" s="3">
        <v>-19727.140000000003</v>
      </c>
      <c r="R24" s="3">
        <v>-19104.140000000007</v>
      </c>
      <c r="S24" s="3">
        <v>623</v>
      </c>
      <c r="T24" s="3">
        <v>-1.97</v>
      </c>
      <c r="U24" s="3">
        <v>-1.97</v>
      </c>
      <c r="V24" s="3">
        <v>0</v>
      </c>
      <c r="W24" s="3">
        <v>-30.990000000000002</v>
      </c>
      <c r="X24" s="3">
        <v>-30.990000000000002</v>
      </c>
      <c r="Y24" s="3">
        <v>0</v>
      </c>
      <c r="Z24" s="3">
        <v>37685.889999999978</v>
      </c>
      <c r="AA24" s="3">
        <v>38308.88999999997</v>
      </c>
      <c r="AB24" s="3">
        <v>623</v>
      </c>
      <c r="AC24" s="3">
        <v>13742.739999999967</v>
      </c>
      <c r="AD24" s="3">
        <v>5489.5900000000056</v>
      </c>
      <c r="AE24" s="3">
        <v>-8253.1500000000087</v>
      </c>
      <c r="AF24" s="3">
        <v>23943.150000000023</v>
      </c>
      <c r="AG24" s="3">
        <v>32819.30000000001</v>
      </c>
      <c r="AH24" s="3">
        <v>8876.1500000000069</v>
      </c>
      <c r="AI24">
        <v>-2099.630000000001</v>
      </c>
      <c r="AJ24">
        <v>0</v>
      </c>
      <c r="AK24">
        <v>2099.630000000001</v>
      </c>
      <c r="AL24">
        <v>26042.78</v>
      </c>
      <c r="AM24">
        <v>32819.30000000001</v>
      </c>
      <c r="AN24">
        <v>6776.5200000000104</v>
      </c>
      <c r="AO24">
        <v>616</v>
      </c>
    </row>
    <row r="25" spans="1:41" x14ac:dyDescent="0.35">
      <c r="A25">
        <v>2024</v>
      </c>
      <c r="B25">
        <v>6</v>
      </c>
      <c r="C25">
        <v>23</v>
      </c>
      <c r="D25" s="1">
        <v>45447</v>
      </c>
      <c r="E25" s="2" t="s">
        <v>44</v>
      </c>
      <c r="F25" s="2" t="s">
        <v>42</v>
      </c>
      <c r="G25" s="2" t="s">
        <v>46</v>
      </c>
      <c r="H25" s="3">
        <v>40292.6</v>
      </c>
      <c r="I25" s="3">
        <v>40292.6</v>
      </c>
      <c r="J25" s="3">
        <v>0</v>
      </c>
      <c r="K25" s="3">
        <v>203.37999999999985</v>
      </c>
      <c r="L25" s="3">
        <v>203.37999999999985</v>
      </c>
      <c r="M25" s="3">
        <v>0</v>
      </c>
      <c r="N25" s="3">
        <v>1201.2300000000005</v>
      </c>
      <c r="O25" s="3">
        <v>1201.2300000000005</v>
      </c>
      <c r="P25" s="3">
        <v>0</v>
      </c>
      <c r="Q25" s="3">
        <v>-14365.899999999998</v>
      </c>
      <c r="R25" s="3">
        <v>-14093.899999999998</v>
      </c>
      <c r="S25" s="3">
        <v>272</v>
      </c>
      <c r="T25" s="3">
        <v>-0.97</v>
      </c>
      <c r="U25" s="3">
        <v>-0.97</v>
      </c>
      <c r="V25" s="3">
        <v>0</v>
      </c>
      <c r="W25" s="3">
        <v>-20.990000000000002</v>
      </c>
      <c r="X25" s="3">
        <v>-20.990000000000002</v>
      </c>
      <c r="Y25" s="3">
        <v>0</v>
      </c>
      <c r="Z25" s="3">
        <v>27309.350000000024</v>
      </c>
      <c r="AA25" s="3">
        <v>27581.350000000024</v>
      </c>
      <c r="AB25" s="3">
        <v>272</v>
      </c>
      <c r="AC25" s="3">
        <v>9646.3099999999959</v>
      </c>
      <c r="AD25" s="3">
        <v>4271.6900000000041</v>
      </c>
      <c r="AE25" s="3">
        <v>-5374.6200000000063</v>
      </c>
      <c r="AF25" s="3">
        <v>17663.040000000023</v>
      </c>
      <c r="AG25" s="3">
        <v>23309.66000000004</v>
      </c>
      <c r="AH25" s="3">
        <v>5646.6200000000063</v>
      </c>
      <c r="AI25">
        <v>-1697.9200000000008</v>
      </c>
      <c r="AJ25">
        <v>0</v>
      </c>
      <c r="AK25">
        <v>1697.9200000000008</v>
      </c>
      <c r="AL25">
        <v>19360.960000000021</v>
      </c>
      <c r="AM25">
        <v>23309.66000000004</v>
      </c>
      <c r="AN25">
        <v>3948.7000000000035</v>
      </c>
      <c r="AO25">
        <v>447</v>
      </c>
    </row>
    <row r="26" spans="1:41" x14ac:dyDescent="0.35">
      <c r="A26">
        <v>2024</v>
      </c>
      <c r="B26">
        <v>6</v>
      </c>
      <c r="C26">
        <v>23</v>
      </c>
      <c r="D26" s="1">
        <v>45448</v>
      </c>
      <c r="E26" s="2" t="s">
        <v>44</v>
      </c>
      <c r="F26" s="2" t="s">
        <v>42</v>
      </c>
      <c r="G26" s="2" t="s">
        <v>46</v>
      </c>
      <c r="H26" s="3">
        <v>50613.08</v>
      </c>
      <c r="I26" s="3">
        <v>50613.08</v>
      </c>
      <c r="J26" s="3">
        <v>0</v>
      </c>
      <c r="K26" s="3">
        <v>224.97999999999996</v>
      </c>
      <c r="L26" s="3">
        <v>224.97999999999996</v>
      </c>
      <c r="M26" s="3">
        <v>0</v>
      </c>
      <c r="N26" s="3">
        <v>1228.2400000000005</v>
      </c>
      <c r="O26" s="3">
        <v>1215.2500000000005</v>
      </c>
      <c r="P26" s="3">
        <v>-12.99</v>
      </c>
      <c r="Q26" s="3">
        <v>-17627.340000000004</v>
      </c>
      <c r="R26" s="3">
        <v>-17251.13</v>
      </c>
      <c r="S26" s="3">
        <v>376.21</v>
      </c>
      <c r="T26" s="3">
        <v>0</v>
      </c>
      <c r="U26" s="3">
        <v>0</v>
      </c>
      <c r="V26" s="3">
        <v>0</v>
      </c>
      <c r="W26" s="3">
        <v>-10</v>
      </c>
      <c r="X26" s="3">
        <v>-10</v>
      </c>
      <c r="Y26" s="3">
        <v>0</v>
      </c>
      <c r="Z26" s="3">
        <v>34428.959999999985</v>
      </c>
      <c r="AA26" s="3">
        <v>34792.179999999993</v>
      </c>
      <c r="AB26" s="3">
        <v>363.21999999999997</v>
      </c>
      <c r="AC26" s="3">
        <v>11819.319999999978</v>
      </c>
      <c r="AD26" s="3">
        <v>7556.5400000000081</v>
      </c>
      <c r="AE26" s="3">
        <v>-4262.7800000000061</v>
      </c>
      <c r="AF26" s="3">
        <v>22609.640000000029</v>
      </c>
      <c r="AG26" s="3">
        <v>27235.640000000021</v>
      </c>
      <c r="AH26" s="3">
        <v>4626.0000000000064</v>
      </c>
      <c r="AI26">
        <v>-2497.2499999999995</v>
      </c>
      <c r="AJ26">
        <v>0</v>
      </c>
      <c r="AK26">
        <v>2497.2499999999995</v>
      </c>
      <c r="AL26">
        <v>25106.890000000039</v>
      </c>
      <c r="AM26">
        <v>27235.640000000021</v>
      </c>
      <c r="AN26">
        <v>2128.7500000000009</v>
      </c>
      <c r="AO26">
        <v>571</v>
      </c>
    </row>
    <row r="27" spans="1:41" x14ac:dyDescent="0.35">
      <c r="A27">
        <v>2024</v>
      </c>
      <c r="B27">
        <v>6</v>
      </c>
      <c r="C27">
        <v>23</v>
      </c>
      <c r="D27" s="1">
        <v>45449</v>
      </c>
      <c r="E27" s="2" t="s">
        <v>44</v>
      </c>
      <c r="F27" s="2" t="s">
        <v>42</v>
      </c>
      <c r="G27" s="2" t="s">
        <v>46</v>
      </c>
      <c r="H27" s="3">
        <v>61487.51</v>
      </c>
      <c r="I27" s="3">
        <v>61487.51</v>
      </c>
      <c r="J27" s="3">
        <v>0</v>
      </c>
      <c r="K27" s="3">
        <v>326.67999999999944</v>
      </c>
      <c r="L27" s="3">
        <v>326.67999999999944</v>
      </c>
      <c r="M27" s="3">
        <v>0</v>
      </c>
      <c r="N27" s="3">
        <v>1286.1900000000005</v>
      </c>
      <c r="O27" s="3">
        <v>1270.2000000000005</v>
      </c>
      <c r="P27" s="3">
        <v>-15.99</v>
      </c>
      <c r="Q27" s="3">
        <v>-20784.05</v>
      </c>
      <c r="R27" s="3">
        <v>-20147.84</v>
      </c>
      <c r="S27" s="3">
        <v>636.21</v>
      </c>
      <c r="T27" s="3">
        <v>0</v>
      </c>
      <c r="U27" s="3">
        <v>0</v>
      </c>
      <c r="V27" s="3">
        <v>0</v>
      </c>
      <c r="W27" s="3">
        <v>-20</v>
      </c>
      <c r="X27" s="3">
        <v>-20</v>
      </c>
      <c r="Y27" s="3">
        <v>0</v>
      </c>
      <c r="Z27" s="3">
        <v>42296.329999999914</v>
      </c>
      <c r="AA27" s="3">
        <v>42916.549999999901</v>
      </c>
      <c r="AB27" s="3">
        <v>620.22</v>
      </c>
      <c r="AC27" s="3">
        <v>16375.119999999943</v>
      </c>
      <c r="AD27" s="3">
        <v>9094.2400000000034</v>
      </c>
      <c r="AE27" s="3">
        <v>-7280.8800000000083</v>
      </c>
      <c r="AF27" s="3">
        <v>25921.210000000065</v>
      </c>
      <c r="AG27" s="3">
        <v>33822.310000000012</v>
      </c>
      <c r="AH27" s="3">
        <v>7901.1000000000085</v>
      </c>
      <c r="AI27">
        <v>-3060.739999999998</v>
      </c>
      <c r="AJ27">
        <v>0</v>
      </c>
      <c r="AK27">
        <v>3060.739999999998</v>
      </c>
      <c r="AL27">
        <v>28981.950000000008</v>
      </c>
      <c r="AM27">
        <v>33822.310000000012</v>
      </c>
      <c r="AN27">
        <v>4840.3600000000097</v>
      </c>
      <c r="AO27">
        <v>695</v>
      </c>
    </row>
    <row r="28" spans="1:41" x14ac:dyDescent="0.35">
      <c r="A28">
        <v>2024</v>
      </c>
      <c r="B28">
        <v>6</v>
      </c>
      <c r="C28">
        <v>23</v>
      </c>
      <c r="D28" s="1">
        <v>45450</v>
      </c>
      <c r="E28" s="2" t="s">
        <v>44</v>
      </c>
      <c r="F28" s="2" t="s">
        <v>42</v>
      </c>
      <c r="G28" s="2" t="s">
        <v>46</v>
      </c>
      <c r="H28" s="3">
        <v>68374.399999999994</v>
      </c>
      <c r="I28" s="3">
        <v>68374.399999999994</v>
      </c>
      <c r="J28" s="3">
        <v>0</v>
      </c>
      <c r="K28" s="3">
        <v>528.26999999999839</v>
      </c>
      <c r="L28" s="3">
        <v>528.26999999999839</v>
      </c>
      <c r="M28" s="3">
        <v>0</v>
      </c>
      <c r="N28" s="3">
        <v>1376.1200000000006</v>
      </c>
      <c r="O28" s="3">
        <v>1376.1200000000006</v>
      </c>
      <c r="P28" s="3">
        <v>0</v>
      </c>
      <c r="Q28" s="3">
        <v>-22998.25</v>
      </c>
      <c r="R28" s="3">
        <v>-22520.25</v>
      </c>
      <c r="S28" s="3">
        <v>478</v>
      </c>
      <c r="T28" s="3">
        <v>-7</v>
      </c>
      <c r="U28" s="3">
        <v>-7</v>
      </c>
      <c r="V28" s="3">
        <v>0</v>
      </c>
      <c r="W28" s="3">
        <v>-20</v>
      </c>
      <c r="X28" s="3">
        <v>-20</v>
      </c>
      <c r="Y28" s="3">
        <v>0</v>
      </c>
      <c r="Z28" s="3">
        <v>47253.539999999884</v>
      </c>
      <c r="AA28" s="3">
        <v>47731.539999999877</v>
      </c>
      <c r="AB28" s="3">
        <v>478</v>
      </c>
      <c r="AC28" s="3">
        <v>17766.289999999946</v>
      </c>
      <c r="AD28" s="3">
        <v>8996.8200000000033</v>
      </c>
      <c r="AE28" s="3">
        <v>-8769.4700000000048</v>
      </c>
      <c r="AF28" s="3">
        <v>29487.250000000065</v>
      </c>
      <c r="AG28" s="3">
        <v>38734.719999999965</v>
      </c>
      <c r="AH28" s="3">
        <v>9247.4700000000048</v>
      </c>
      <c r="AI28">
        <v>-2972.760000000002</v>
      </c>
      <c r="AJ28">
        <v>14.26</v>
      </c>
      <c r="AK28">
        <v>2987.0200000000018</v>
      </c>
      <c r="AL28">
        <v>32460.010000000035</v>
      </c>
      <c r="AM28">
        <v>38720.459999999955</v>
      </c>
      <c r="AN28">
        <v>6260.450000000008</v>
      </c>
      <c r="AO28">
        <v>783</v>
      </c>
    </row>
    <row r="29" spans="1:41" x14ac:dyDescent="0.35">
      <c r="A29">
        <v>2024</v>
      </c>
      <c r="B29">
        <v>6</v>
      </c>
      <c r="C29">
        <v>23</v>
      </c>
      <c r="D29" s="1">
        <v>45451</v>
      </c>
      <c r="E29" s="2" t="s">
        <v>44</v>
      </c>
      <c r="F29" s="2" t="s">
        <v>42</v>
      </c>
      <c r="G29" s="2" t="s">
        <v>46</v>
      </c>
      <c r="H29" s="3">
        <v>69862.759999999995</v>
      </c>
      <c r="I29" s="3">
        <v>69862.759999999995</v>
      </c>
      <c r="J29" s="3">
        <v>0</v>
      </c>
      <c r="K29" s="3">
        <v>338.74999999999926</v>
      </c>
      <c r="L29" s="3">
        <v>338.74999999999926</v>
      </c>
      <c r="M29" s="3">
        <v>0</v>
      </c>
      <c r="N29" s="3">
        <v>1641.9600000000007</v>
      </c>
      <c r="O29" s="3">
        <v>1625.9700000000007</v>
      </c>
      <c r="P29" s="3">
        <v>-15.99</v>
      </c>
      <c r="Q29" s="3">
        <v>-23609.38</v>
      </c>
      <c r="R29" s="3">
        <v>-23161.38</v>
      </c>
      <c r="S29" s="3">
        <v>448</v>
      </c>
      <c r="T29" s="3">
        <v>-7</v>
      </c>
      <c r="U29" s="3">
        <v>-7</v>
      </c>
      <c r="V29" s="3">
        <v>0</v>
      </c>
      <c r="W29" s="3">
        <v>-30.7</v>
      </c>
      <c r="X29" s="3">
        <v>-30.7</v>
      </c>
      <c r="Y29" s="3">
        <v>0</v>
      </c>
      <c r="Z29" s="3">
        <v>48196.389999999876</v>
      </c>
      <c r="AA29" s="3">
        <v>48628.399999999863</v>
      </c>
      <c r="AB29" s="3">
        <v>432.01</v>
      </c>
      <c r="AC29" s="3">
        <v>17441.439999999951</v>
      </c>
      <c r="AD29" s="3">
        <v>8716.2300000000014</v>
      </c>
      <c r="AE29" s="3">
        <v>-8725.2100000000009</v>
      </c>
      <c r="AF29" s="3">
        <v>30754.950000000037</v>
      </c>
      <c r="AG29" s="3">
        <v>39912.169999999955</v>
      </c>
      <c r="AH29" s="3">
        <v>9157.2199999999975</v>
      </c>
      <c r="AI29">
        <v>-2807.1799999999944</v>
      </c>
      <c r="AJ29">
        <v>0</v>
      </c>
      <c r="AK29">
        <v>2807.1799999999944</v>
      </c>
      <c r="AL29">
        <v>33562.130000000019</v>
      </c>
      <c r="AM29">
        <v>39912.169999999955</v>
      </c>
      <c r="AN29">
        <v>6350.0400000000036</v>
      </c>
      <c r="AO29">
        <v>808</v>
      </c>
    </row>
    <row r="30" spans="1:41" x14ac:dyDescent="0.35">
      <c r="A30">
        <v>2024</v>
      </c>
      <c r="B30">
        <v>6</v>
      </c>
      <c r="C30">
        <v>23</v>
      </c>
      <c r="D30" s="1">
        <v>45445</v>
      </c>
      <c r="E30" s="2" t="s">
        <v>44</v>
      </c>
      <c r="F30" s="2" t="s">
        <v>47</v>
      </c>
      <c r="G30" s="2" t="s">
        <v>48</v>
      </c>
      <c r="H30" s="3">
        <v>31251.099999999897</v>
      </c>
      <c r="I30" s="3">
        <v>31251.099999999897</v>
      </c>
      <c r="J30" s="3">
        <v>0</v>
      </c>
      <c r="K30" s="3">
        <v>1565.1200000000015</v>
      </c>
      <c r="L30" s="3">
        <v>2209.8200000000015</v>
      </c>
      <c r="M30" s="3">
        <v>644.70000000000005</v>
      </c>
      <c r="N30" s="3">
        <v>127.91999999999999</v>
      </c>
      <c r="O30" s="3">
        <v>127.91999999999999</v>
      </c>
      <c r="P30" s="3">
        <v>0</v>
      </c>
      <c r="Q30" s="3">
        <v>-7067.5000000000045</v>
      </c>
      <c r="R30" s="3">
        <v>-7067.5000000000045</v>
      </c>
      <c r="S30" s="3">
        <v>0</v>
      </c>
      <c r="T30" s="3">
        <v>-32.5</v>
      </c>
      <c r="U30" s="3">
        <v>-32.5</v>
      </c>
      <c r="V30" s="3">
        <v>0</v>
      </c>
      <c r="W30" s="3">
        <v>0</v>
      </c>
      <c r="X30" s="3">
        <v>0</v>
      </c>
      <c r="Y30" s="3">
        <v>0</v>
      </c>
      <c r="Z30" s="3">
        <v>25844.139999999956</v>
      </c>
      <c r="AA30" s="3">
        <v>26488.839999999967</v>
      </c>
      <c r="AB30" s="3">
        <v>644.70000000000005</v>
      </c>
      <c r="AC30" s="3">
        <v>30</v>
      </c>
      <c r="AD30" s="3">
        <v>30</v>
      </c>
      <c r="AE30" s="3">
        <v>0</v>
      </c>
      <c r="AF30" s="3">
        <v>25814.139999999956</v>
      </c>
      <c r="AG30" s="3">
        <v>26458.839999999967</v>
      </c>
      <c r="AH30" s="3">
        <v>644.70000000000005</v>
      </c>
      <c r="AI30">
        <v>6296.2999999999975</v>
      </c>
      <c r="AJ30">
        <v>0</v>
      </c>
      <c r="AK30">
        <v>-6296.2999999999975</v>
      </c>
      <c r="AL30">
        <v>19517.840000000117</v>
      </c>
      <c r="AM30">
        <v>26458.839999999967</v>
      </c>
      <c r="AN30">
        <v>6940.9999999999964</v>
      </c>
      <c r="AO30">
        <v>683</v>
      </c>
    </row>
    <row r="31" spans="1:41" x14ac:dyDescent="0.35">
      <c r="A31">
        <v>2024</v>
      </c>
      <c r="B31">
        <v>6</v>
      </c>
      <c r="C31">
        <v>23</v>
      </c>
      <c r="D31" s="1">
        <v>45446</v>
      </c>
      <c r="E31" s="2" t="s">
        <v>44</v>
      </c>
      <c r="F31" s="2" t="s">
        <v>47</v>
      </c>
      <c r="G31" s="2" t="s">
        <v>48</v>
      </c>
      <c r="H31" s="3">
        <v>11120.65</v>
      </c>
      <c r="I31" s="3">
        <v>11120.65</v>
      </c>
      <c r="J31" s="3">
        <v>0</v>
      </c>
      <c r="K31" s="3">
        <v>72.62</v>
      </c>
      <c r="L31" s="3">
        <v>72.62</v>
      </c>
      <c r="M31" s="3">
        <v>0</v>
      </c>
      <c r="N31" s="3">
        <v>1166.2800000000004</v>
      </c>
      <c r="O31" s="3">
        <v>1166.2800000000004</v>
      </c>
      <c r="P31" s="3">
        <v>0</v>
      </c>
      <c r="Q31" s="3">
        <v>-3838.400000000006</v>
      </c>
      <c r="R31" s="3">
        <v>-3838.400000000006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8521.1500000000124</v>
      </c>
      <c r="AA31" s="3">
        <v>8521.1500000000124</v>
      </c>
      <c r="AB31" s="3">
        <v>0</v>
      </c>
      <c r="AC31" s="3">
        <v>88.25</v>
      </c>
      <c r="AD31" s="3">
        <v>58.25</v>
      </c>
      <c r="AE31" s="3">
        <v>-30</v>
      </c>
      <c r="AF31" s="3">
        <v>8432.9000000000124</v>
      </c>
      <c r="AG31" s="3">
        <v>8462.9000000000124</v>
      </c>
      <c r="AH31" s="3">
        <v>30</v>
      </c>
      <c r="AI31">
        <v>2194.2799999999979</v>
      </c>
      <c r="AJ31">
        <v>0</v>
      </c>
      <c r="AK31">
        <v>-2194.2799999999979</v>
      </c>
      <c r="AL31">
        <v>6238.6199999999972</v>
      </c>
      <c r="AM31">
        <v>8462.9000000000124</v>
      </c>
      <c r="AN31">
        <v>2224.2799999999993</v>
      </c>
      <c r="AO31">
        <v>143</v>
      </c>
    </row>
    <row r="32" spans="1:41" x14ac:dyDescent="0.35">
      <c r="A32">
        <v>2024</v>
      </c>
      <c r="B32">
        <v>6</v>
      </c>
      <c r="C32">
        <v>23</v>
      </c>
      <c r="D32" s="1">
        <v>45447</v>
      </c>
      <c r="E32" s="2" t="s">
        <v>44</v>
      </c>
      <c r="F32" s="2" t="s">
        <v>47</v>
      </c>
      <c r="G32" s="2" t="s">
        <v>48</v>
      </c>
      <c r="H32" s="3">
        <v>852</v>
      </c>
      <c r="I32" s="3">
        <v>852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-275.64999999999998</v>
      </c>
      <c r="R32" s="3">
        <v>-275.64999999999998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576.35</v>
      </c>
      <c r="AA32" s="3">
        <v>576.35</v>
      </c>
      <c r="AB32" s="3">
        <v>0</v>
      </c>
      <c r="AC32" s="3">
        <v>85.75</v>
      </c>
      <c r="AD32" s="3">
        <v>27.5</v>
      </c>
      <c r="AE32" s="3">
        <v>-58.25</v>
      </c>
      <c r="AF32" s="3">
        <v>490.6</v>
      </c>
      <c r="AG32" s="3">
        <v>548.85</v>
      </c>
      <c r="AH32" s="3">
        <v>58.25</v>
      </c>
      <c r="AI32">
        <v>86.350000000000023</v>
      </c>
      <c r="AJ32">
        <v>0</v>
      </c>
      <c r="AK32">
        <v>-86.350000000000023</v>
      </c>
      <c r="AL32">
        <v>404.25</v>
      </c>
      <c r="AM32">
        <v>548.85</v>
      </c>
      <c r="AN32">
        <v>144.60000000000002</v>
      </c>
      <c r="AO32">
        <v>10</v>
      </c>
    </row>
    <row r="33" spans="1:41" x14ac:dyDescent="0.35">
      <c r="A33">
        <v>2024</v>
      </c>
      <c r="B33">
        <v>6</v>
      </c>
      <c r="C33">
        <v>23</v>
      </c>
      <c r="D33" s="1">
        <v>45448</v>
      </c>
      <c r="E33" s="2" t="s">
        <v>44</v>
      </c>
      <c r="F33" s="2" t="s">
        <v>47</v>
      </c>
      <c r="G33" s="2" t="s">
        <v>48</v>
      </c>
      <c r="H33" s="3">
        <v>3699.7000000000089</v>
      </c>
      <c r="I33" s="3">
        <v>3699.7000000000089</v>
      </c>
      <c r="J33" s="3">
        <v>0</v>
      </c>
      <c r="K33" s="3">
        <v>370.39999999999992</v>
      </c>
      <c r="L33" s="3">
        <v>370.39999999999992</v>
      </c>
      <c r="M33" s="3">
        <v>0</v>
      </c>
      <c r="N33" s="3">
        <v>15.99</v>
      </c>
      <c r="O33" s="3">
        <v>15.99</v>
      </c>
      <c r="P33" s="3">
        <v>0</v>
      </c>
      <c r="Q33" s="3">
        <v>-528.09999999999991</v>
      </c>
      <c r="R33" s="3">
        <v>-528.09999999999991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3557.9900000000061</v>
      </c>
      <c r="AA33" s="3">
        <v>3557.9900000000061</v>
      </c>
      <c r="AB33" s="3">
        <v>0</v>
      </c>
      <c r="AC33" s="3">
        <v>54.59</v>
      </c>
      <c r="AD33" s="3">
        <v>27.09</v>
      </c>
      <c r="AE33" s="3">
        <v>-27.5</v>
      </c>
      <c r="AF33" s="3">
        <v>3503.400000000006</v>
      </c>
      <c r="AG33" s="3">
        <v>3530.900000000006</v>
      </c>
      <c r="AH33" s="3">
        <v>27.5</v>
      </c>
      <c r="AI33">
        <v>1106.8999999999996</v>
      </c>
      <c r="AJ33">
        <v>0</v>
      </c>
      <c r="AK33">
        <v>-1106.8999999999996</v>
      </c>
      <c r="AL33">
        <v>2396.5</v>
      </c>
      <c r="AM33">
        <v>3530.900000000006</v>
      </c>
      <c r="AN33">
        <v>1134.3999999999996</v>
      </c>
      <c r="AO33">
        <v>126</v>
      </c>
    </row>
    <row r="34" spans="1:41" x14ac:dyDescent="0.35">
      <c r="A34">
        <v>2024</v>
      </c>
      <c r="B34">
        <v>6</v>
      </c>
      <c r="C34">
        <v>23</v>
      </c>
      <c r="D34" s="1">
        <v>45449</v>
      </c>
      <c r="E34" s="2" t="s">
        <v>44</v>
      </c>
      <c r="F34" s="2" t="s">
        <v>47</v>
      </c>
      <c r="G34" s="2" t="s">
        <v>48</v>
      </c>
      <c r="H34" s="3">
        <v>7306.5300000000125</v>
      </c>
      <c r="I34" s="3">
        <v>7306.5300000000125</v>
      </c>
      <c r="J34" s="3">
        <v>0</v>
      </c>
      <c r="K34" s="3">
        <v>768.60000000000025</v>
      </c>
      <c r="L34" s="3">
        <v>768.60000000000025</v>
      </c>
      <c r="M34" s="3">
        <v>0</v>
      </c>
      <c r="N34" s="3">
        <v>24.98</v>
      </c>
      <c r="O34" s="3">
        <v>24.98</v>
      </c>
      <c r="P34" s="3">
        <v>0</v>
      </c>
      <c r="Q34" s="3">
        <v>-1034.7500000000002</v>
      </c>
      <c r="R34" s="3">
        <v>-1026.7500000000002</v>
      </c>
      <c r="S34" s="3">
        <v>8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7065.3600000000097</v>
      </c>
      <c r="AA34" s="3">
        <v>7073.3600000000097</v>
      </c>
      <c r="AB34" s="3">
        <v>8</v>
      </c>
      <c r="AC34" s="3">
        <v>28.759999999999998</v>
      </c>
      <c r="AD34" s="3"/>
      <c r="AE34" s="3">
        <v>-28.759999999999998</v>
      </c>
      <c r="AF34" s="3">
        <v>7036.6000000000095</v>
      </c>
      <c r="AG34" s="3">
        <v>7073.3600000000097</v>
      </c>
      <c r="AH34" s="3">
        <v>36.76</v>
      </c>
      <c r="AI34">
        <v>2354.9599999999982</v>
      </c>
      <c r="AJ34">
        <v>21.34</v>
      </c>
      <c r="AK34">
        <v>-2333.619999999999</v>
      </c>
      <c r="AL34">
        <v>4681.6400000000012</v>
      </c>
      <c r="AM34">
        <v>7052.0200000000104</v>
      </c>
      <c r="AN34">
        <v>2370.3799999999983</v>
      </c>
      <c r="AO34">
        <v>277</v>
      </c>
    </row>
    <row r="35" spans="1:41" x14ac:dyDescent="0.35">
      <c r="A35">
        <v>2024</v>
      </c>
      <c r="B35">
        <v>6</v>
      </c>
      <c r="C35">
        <v>23</v>
      </c>
      <c r="D35" s="1">
        <v>45450</v>
      </c>
      <c r="E35" s="2" t="s">
        <v>44</v>
      </c>
      <c r="F35" s="2" t="s">
        <v>47</v>
      </c>
      <c r="G35" s="2" t="s">
        <v>48</v>
      </c>
      <c r="H35" s="3">
        <v>13073.549999999936</v>
      </c>
      <c r="I35" s="3">
        <v>13073.549999999936</v>
      </c>
      <c r="J35" s="3">
        <v>0</v>
      </c>
      <c r="K35" s="3">
        <v>765.00000000000023</v>
      </c>
      <c r="L35" s="3">
        <v>765.00000000000023</v>
      </c>
      <c r="M35" s="3">
        <v>0</v>
      </c>
      <c r="N35" s="3">
        <v>50.97</v>
      </c>
      <c r="O35" s="3">
        <v>50.97</v>
      </c>
      <c r="P35" s="3">
        <v>0</v>
      </c>
      <c r="Q35" s="3">
        <v>-5631.8899999999967</v>
      </c>
      <c r="R35" s="3">
        <v>-5631.8899999999967</v>
      </c>
      <c r="S35" s="3">
        <v>0</v>
      </c>
      <c r="T35" s="3">
        <v>-17.630000000000003</v>
      </c>
      <c r="U35" s="3">
        <v>-17.630000000000003</v>
      </c>
      <c r="V35" s="3">
        <v>0</v>
      </c>
      <c r="W35" s="3">
        <v>0</v>
      </c>
      <c r="X35" s="3">
        <v>0</v>
      </c>
      <c r="Y35" s="3">
        <v>0</v>
      </c>
      <c r="Z35" s="3">
        <v>8240.0000000000218</v>
      </c>
      <c r="AA35" s="3">
        <v>8240.0000000000218</v>
      </c>
      <c r="AB35" s="3">
        <v>0</v>
      </c>
      <c r="AC35" s="3">
        <v>1785.7400000000014</v>
      </c>
      <c r="AD35" s="3">
        <v>1785.7400000000014</v>
      </c>
      <c r="AE35" s="3">
        <v>0</v>
      </c>
      <c r="AF35" s="3">
        <v>6454.2600000000184</v>
      </c>
      <c r="AG35" s="3">
        <v>6454.2600000000184</v>
      </c>
      <c r="AH35" s="3">
        <v>0</v>
      </c>
      <c r="AI35">
        <v>1905.2899999999952</v>
      </c>
      <c r="AJ35">
        <v>0</v>
      </c>
      <c r="AK35">
        <v>-1905.2899999999952</v>
      </c>
      <c r="AL35">
        <v>4548.9699999999957</v>
      </c>
      <c r="AM35">
        <v>6454.2600000000184</v>
      </c>
      <c r="AN35">
        <v>1905.289999999995</v>
      </c>
      <c r="AO35">
        <v>312</v>
      </c>
    </row>
    <row r="36" spans="1:41" x14ac:dyDescent="0.35">
      <c r="A36">
        <v>2024</v>
      </c>
      <c r="B36">
        <v>6</v>
      </c>
      <c r="C36">
        <v>23</v>
      </c>
      <c r="D36" s="1">
        <v>45451</v>
      </c>
      <c r="E36" s="2" t="s">
        <v>44</v>
      </c>
      <c r="F36" s="2" t="s">
        <v>47</v>
      </c>
      <c r="G36" s="2" t="s">
        <v>48</v>
      </c>
      <c r="H36" s="3">
        <v>14265.649999999994</v>
      </c>
      <c r="I36" s="3">
        <v>14265.649999999994</v>
      </c>
      <c r="J36" s="3">
        <v>0</v>
      </c>
      <c r="K36" s="3">
        <v>680.60000000000025</v>
      </c>
      <c r="L36" s="3">
        <v>711.3000000000003</v>
      </c>
      <c r="M36" s="3">
        <v>30.7</v>
      </c>
      <c r="N36" s="3">
        <v>59.960000000000008</v>
      </c>
      <c r="O36" s="3">
        <v>59.960000000000008</v>
      </c>
      <c r="P36" s="3">
        <v>0</v>
      </c>
      <c r="Q36" s="3">
        <v>-5777.6399999999985</v>
      </c>
      <c r="R36" s="3">
        <v>-5777.6399999999985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9228.570000000007</v>
      </c>
      <c r="AA36" s="3">
        <v>9259.2700000000059</v>
      </c>
      <c r="AB36" s="3">
        <v>30.7</v>
      </c>
      <c r="AC36" s="3">
        <v>1815.4600000000014</v>
      </c>
      <c r="AD36" s="3">
        <v>29.720000000000002</v>
      </c>
      <c r="AE36" s="3">
        <v>-1785.7400000000016</v>
      </c>
      <c r="AF36" s="3">
        <v>7413.110000000006</v>
      </c>
      <c r="AG36" s="3">
        <v>9229.5500000000084</v>
      </c>
      <c r="AH36" s="3">
        <v>1816.4400000000014</v>
      </c>
      <c r="AI36">
        <v>2660.9599999999991</v>
      </c>
      <c r="AJ36">
        <v>0</v>
      </c>
      <c r="AK36">
        <v>-2660.9599999999991</v>
      </c>
      <c r="AL36">
        <v>4752.1499999999951</v>
      </c>
      <c r="AM36">
        <v>9229.5500000000084</v>
      </c>
      <c r="AN36">
        <v>4477.399999999996</v>
      </c>
      <c r="AO36">
        <v>334</v>
      </c>
    </row>
    <row r="37" spans="1:41" x14ac:dyDescent="0.35">
      <c r="A37">
        <v>2024</v>
      </c>
      <c r="B37">
        <v>6</v>
      </c>
      <c r="C37">
        <v>23</v>
      </c>
      <c r="D37" s="1">
        <v>45445</v>
      </c>
      <c r="E37" s="2" t="s">
        <v>44</v>
      </c>
      <c r="F37" s="2" t="s">
        <v>47</v>
      </c>
      <c r="G37" s="2" t="s">
        <v>49</v>
      </c>
      <c r="H37" s="3">
        <v>16615.199999999997</v>
      </c>
      <c r="I37" s="3">
        <v>16615.199999999997</v>
      </c>
      <c r="J37" s="3">
        <v>0</v>
      </c>
      <c r="K37" s="3">
        <v>321.37</v>
      </c>
      <c r="L37" s="3">
        <v>321.37</v>
      </c>
      <c r="M37" s="3">
        <v>0</v>
      </c>
      <c r="N37" s="3">
        <v>221.87000000000003</v>
      </c>
      <c r="O37" s="3">
        <v>221.87000000000003</v>
      </c>
      <c r="P37" s="3">
        <v>0</v>
      </c>
      <c r="Q37" s="3">
        <v>-5363.77</v>
      </c>
      <c r="R37" s="3">
        <v>-5328.77</v>
      </c>
      <c r="S37" s="3">
        <v>35</v>
      </c>
      <c r="T37" s="3">
        <v>-30.1</v>
      </c>
      <c r="U37" s="3">
        <v>-30.1</v>
      </c>
      <c r="V37" s="3">
        <v>0</v>
      </c>
      <c r="W37" s="3">
        <v>-20.990000000000002</v>
      </c>
      <c r="X37" s="3">
        <v>-20.990000000000002</v>
      </c>
      <c r="Y37" s="3">
        <v>0</v>
      </c>
      <c r="Z37" s="3">
        <v>11743.579999999998</v>
      </c>
      <c r="AA37" s="3">
        <v>11778.579999999998</v>
      </c>
      <c r="AB37" s="3">
        <v>35</v>
      </c>
      <c r="AC37" s="3">
        <v>805.2</v>
      </c>
      <c r="AD37" s="3">
        <v>334.53</v>
      </c>
      <c r="AE37" s="3">
        <v>-470.67</v>
      </c>
      <c r="AF37" s="3">
        <v>10938.379999999997</v>
      </c>
      <c r="AG37" s="3">
        <v>11444.05</v>
      </c>
      <c r="AH37" s="3">
        <v>505.67000000000007</v>
      </c>
      <c r="AI37">
        <v>2010.7199999999989</v>
      </c>
      <c r="AJ37">
        <v>0</v>
      </c>
      <c r="AK37">
        <v>-2010.7199999999989</v>
      </c>
      <c r="AL37">
        <v>8927.6599999999962</v>
      </c>
      <c r="AM37">
        <v>11444.05</v>
      </c>
      <c r="AN37">
        <v>2516.389999999999</v>
      </c>
      <c r="AO37">
        <v>248</v>
      </c>
    </row>
    <row r="38" spans="1:41" x14ac:dyDescent="0.35">
      <c r="A38">
        <v>2024</v>
      </c>
      <c r="B38">
        <v>6</v>
      </c>
      <c r="C38">
        <v>23</v>
      </c>
      <c r="D38" s="1">
        <v>45446</v>
      </c>
      <c r="E38" s="2" t="s">
        <v>44</v>
      </c>
      <c r="F38" s="2" t="s">
        <v>47</v>
      </c>
      <c r="G38" s="2" t="s">
        <v>49</v>
      </c>
      <c r="H38" s="3">
        <v>9658</v>
      </c>
      <c r="I38" s="3">
        <v>9658</v>
      </c>
      <c r="J38" s="3">
        <v>0</v>
      </c>
      <c r="K38" s="3">
        <v>164.97000000000003</v>
      </c>
      <c r="L38" s="3">
        <v>164.97000000000003</v>
      </c>
      <c r="M38" s="3">
        <v>0</v>
      </c>
      <c r="N38" s="3">
        <v>91.95</v>
      </c>
      <c r="O38" s="3">
        <v>91.95</v>
      </c>
      <c r="P38" s="3">
        <v>0</v>
      </c>
      <c r="Q38" s="3">
        <v>-3523.7000000000007</v>
      </c>
      <c r="R38" s="3">
        <v>-3512.7000000000007</v>
      </c>
      <c r="S38" s="3">
        <v>11</v>
      </c>
      <c r="T38" s="3">
        <v>-31.25</v>
      </c>
      <c r="U38" s="3">
        <v>-31.25</v>
      </c>
      <c r="V38" s="3">
        <v>0</v>
      </c>
      <c r="W38" s="3">
        <v>-15.99</v>
      </c>
      <c r="X38" s="3">
        <v>-15.99</v>
      </c>
      <c r="Y38" s="3">
        <v>0</v>
      </c>
      <c r="Z38" s="3">
        <v>6343.9800000000014</v>
      </c>
      <c r="AA38" s="3">
        <v>6354.9800000000014</v>
      </c>
      <c r="AB38" s="3">
        <v>11</v>
      </c>
      <c r="AC38" s="3">
        <v>485.22999999999996</v>
      </c>
      <c r="AD38" s="3">
        <v>180</v>
      </c>
      <c r="AE38" s="3">
        <v>-305.23</v>
      </c>
      <c r="AF38" s="3">
        <v>5858.7500000000018</v>
      </c>
      <c r="AG38" s="3">
        <v>6174.9800000000014</v>
      </c>
      <c r="AH38" s="3">
        <v>316.23</v>
      </c>
      <c r="AI38">
        <v>1090.2700000000004</v>
      </c>
      <c r="AJ38">
        <v>0</v>
      </c>
      <c r="AK38">
        <v>-1090.2700000000004</v>
      </c>
      <c r="AL38">
        <v>4768.4800000000005</v>
      </c>
      <c r="AM38">
        <v>6174.9800000000014</v>
      </c>
      <c r="AN38">
        <v>1406.4999999999995</v>
      </c>
      <c r="AO38">
        <v>118</v>
      </c>
    </row>
    <row r="39" spans="1:41" x14ac:dyDescent="0.35">
      <c r="A39">
        <v>2024</v>
      </c>
      <c r="B39">
        <v>6</v>
      </c>
      <c r="C39">
        <v>23</v>
      </c>
      <c r="D39" s="1">
        <v>45447</v>
      </c>
      <c r="E39" s="2" t="s">
        <v>44</v>
      </c>
      <c r="F39" s="2" t="s">
        <v>47</v>
      </c>
      <c r="G39" s="2" t="s">
        <v>49</v>
      </c>
      <c r="H39" s="3">
        <v>1941</v>
      </c>
      <c r="I39" s="3">
        <v>1941</v>
      </c>
      <c r="J39" s="3">
        <v>0</v>
      </c>
      <c r="K39" s="3">
        <v>24.82</v>
      </c>
      <c r="L39" s="3">
        <v>24.82</v>
      </c>
      <c r="M39" s="3">
        <v>0</v>
      </c>
      <c r="N39" s="3">
        <v>0</v>
      </c>
      <c r="O39" s="3">
        <v>0</v>
      </c>
      <c r="P39" s="3">
        <v>0</v>
      </c>
      <c r="Q39" s="3">
        <v>-825.95</v>
      </c>
      <c r="R39" s="3">
        <v>-825.95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1139.8700000000001</v>
      </c>
      <c r="AA39" s="3">
        <v>1139.8700000000001</v>
      </c>
      <c r="AB39" s="3">
        <v>0</v>
      </c>
      <c r="AC39" s="3">
        <v>315.06</v>
      </c>
      <c r="AD39" s="3">
        <v>117.5</v>
      </c>
      <c r="AE39" s="3">
        <v>-197.56</v>
      </c>
      <c r="AF39" s="3">
        <v>824.81000000000006</v>
      </c>
      <c r="AG39" s="3">
        <v>1022.3700000000001</v>
      </c>
      <c r="AH39" s="3">
        <v>197.56</v>
      </c>
      <c r="AI39">
        <v>-36.519999999999996</v>
      </c>
      <c r="AJ39">
        <v>2.87</v>
      </c>
      <c r="AK39">
        <v>39.39</v>
      </c>
      <c r="AL39">
        <v>861.32999999999993</v>
      </c>
      <c r="AM39">
        <v>1019.5000000000001</v>
      </c>
      <c r="AN39">
        <v>158.17000000000004</v>
      </c>
      <c r="AO39">
        <v>22</v>
      </c>
    </row>
    <row r="40" spans="1:41" x14ac:dyDescent="0.35">
      <c r="A40">
        <v>2024</v>
      </c>
      <c r="B40">
        <v>6</v>
      </c>
      <c r="C40">
        <v>23</v>
      </c>
      <c r="D40" s="1">
        <v>45448</v>
      </c>
      <c r="E40" s="2" t="s">
        <v>44</v>
      </c>
      <c r="F40" s="2" t="s">
        <v>47</v>
      </c>
      <c r="G40" s="2" t="s">
        <v>49</v>
      </c>
      <c r="H40" s="3">
        <v>5295.15</v>
      </c>
      <c r="I40" s="3">
        <v>5295.15</v>
      </c>
      <c r="J40" s="3">
        <v>0</v>
      </c>
      <c r="K40" s="3">
        <v>64.59</v>
      </c>
      <c r="L40" s="3">
        <v>64.59</v>
      </c>
      <c r="M40" s="3">
        <v>0</v>
      </c>
      <c r="N40" s="3">
        <v>76.960000000000008</v>
      </c>
      <c r="O40" s="3">
        <v>76.960000000000008</v>
      </c>
      <c r="P40" s="3">
        <v>0</v>
      </c>
      <c r="Q40" s="3">
        <v>-2089.5500000000002</v>
      </c>
      <c r="R40" s="3">
        <v>-2082.5500000000002</v>
      </c>
      <c r="S40" s="3">
        <v>7</v>
      </c>
      <c r="T40" s="3">
        <v>-5</v>
      </c>
      <c r="U40" s="3">
        <v>-5</v>
      </c>
      <c r="V40" s="3">
        <v>0</v>
      </c>
      <c r="W40" s="3">
        <v>0</v>
      </c>
      <c r="X40" s="3">
        <v>0</v>
      </c>
      <c r="Y40" s="3">
        <v>0</v>
      </c>
      <c r="Z40" s="3">
        <v>3342.1499999999992</v>
      </c>
      <c r="AA40" s="3">
        <v>3349.1499999999996</v>
      </c>
      <c r="AB40" s="3">
        <v>7</v>
      </c>
      <c r="AC40" s="3">
        <v>387.64000000000004</v>
      </c>
      <c r="AD40" s="3">
        <v>270.14</v>
      </c>
      <c r="AE40" s="3">
        <v>-117.5</v>
      </c>
      <c r="AF40" s="3">
        <v>2954.5099999999993</v>
      </c>
      <c r="AG40" s="3">
        <v>3079.0099999999993</v>
      </c>
      <c r="AH40" s="3">
        <v>124.5</v>
      </c>
      <c r="AI40">
        <v>507.77000000000032</v>
      </c>
      <c r="AJ40">
        <v>0</v>
      </c>
      <c r="AK40">
        <v>-507.77000000000032</v>
      </c>
      <c r="AL40">
        <v>2446.7399999999998</v>
      </c>
      <c r="AM40">
        <v>3079.0099999999993</v>
      </c>
      <c r="AN40">
        <v>632.2700000000001</v>
      </c>
      <c r="AO40">
        <v>59</v>
      </c>
    </row>
    <row r="41" spans="1:41" x14ac:dyDescent="0.35">
      <c r="A41">
        <v>2024</v>
      </c>
      <c r="B41">
        <v>6</v>
      </c>
      <c r="C41">
        <v>23</v>
      </c>
      <c r="D41" s="1">
        <v>45449</v>
      </c>
      <c r="E41" s="2" t="s">
        <v>44</v>
      </c>
      <c r="F41" s="2" t="s">
        <v>47</v>
      </c>
      <c r="G41" s="2" t="s">
        <v>49</v>
      </c>
      <c r="H41" s="3">
        <v>24209.35</v>
      </c>
      <c r="I41" s="3">
        <v>24209.35</v>
      </c>
      <c r="J41" s="3">
        <v>0</v>
      </c>
      <c r="K41" s="3">
        <v>287.62999999999994</v>
      </c>
      <c r="L41" s="3">
        <v>287.62999999999994</v>
      </c>
      <c r="M41" s="3">
        <v>0</v>
      </c>
      <c r="N41" s="3">
        <v>252.86000000000007</v>
      </c>
      <c r="O41" s="3">
        <v>252.86000000000007</v>
      </c>
      <c r="P41" s="3">
        <v>0</v>
      </c>
      <c r="Q41" s="3">
        <v>-9845.9499999999862</v>
      </c>
      <c r="R41" s="3">
        <v>-9820.4499999999862</v>
      </c>
      <c r="S41" s="3">
        <v>25.5</v>
      </c>
      <c r="T41" s="3">
        <v>-33.799999999999997</v>
      </c>
      <c r="U41" s="3">
        <v>-33.799999999999997</v>
      </c>
      <c r="V41" s="3">
        <v>0</v>
      </c>
      <c r="W41" s="3">
        <v>0</v>
      </c>
      <c r="X41" s="3">
        <v>0</v>
      </c>
      <c r="Y41" s="3">
        <v>0</v>
      </c>
      <c r="Z41" s="3">
        <v>14870.089999999975</v>
      </c>
      <c r="AA41" s="3">
        <v>14895.589999999975</v>
      </c>
      <c r="AB41" s="3">
        <v>25.499999999999993</v>
      </c>
      <c r="AC41" s="3">
        <v>1180.1099999999997</v>
      </c>
      <c r="AD41" s="3">
        <v>941.73999999999967</v>
      </c>
      <c r="AE41" s="3">
        <v>-238.37</v>
      </c>
      <c r="AF41" s="3">
        <v>13689.979999999992</v>
      </c>
      <c r="AG41" s="3">
        <v>13953.849999999989</v>
      </c>
      <c r="AH41" s="3">
        <v>263.87</v>
      </c>
      <c r="AI41">
        <v>2512.8700000000026</v>
      </c>
      <c r="AJ41">
        <v>7.03</v>
      </c>
      <c r="AK41">
        <v>-2505.8400000000024</v>
      </c>
      <c r="AL41">
        <v>11177.110000000022</v>
      </c>
      <c r="AM41">
        <v>13946.819999999989</v>
      </c>
      <c r="AN41">
        <v>2769.71</v>
      </c>
      <c r="AO41">
        <v>293</v>
      </c>
    </row>
    <row r="42" spans="1:41" x14ac:dyDescent="0.35">
      <c r="A42">
        <v>2024</v>
      </c>
      <c r="B42">
        <v>6</v>
      </c>
      <c r="C42">
        <v>23</v>
      </c>
      <c r="D42" s="1">
        <v>45450</v>
      </c>
      <c r="E42" s="2" t="s">
        <v>44</v>
      </c>
      <c r="F42" s="2" t="s">
        <v>47</v>
      </c>
      <c r="G42" s="2" t="s">
        <v>49</v>
      </c>
      <c r="H42" s="3">
        <v>25157.599999999999</v>
      </c>
      <c r="I42" s="3">
        <v>25157.599999999999</v>
      </c>
      <c r="J42" s="3">
        <v>0</v>
      </c>
      <c r="K42" s="3">
        <v>329.23999999999984</v>
      </c>
      <c r="L42" s="3">
        <v>329.23999999999984</v>
      </c>
      <c r="M42" s="3">
        <v>0</v>
      </c>
      <c r="N42" s="3">
        <v>216.87000000000003</v>
      </c>
      <c r="O42" s="3">
        <v>216.87000000000003</v>
      </c>
      <c r="P42" s="3">
        <v>0</v>
      </c>
      <c r="Q42" s="3">
        <v>-10052.899999999998</v>
      </c>
      <c r="R42" s="3">
        <v>-10012.899999999998</v>
      </c>
      <c r="S42" s="3">
        <v>40</v>
      </c>
      <c r="T42" s="3">
        <v>-25</v>
      </c>
      <c r="U42" s="3">
        <v>-25</v>
      </c>
      <c r="V42" s="3">
        <v>0</v>
      </c>
      <c r="W42" s="3">
        <v>-5</v>
      </c>
      <c r="X42" s="3">
        <v>-5</v>
      </c>
      <c r="Y42" s="3">
        <v>0</v>
      </c>
      <c r="Z42" s="3">
        <v>15620.809999999959</v>
      </c>
      <c r="AA42" s="3">
        <v>15660.809999999959</v>
      </c>
      <c r="AB42" s="3">
        <v>40</v>
      </c>
      <c r="AC42" s="3">
        <v>1537.6699999999996</v>
      </c>
      <c r="AD42" s="3">
        <v>570.04999999999995</v>
      </c>
      <c r="AE42" s="3">
        <v>-967.61999999999989</v>
      </c>
      <c r="AF42" s="3">
        <v>14083.139999999981</v>
      </c>
      <c r="AG42" s="3">
        <v>15090.759999999966</v>
      </c>
      <c r="AH42" s="3">
        <v>1007.6199999999998</v>
      </c>
      <c r="AI42">
        <v>2568.3199999999983</v>
      </c>
      <c r="AJ42">
        <v>-7.48</v>
      </c>
      <c r="AK42">
        <v>-2575.7999999999979</v>
      </c>
      <c r="AL42">
        <v>11514.820000000011</v>
      </c>
      <c r="AM42">
        <v>15098.239999999965</v>
      </c>
      <c r="AN42">
        <v>3583.42</v>
      </c>
      <c r="AO42">
        <v>296</v>
      </c>
    </row>
    <row r="43" spans="1:41" x14ac:dyDescent="0.35">
      <c r="A43">
        <v>2024</v>
      </c>
      <c r="B43">
        <v>6</v>
      </c>
      <c r="C43">
        <v>23</v>
      </c>
      <c r="D43" s="1">
        <v>45451</v>
      </c>
      <c r="E43" s="2" t="s">
        <v>44</v>
      </c>
      <c r="F43" s="2" t="s">
        <v>47</v>
      </c>
      <c r="G43" s="2" t="s">
        <v>49</v>
      </c>
      <c r="H43" s="3">
        <v>15301.8</v>
      </c>
      <c r="I43" s="3">
        <v>15301.8</v>
      </c>
      <c r="J43" s="3">
        <v>0</v>
      </c>
      <c r="K43" s="3">
        <v>191.73</v>
      </c>
      <c r="L43" s="3">
        <v>191.73</v>
      </c>
      <c r="M43" s="3">
        <v>0</v>
      </c>
      <c r="N43" s="3">
        <v>178.91000000000003</v>
      </c>
      <c r="O43" s="3">
        <v>178.91000000000003</v>
      </c>
      <c r="P43" s="3">
        <v>0</v>
      </c>
      <c r="Q43" s="3">
        <v>-5622.2499999999973</v>
      </c>
      <c r="R43" s="3">
        <v>-5564.2499999999973</v>
      </c>
      <c r="S43" s="3">
        <v>58</v>
      </c>
      <c r="T43" s="3">
        <v>-13.7</v>
      </c>
      <c r="U43" s="3">
        <v>-13.7</v>
      </c>
      <c r="V43" s="3">
        <v>0</v>
      </c>
      <c r="W43" s="3">
        <v>-10</v>
      </c>
      <c r="X43" s="3">
        <v>-10</v>
      </c>
      <c r="Y43" s="3">
        <v>0</v>
      </c>
      <c r="Z43" s="3">
        <v>10026.489999999994</v>
      </c>
      <c r="AA43" s="3">
        <v>10084.489999999994</v>
      </c>
      <c r="AB43" s="3">
        <v>58</v>
      </c>
      <c r="AC43" s="3">
        <v>1006.9399999999998</v>
      </c>
      <c r="AD43" s="3">
        <v>441.31000000000006</v>
      </c>
      <c r="AE43" s="3">
        <v>-565.63</v>
      </c>
      <c r="AF43" s="3">
        <v>9019.5499999999993</v>
      </c>
      <c r="AG43" s="3">
        <v>9643.1799999999985</v>
      </c>
      <c r="AH43" s="3">
        <v>623.63</v>
      </c>
      <c r="AI43">
        <v>1476.3099999999997</v>
      </c>
      <c r="AJ43">
        <v>0</v>
      </c>
      <c r="AK43">
        <v>-1476.3099999999997</v>
      </c>
      <c r="AL43">
        <v>7543.2400000000034</v>
      </c>
      <c r="AM43">
        <v>9643.1799999999985</v>
      </c>
      <c r="AN43">
        <v>2099.940000000001</v>
      </c>
      <c r="AO43">
        <v>195</v>
      </c>
    </row>
    <row r="44" spans="1:41" x14ac:dyDescent="0.35">
      <c r="A44">
        <v>2024</v>
      </c>
      <c r="B44">
        <v>6</v>
      </c>
      <c r="C44">
        <v>23</v>
      </c>
      <c r="D44" s="1">
        <v>45445</v>
      </c>
      <c r="E44" s="2" t="s">
        <v>44</v>
      </c>
      <c r="F44" s="2" t="s">
        <v>47</v>
      </c>
      <c r="G44" s="2" t="s">
        <v>50</v>
      </c>
      <c r="H44" s="3">
        <v>39994.449999999997</v>
      </c>
      <c r="I44" s="3">
        <v>39994.449999999997</v>
      </c>
      <c r="J44" s="3">
        <v>0</v>
      </c>
      <c r="K44" s="3">
        <v>859.95000000000039</v>
      </c>
      <c r="L44" s="3">
        <v>859.95000000000039</v>
      </c>
      <c r="M44" s="3">
        <v>0</v>
      </c>
      <c r="N44" s="3">
        <v>1699.9700000000007</v>
      </c>
      <c r="O44" s="3">
        <v>1699.9700000000007</v>
      </c>
      <c r="P44" s="3">
        <v>0</v>
      </c>
      <c r="Q44" s="3">
        <v>-11725.59</v>
      </c>
      <c r="R44" s="3">
        <v>-11443.59</v>
      </c>
      <c r="S44" s="3">
        <v>282</v>
      </c>
      <c r="T44" s="3">
        <v>-20</v>
      </c>
      <c r="U44" s="3">
        <v>-20</v>
      </c>
      <c r="V44" s="3">
        <v>0</v>
      </c>
      <c r="W44" s="3">
        <v>-40</v>
      </c>
      <c r="X44" s="3">
        <v>-40</v>
      </c>
      <c r="Y44" s="3">
        <v>0</v>
      </c>
      <c r="Z44" s="3">
        <v>30768.780000000042</v>
      </c>
      <c r="AA44" s="3">
        <v>31050.780000000042</v>
      </c>
      <c r="AB44" s="3">
        <v>282</v>
      </c>
      <c r="AC44" s="3">
        <v>7828.7700000000077</v>
      </c>
      <c r="AD44" s="3">
        <v>4521.2800000000034</v>
      </c>
      <c r="AE44" s="3">
        <v>-3307.4900000000025</v>
      </c>
      <c r="AF44" s="3">
        <v>22940.010000000031</v>
      </c>
      <c r="AG44" s="3">
        <v>26529.500000000036</v>
      </c>
      <c r="AH44" s="3">
        <v>3589.4900000000021</v>
      </c>
      <c r="AI44">
        <v>-2113.1799999999985</v>
      </c>
      <c r="AJ44">
        <v>0</v>
      </c>
      <c r="AK44">
        <v>2113.1799999999985</v>
      </c>
      <c r="AL44">
        <v>25053.190000000002</v>
      </c>
      <c r="AM44">
        <v>26529.500000000036</v>
      </c>
      <c r="AN44">
        <v>1476.3100000000002</v>
      </c>
      <c r="AO44">
        <v>455</v>
      </c>
    </row>
    <row r="45" spans="1:41" x14ac:dyDescent="0.35">
      <c r="A45">
        <v>2024</v>
      </c>
      <c r="B45">
        <v>6</v>
      </c>
      <c r="C45">
        <v>23</v>
      </c>
      <c r="D45" s="1">
        <v>45446</v>
      </c>
      <c r="E45" s="2" t="s">
        <v>44</v>
      </c>
      <c r="F45" s="2" t="s">
        <v>47</v>
      </c>
      <c r="G45" s="2" t="s">
        <v>50</v>
      </c>
      <c r="H45" s="3">
        <v>37977</v>
      </c>
      <c r="I45" s="3">
        <v>37977</v>
      </c>
      <c r="J45" s="3">
        <v>0</v>
      </c>
      <c r="K45" s="3">
        <v>531.69999999999936</v>
      </c>
      <c r="L45" s="3">
        <v>531.69999999999936</v>
      </c>
      <c r="M45" s="3">
        <v>0</v>
      </c>
      <c r="N45" s="3">
        <v>1540.0700000000006</v>
      </c>
      <c r="O45" s="3">
        <v>1540.0700000000006</v>
      </c>
      <c r="P45" s="3">
        <v>0</v>
      </c>
      <c r="Q45" s="3">
        <v>-11091.3</v>
      </c>
      <c r="R45" s="3">
        <v>-10081.799999999999</v>
      </c>
      <c r="S45" s="3">
        <v>1009.5</v>
      </c>
      <c r="T45" s="3">
        <v>-20</v>
      </c>
      <c r="U45" s="3">
        <v>-20</v>
      </c>
      <c r="V45" s="3">
        <v>0</v>
      </c>
      <c r="W45" s="3">
        <v>-48.99</v>
      </c>
      <c r="X45" s="3">
        <v>-48.99</v>
      </c>
      <c r="Y45" s="3">
        <v>0</v>
      </c>
      <c r="Z45" s="3">
        <v>28888.480000000029</v>
      </c>
      <c r="AA45" s="3">
        <v>29897.980000000029</v>
      </c>
      <c r="AB45" s="3">
        <v>1009.5</v>
      </c>
      <c r="AC45" s="3">
        <v>8242.8100000000086</v>
      </c>
      <c r="AD45" s="3">
        <v>3789.1600000000039</v>
      </c>
      <c r="AE45" s="3">
        <v>-4453.6500000000033</v>
      </c>
      <c r="AF45" s="3">
        <v>20645.670000000027</v>
      </c>
      <c r="AG45" s="3">
        <v>26108.820000000043</v>
      </c>
      <c r="AH45" s="3">
        <v>5463.1500000000033</v>
      </c>
      <c r="AI45">
        <v>-2002.7099999999996</v>
      </c>
      <c r="AJ45">
        <v>0</v>
      </c>
      <c r="AK45">
        <v>2002.7099999999996</v>
      </c>
      <c r="AL45">
        <v>22648.380000000008</v>
      </c>
      <c r="AM45">
        <v>26108.820000000043</v>
      </c>
      <c r="AN45">
        <v>3460.4400000000023</v>
      </c>
      <c r="AO45">
        <v>424</v>
      </c>
    </row>
    <row r="46" spans="1:41" x14ac:dyDescent="0.35">
      <c r="A46">
        <v>2024</v>
      </c>
      <c r="B46">
        <v>6</v>
      </c>
      <c r="C46">
        <v>23</v>
      </c>
      <c r="D46" s="1">
        <v>45447</v>
      </c>
      <c r="E46" s="2" t="s">
        <v>44</v>
      </c>
      <c r="F46" s="2" t="s">
        <v>47</v>
      </c>
      <c r="G46" s="2" t="s">
        <v>50</v>
      </c>
      <c r="H46" s="3">
        <v>30489</v>
      </c>
      <c r="I46" s="3">
        <v>30489</v>
      </c>
      <c r="J46" s="3">
        <v>0</v>
      </c>
      <c r="K46" s="3">
        <v>435.95999999999987</v>
      </c>
      <c r="L46" s="3">
        <v>435.95999999999987</v>
      </c>
      <c r="M46" s="3">
        <v>0</v>
      </c>
      <c r="N46" s="3">
        <v>1046.3400000000004</v>
      </c>
      <c r="O46" s="3">
        <v>1046.3400000000004</v>
      </c>
      <c r="P46" s="3">
        <v>0</v>
      </c>
      <c r="Q46" s="3">
        <v>-8389.5</v>
      </c>
      <c r="R46" s="3">
        <v>-8018.5</v>
      </c>
      <c r="S46" s="3">
        <v>371</v>
      </c>
      <c r="T46" s="3">
        <v>-15</v>
      </c>
      <c r="U46" s="3">
        <v>-15</v>
      </c>
      <c r="V46" s="3">
        <v>0</v>
      </c>
      <c r="W46" s="3">
        <v>-28.990000000000002</v>
      </c>
      <c r="X46" s="3">
        <v>-28.990000000000002</v>
      </c>
      <c r="Y46" s="3">
        <v>0</v>
      </c>
      <c r="Z46" s="3">
        <v>23537.810000000027</v>
      </c>
      <c r="AA46" s="3">
        <v>23908.81000000003</v>
      </c>
      <c r="AB46" s="3">
        <v>371</v>
      </c>
      <c r="AC46" s="3">
        <v>6670.8000000000075</v>
      </c>
      <c r="AD46" s="3">
        <v>3026.0700000000024</v>
      </c>
      <c r="AE46" s="3">
        <v>-3644.7300000000032</v>
      </c>
      <c r="AF46" s="3">
        <v>16867.010000000002</v>
      </c>
      <c r="AG46" s="3">
        <v>20882.740000000016</v>
      </c>
      <c r="AH46" s="3">
        <v>4015.7300000000032</v>
      </c>
      <c r="AI46">
        <v>-1568.7</v>
      </c>
      <c r="AJ46">
        <v>0</v>
      </c>
      <c r="AK46">
        <v>1568.7</v>
      </c>
      <c r="AL46">
        <v>18435.710000000017</v>
      </c>
      <c r="AM46">
        <v>20882.740000000016</v>
      </c>
      <c r="AN46">
        <v>2447.030000000002</v>
      </c>
      <c r="AO46">
        <v>349</v>
      </c>
    </row>
    <row r="47" spans="1:41" x14ac:dyDescent="0.35">
      <c r="A47">
        <v>2024</v>
      </c>
      <c r="B47">
        <v>6</v>
      </c>
      <c r="C47">
        <v>23</v>
      </c>
      <c r="D47" s="1">
        <v>45448</v>
      </c>
      <c r="E47" s="2" t="s">
        <v>44</v>
      </c>
      <c r="F47" s="2" t="s">
        <v>47</v>
      </c>
      <c r="G47" s="2" t="s">
        <v>50</v>
      </c>
      <c r="H47" s="3">
        <v>34423.050000000003</v>
      </c>
      <c r="I47" s="3">
        <v>34423.050000000003</v>
      </c>
      <c r="J47" s="3">
        <v>0</v>
      </c>
      <c r="K47" s="3">
        <v>443.86999999999892</v>
      </c>
      <c r="L47" s="3">
        <v>431.36999999999892</v>
      </c>
      <c r="M47" s="3">
        <v>-12.5</v>
      </c>
      <c r="N47" s="3">
        <v>1126.3000000000004</v>
      </c>
      <c r="O47" s="3">
        <v>1126.3000000000004</v>
      </c>
      <c r="P47" s="3">
        <v>0</v>
      </c>
      <c r="Q47" s="3">
        <v>-9974.92</v>
      </c>
      <c r="R47" s="3">
        <v>-9477.92</v>
      </c>
      <c r="S47" s="3">
        <v>497</v>
      </c>
      <c r="T47" s="3">
        <v>-20.46</v>
      </c>
      <c r="U47" s="3">
        <v>-20.46</v>
      </c>
      <c r="V47" s="3">
        <v>0</v>
      </c>
      <c r="W47" s="3">
        <v>-10</v>
      </c>
      <c r="X47" s="3">
        <v>-10</v>
      </c>
      <c r="Y47" s="3">
        <v>0</v>
      </c>
      <c r="Z47" s="3">
        <v>25987.840000000015</v>
      </c>
      <c r="AA47" s="3">
        <v>26472.340000000015</v>
      </c>
      <c r="AB47" s="3">
        <v>484.5</v>
      </c>
      <c r="AC47" s="3">
        <v>7336.6100000000051</v>
      </c>
      <c r="AD47" s="3">
        <v>4325.5400000000027</v>
      </c>
      <c r="AE47" s="3">
        <v>-3011.0700000000011</v>
      </c>
      <c r="AF47" s="3">
        <v>18651.229999999996</v>
      </c>
      <c r="AG47" s="3">
        <v>22146.800000000003</v>
      </c>
      <c r="AH47" s="3">
        <v>3495.5700000000006</v>
      </c>
      <c r="AI47">
        <v>-2195.9699999999989</v>
      </c>
      <c r="AJ47">
        <v>0</v>
      </c>
      <c r="AK47">
        <v>2195.9699999999989</v>
      </c>
      <c r="AL47">
        <v>20847.200000000026</v>
      </c>
      <c r="AM47">
        <v>22146.800000000003</v>
      </c>
      <c r="AN47">
        <v>1299.6000000000001</v>
      </c>
      <c r="AO47">
        <v>397</v>
      </c>
    </row>
    <row r="48" spans="1:41" x14ac:dyDescent="0.35">
      <c r="A48">
        <v>2024</v>
      </c>
      <c r="B48">
        <v>6</v>
      </c>
      <c r="C48">
        <v>23</v>
      </c>
      <c r="D48" s="1">
        <v>45449</v>
      </c>
      <c r="E48" s="2" t="s">
        <v>44</v>
      </c>
      <c r="F48" s="2" t="s">
        <v>47</v>
      </c>
      <c r="G48" s="2" t="s">
        <v>50</v>
      </c>
      <c r="H48" s="3">
        <v>41016.619999999995</v>
      </c>
      <c r="I48" s="3">
        <v>41016.619999999995</v>
      </c>
      <c r="J48" s="3">
        <v>0</v>
      </c>
      <c r="K48" s="3">
        <v>690.60000000000036</v>
      </c>
      <c r="L48" s="3">
        <v>690.60000000000036</v>
      </c>
      <c r="M48" s="3">
        <v>0</v>
      </c>
      <c r="N48" s="3">
        <v>1651.9800000000007</v>
      </c>
      <c r="O48" s="3">
        <v>1651.9800000000007</v>
      </c>
      <c r="P48" s="3">
        <v>0</v>
      </c>
      <c r="Q48" s="3">
        <v>-11349.49</v>
      </c>
      <c r="R48" s="3">
        <v>-10858.49</v>
      </c>
      <c r="S48" s="3">
        <v>491</v>
      </c>
      <c r="T48" s="3">
        <v>-50.46</v>
      </c>
      <c r="U48" s="3">
        <v>-50.46</v>
      </c>
      <c r="V48" s="3">
        <v>0</v>
      </c>
      <c r="W48" s="3">
        <v>-20</v>
      </c>
      <c r="X48" s="3">
        <v>-20</v>
      </c>
      <c r="Y48" s="3">
        <v>0</v>
      </c>
      <c r="Z48" s="3">
        <v>31939.250000000058</v>
      </c>
      <c r="AA48" s="3">
        <v>32430.250000000058</v>
      </c>
      <c r="AB48" s="3">
        <v>491</v>
      </c>
      <c r="AC48" s="3">
        <v>8730.1500000000033</v>
      </c>
      <c r="AD48" s="3">
        <v>4448.9100000000044</v>
      </c>
      <c r="AE48" s="3">
        <v>-4281.2400000000043</v>
      </c>
      <c r="AF48" s="3">
        <v>23209.100000000057</v>
      </c>
      <c r="AG48" s="3">
        <v>27981.340000000062</v>
      </c>
      <c r="AH48" s="3">
        <v>4772.2400000000043</v>
      </c>
      <c r="AI48">
        <v>-2143.4099999999994</v>
      </c>
      <c r="AJ48">
        <v>0</v>
      </c>
      <c r="AK48">
        <v>2143.4099999999994</v>
      </c>
      <c r="AL48">
        <v>25352.510000000006</v>
      </c>
      <c r="AM48">
        <v>27981.340000000062</v>
      </c>
      <c r="AN48">
        <v>2628.8300000000036</v>
      </c>
      <c r="AO48">
        <v>469</v>
      </c>
    </row>
    <row r="49" spans="1:41" x14ac:dyDescent="0.35">
      <c r="A49">
        <v>2024</v>
      </c>
      <c r="B49">
        <v>6</v>
      </c>
      <c r="C49">
        <v>23</v>
      </c>
      <c r="D49" s="1">
        <v>45450</v>
      </c>
      <c r="E49" s="2" t="s">
        <v>44</v>
      </c>
      <c r="F49" s="2" t="s">
        <v>47</v>
      </c>
      <c r="G49" s="2" t="s">
        <v>50</v>
      </c>
      <c r="H49" s="3">
        <v>41581.72</v>
      </c>
      <c r="I49" s="3">
        <v>41581.72</v>
      </c>
      <c r="J49" s="3">
        <v>0</v>
      </c>
      <c r="K49" s="3">
        <v>590.29999999999984</v>
      </c>
      <c r="L49" s="3">
        <v>590.29999999999984</v>
      </c>
      <c r="M49" s="3">
        <v>0</v>
      </c>
      <c r="N49" s="3">
        <v>1503.0600000000006</v>
      </c>
      <c r="O49" s="3">
        <v>1503.0600000000006</v>
      </c>
      <c r="P49" s="3">
        <v>0</v>
      </c>
      <c r="Q49" s="3">
        <v>-12066.539999999999</v>
      </c>
      <c r="R49" s="3">
        <v>-11601.64</v>
      </c>
      <c r="S49" s="3">
        <v>464.9</v>
      </c>
      <c r="T49" s="3">
        <v>-35</v>
      </c>
      <c r="U49" s="3">
        <v>-35</v>
      </c>
      <c r="V49" s="3">
        <v>0</v>
      </c>
      <c r="W49" s="3">
        <v>-50</v>
      </c>
      <c r="X49" s="3">
        <v>-50</v>
      </c>
      <c r="Y49" s="3">
        <v>0</v>
      </c>
      <c r="Z49" s="3">
        <v>31523.540000000012</v>
      </c>
      <c r="AA49" s="3">
        <v>31988.440000000017</v>
      </c>
      <c r="AB49" s="3">
        <v>464.9</v>
      </c>
      <c r="AC49" s="3">
        <v>8902.9000000000033</v>
      </c>
      <c r="AD49" s="3">
        <v>4522.9900000000025</v>
      </c>
      <c r="AE49" s="3">
        <v>-4379.9100000000035</v>
      </c>
      <c r="AF49" s="3">
        <v>22620.640000000014</v>
      </c>
      <c r="AG49" s="3">
        <v>27465.450000000012</v>
      </c>
      <c r="AH49" s="3">
        <v>4844.810000000004</v>
      </c>
      <c r="AI49">
        <v>-2072.2999999999997</v>
      </c>
      <c r="AJ49">
        <v>0</v>
      </c>
      <c r="AK49">
        <v>2072.2999999999997</v>
      </c>
      <c r="AL49">
        <v>24692.94000000005</v>
      </c>
      <c r="AM49">
        <v>27465.450000000012</v>
      </c>
      <c r="AN49">
        <v>2772.510000000002</v>
      </c>
      <c r="AO49">
        <v>486</v>
      </c>
    </row>
    <row r="50" spans="1:41" x14ac:dyDescent="0.35">
      <c r="A50">
        <v>2024</v>
      </c>
      <c r="B50">
        <v>6</v>
      </c>
      <c r="C50">
        <v>23</v>
      </c>
      <c r="D50" s="1">
        <v>45451</v>
      </c>
      <c r="E50" s="2" t="s">
        <v>44</v>
      </c>
      <c r="F50" s="2" t="s">
        <v>47</v>
      </c>
      <c r="G50" s="2" t="s">
        <v>50</v>
      </c>
      <c r="H50" s="3">
        <v>41669.1</v>
      </c>
      <c r="I50" s="3">
        <v>41669.1</v>
      </c>
      <c r="J50" s="3">
        <v>0</v>
      </c>
      <c r="K50" s="3">
        <v>692.7099999999997</v>
      </c>
      <c r="L50" s="3">
        <v>692.7099999999997</v>
      </c>
      <c r="M50" s="3">
        <v>0</v>
      </c>
      <c r="N50" s="3">
        <v>1443.0700000000006</v>
      </c>
      <c r="O50" s="3">
        <v>1443.0700000000006</v>
      </c>
      <c r="P50" s="3">
        <v>0</v>
      </c>
      <c r="Q50" s="3">
        <v>-12480.919999999998</v>
      </c>
      <c r="R50" s="3">
        <v>-12014.919999999998</v>
      </c>
      <c r="S50" s="3">
        <v>466</v>
      </c>
      <c r="T50" s="3">
        <v>-35</v>
      </c>
      <c r="U50" s="3">
        <v>-35</v>
      </c>
      <c r="V50" s="3">
        <v>0</v>
      </c>
      <c r="W50" s="3">
        <v>-41.6</v>
      </c>
      <c r="X50" s="3">
        <v>-41.6</v>
      </c>
      <c r="Y50" s="3">
        <v>0</v>
      </c>
      <c r="Z50" s="3">
        <v>31247.360000000019</v>
      </c>
      <c r="AA50" s="3">
        <v>31713.360000000019</v>
      </c>
      <c r="AB50" s="3">
        <v>466</v>
      </c>
      <c r="AC50" s="3">
        <v>8967.7500000000018</v>
      </c>
      <c r="AD50" s="3">
        <v>4565.6000000000031</v>
      </c>
      <c r="AE50" s="3">
        <v>-4402.1500000000015</v>
      </c>
      <c r="AF50" s="3">
        <v>22279.610000000026</v>
      </c>
      <c r="AG50" s="3">
        <v>27147.760000000013</v>
      </c>
      <c r="AH50" s="3">
        <v>4868.1500000000024</v>
      </c>
      <c r="AI50">
        <v>-2223.6800000000012</v>
      </c>
      <c r="AJ50">
        <v>0</v>
      </c>
      <c r="AK50">
        <v>2223.6800000000012</v>
      </c>
      <c r="AL50">
        <v>24503.29</v>
      </c>
      <c r="AM50">
        <v>27147.760000000013</v>
      </c>
      <c r="AN50">
        <v>2644.4699999999975</v>
      </c>
      <c r="AO50">
        <v>480</v>
      </c>
    </row>
    <row r="51" spans="1:41" x14ac:dyDescent="0.35">
      <c r="A51">
        <v>2024</v>
      </c>
      <c r="B51">
        <v>6</v>
      </c>
      <c r="C51">
        <v>23</v>
      </c>
      <c r="D51" s="1">
        <v>45445</v>
      </c>
      <c r="E51" s="2" t="s">
        <v>44</v>
      </c>
      <c r="F51" s="2" t="s">
        <v>47</v>
      </c>
      <c r="G51" s="2" t="s">
        <v>51</v>
      </c>
      <c r="H51" s="3">
        <v>13477.000000000045</v>
      </c>
      <c r="I51" s="3">
        <v>13477.000000000045</v>
      </c>
      <c r="J51" s="3">
        <v>0</v>
      </c>
      <c r="K51" s="3">
        <v>12.5</v>
      </c>
      <c r="L51" s="3">
        <v>12.5</v>
      </c>
      <c r="M51" s="3">
        <v>0</v>
      </c>
      <c r="N51" s="3">
        <v>0</v>
      </c>
      <c r="O51" s="3">
        <v>0</v>
      </c>
      <c r="P51" s="3">
        <v>0</v>
      </c>
      <c r="Q51" s="3">
        <v>-1246.9499999999996</v>
      </c>
      <c r="R51" s="3">
        <v>-1246.9499999999996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12242.550000000048</v>
      </c>
      <c r="AA51" s="3">
        <v>12242.550000000048</v>
      </c>
      <c r="AB51" s="3">
        <v>0</v>
      </c>
      <c r="AC51" s="3">
        <v>121.48</v>
      </c>
      <c r="AD51" s="3">
        <v>52.41</v>
      </c>
      <c r="AE51" s="3">
        <v>-69.070000000000007</v>
      </c>
      <c r="AF51" s="3">
        <v>12121.070000000049</v>
      </c>
      <c r="AG51" s="3">
        <v>12190.140000000049</v>
      </c>
      <c r="AH51" s="3">
        <v>69.069999999999993</v>
      </c>
      <c r="AI51">
        <v>956.49000000000069</v>
      </c>
      <c r="AJ51">
        <v>0</v>
      </c>
      <c r="AK51">
        <v>-956.49000000000069</v>
      </c>
      <c r="AL51">
        <v>11164.580000000038</v>
      </c>
      <c r="AM51">
        <v>12190.140000000049</v>
      </c>
      <c r="AN51">
        <v>1025.5600000000006</v>
      </c>
      <c r="AO51">
        <v>294</v>
      </c>
    </row>
    <row r="52" spans="1:41" x14ac:dyDescent="0.35">
      <c r="A52">
        <v>2024</v>
      </c>
      <c r="B52">
        <v>6</v>
      </c>
      <c r="C52">
        <v>23</v>
      </c>
      <c r="D52" s="1">
        <v>45446</v>
      </c>
      <c r="E52" s="2" t="s">
        <v>44</v>
      </c>
      <c r="F52" s="2" t="s">
        <v>47</v>
      </c>
      <c r="G52" s="2" t="s">
        <v>51</v>
      </c>
      <c r="H52" s="3">
        <v>18198.650000000071</v>
      </c>
      <c r="I52" s="3">
        <v>18198.650000000071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-1210.3</v>
      </c>
      <c r="R52" s="3">
        <v>-1210.3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16988.350000000104</v>
      </c>
      <c r="AA52" s="3">
        <v>16988.350000000104</v>
      </c>
      <c r="AB52" s="3">
        <v>0</v>
      </c>
      <c r="AC52" s="3">
        <v>52.41</v>
      </c>
      <c r="AD52" s="3"/>
      <c r="AE52" s="3">
        <v>-52.41</v>
      </c>
      <c r="AF52" s="3">
        <v>16935.940000000104</v>
      </c>
      <c r="AG52" s="3">
        <v>16988.350000000104</v>
      </c>
      <c r="AH52" s="3">
        <v>52.41</v>
      </c>
      <c r="AI52">
        <v>1223.0299999999995</v>
      </c>
      <c r="AJ52">
        <v>0</v>
      </c>
      <c r="AK52">
        <v>-1223.0299999999995</v>
      </c>
      <c r="AL52">
        <v>15712.910000000098</v>
      </c>
      <c r="AM52">
        <v>16988.350000000104</v>
      </c>
      <c r="AN52">
        <v>1275.4399999999994</v>
      </c>
      <c r="AO52">
        <v>405</v>
      </c>
    </row>
    <row r="53" spans="1:41" x14ac:dyDescent="0.35">
      <c r="A53">
        <v>2024</v>
      </c>
      <c r="B53">
        <v>6</v>
      </c>
      <c r="C53">
        <v>23</v>
      </c>
      <c r="D53" s="1">
        <v>45448</v>
      </c>
      <c r="E53" s="2" t="s">
        <v>44</v>
      </c>
      <c r="F53" s="2" t="s">
        <v>47</v>
      </c>
      <c r="G53" s="2" t="s">
        <v>51</v>
      </c>
      <c r="H53" s="3">
        <v>3170.2500000000023</v>
      </c>
      <c r="I53" s="3">
        <v>3170.2500000000023</v>
      </c>
      <c r="J53" s="3">
        <v>0</v>
      </c>
      <c r="K53" s="3">
        <v>20</v>
      </c>
      <c r="L53" s="3">
        <v>20</v>
      </c>
      <c r="M53" s="3">
        <v>0</v>
      </c>
      <c r="N53" s="3">
        <v>0</v>
      </c>
      <c r="O53" s="3">
        <v>0</v>
      </c>
      <c r="P53" s="3">
        <v>0</v>
      </c>
      <c r="Q53" s="3">
        <v>-746.15</v>
      </c>
      <c r="R53" s="3">
        <v>-746.15</v>
      </c>
      <c r="S53" s="3">
        <v>0</v>
      </c>
      <c r="T53" s="3">
        <v>-8</v>
      </c>
      <c r="U53" s="3">
        <v>-8</v>
      </c>
      <c r="V53" s="3">
        <v>0</v>
      </c>
      <c r="W53" s="3">
        <v>0</v>
      </c>
      <c r="X53" s="3">
        <v>0</v>
      </c>
      <c r="Y53" s="3">
        <v>0</v>
      </c>
      <c r="Z53" s="3">
        <v>2436.1000000000008</v>
      </c>
      <c r="AA53" s="3">
        <v>2436.1000000000008</v>
      </c>
      <c r="AB53" s="3">
        <v>0</v>
      </c>
      <c r="AC53" s="3">
        <v>89.08</v>
      </c>
      <c r="AD53" s="3">
        <v>89.08</v>
      </c>
      <c r="AE53" s="3">
        <v>0</v>
      </c>
      <c r="AF53" s="3">
        <v>2347.0200000000004</v>
      </c>
      <c r="AG53" s="3">
        <v>2347.0200000000004</v>
      </c>
      <c r="AH53" s="3">
        <v>0</v>
      </c>
      <c r="AI53">
        <v>687.95</v>
      </c>
      <c r="AJ53">
        <v>0</v>
      </c>
      <c r="AK53">
        <v>-687.95</v>
      </c>
      <c r="AL53">
        <v>1659.0699999999997</v>
      </c>
      <c r="AM53">
        <v>2347.0200000000004</v>
      </c>
      <c r="AN53">
        <v>687.95</v>
      </c>
      <c r="AO53">
        <v>57</v>
      </c>
    </row>
    <row r="54" spans="1:41" x14ac:dyDescent="0.35">
      <c r="A54">
        <v>2024</v>
      </c>
      <c r="B54">
        <v>6</v>
      </c>
      <c r="C54">
        <v>23</v>
      </c>
      <c r="D54" s="1">
        <v>45449</v>
      </c>
      <c r="E54" s="2" t="s">
        <v>44</v>
      </c>
      <c r="F54" s="2" t="s">
        <v>47</v>
      </c>
      <c r="G54" s="2" t="s">
        <v>51</v>
      </c>
      <c r="H54" s="3">
        <v>4299.3</v>
      </c>
      <c r="I54" s="3">
        <v>4299.3</v>
      </c>
      <c r="J54" s="3">
        <v>0</v>
      </c>
      <c r="K54" s="3">
        <v>2</v>
      </c>
      <c r="L54" s="3">
        <v>2</v>
      </c>
      <c r="M54" s="3">
        <v>0</v>
      </c>
      <c r="N54" s="3">
        <v>0</v>
      </c>
      <c r="O54" s="3">
        <v>0</v>
      </c>
      <c r="P54" s="3">
        <v>0</v>
      </c>
      <c r="Q54" s="3">
        <v>-1417.95</v>
      </c>
      <c r="R54" s="3">
        <v>-1417.95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2883.349999999999</v>
      </c>
      <c r="AA54" s="3">
        <v>2883.349999999999</v>
      </c>
      <c r="AB54" s="3">
        <v>0</v>
      </c>
      <c r="AC54" s="3">
        <v>89.08</v>
      </c>
      <c r="AD54" s="3"/>
      <c r="AE54" s="3">
        <v>-89.08</v>
      </c>
      <c r="AF54" s="3">
        <v>2794.2699999999991</v>
      </c>
      <c r="AG54" s="3">
        <v>2883.349999999999</v>
      </c>
      <c r="AH54" s="3">
        <v>89.08</v>
      </c>
      <c r="AI54">
        <v>809.21000000000026</v>
      </c>
      <c r="AJ54">
        <v>0</v>
      </c>
      <c r="AK54">
        <v>-809.21000000000026</v>
      </c>
      <c r="AL54">
        <v>1985.0600000000002</v>
      </c>
      <c r="AM54">
        <v>2883.349999999999</v>
      </c>
      <c r="AN54">
        <v>898.29000000000019</v>
      </c>
      <c r="AO54">
        <v>61</v>
      </c>
    </row>
    <row r="55" spans="1:41" x14ac:dyDescent="0.35">
      <c r="A55">
        <v>2024</v>
      </c>
      <c r="B55">
        <v>6</v>
      </c>
      <c r="C55">
        <v>23</v>
      </c>
      <c r="D55" s="1">
        <v>45450</v>
      </c>
      <c r="E55" s="2" t="s">
        <v>44</v>
      </c>
      <c r="F55" s="2" t="s">
        <v>47</v>
      </c>
      <c r="G55" s="2" t="s">
        <v>51</v>
      </c>
      <c r="H55" s="3">
        <v>4599.05</v>
      </c>
      <c r="I55" s="3">
        <v>4599.05</v>
      </c>
      <c r="J55" s="3">
        <v>0</v>
      </c>
      <c r="K55" s="3">
        <v>10</v>
      </c>
      <c r="L55" s="3">
        <v>10</v>
      </c>
      <c r="M55" s="3">
        <v>0</v>
      </c>
      <c r="N55" s="3">
        <v>15.99</v>
      </c>
      <c r="O55" s="3">
        <v>15.99</v>
      </c>
      <c r="P55" s="3">
        <v>0</v>
      </c>
      <c r="Q55" s="3">
        <v>-1245.2999999999995</v>
      </c>
      <c r="R55" s="3">
        <v>-1245.2999999999995</v>
      </c>
      <c r="S55" s="3">
        <v>0</v>
      </c>
      <c r="T55" s="3">
        <v>-4</v>
      </c>
      <c r="U55" s="3">
        <v>-4</v>
      </c>
      <c r="V55" s="3">
        <v>0</v>
      </c>
      <c r="W55" s="3">
        <v>0</v>
      </c>
      <c r="X55" s="3">
        <v>0</v>
      </c>
      <c r="Y55" s="3">
        <v>0</v>
      </c>
      <c r="Z55" s="3">
        <v>3375.7400000000002</v>
      </c>
      <c r="AA55" s="3">
        <v>3375.7400000000002</v>
      </c>
      <c r="AB55" s="3">
        <v>0</v>
      </c>
      <c r="AC55" s="3">
        <v>123.16</v>
      </c>
      <c r="AD55" s="3">
        <v>123.16</v>
      </c>
      <c r="AE55" s="3">
        <v>0</v>
      </c>
      <c r="AF55" s="3">
        <v>3252.5800000000004</v>
      </c>
      <c r="AG55" s="3">
        <v>3252.5800000000004</v>
      </c>
      <c r="AH55" s="3">
        <v>0</v>
      </c>
      <c r="AI55">
        <v>846.47</v>
      </c>
      <c r="AJ55">
        <v>0</v>
      </c>
      <c r="AK55">
        <v>-846.47</v>
      </c>
      <c r="AL55">
        <v>2406.1099999999997</v>
      </c>
      <c r="AM55">
        <v>3252.5800000000004</v>
      </c>
      <c r="AN55">
        <v>846.46999999999969</v>
      </c>
      <c r="AO55">
        <v>81</v>
      </c>
    </row>
    <row r="56" spans="1:41" x14ac:dyDescent="0.35">
      <c r="A56">
        <v>2024</v>
      </c>
      <c r="B56">
        <v>6</v>
      </c>
      <c r="C56">
        <v>23</v>
      </c>
      <c r="D56" s="1">
        <v>45451</v>
      </c>
      <c r="E56" s="2" t="s">
        <v>44</v>
      </c>
      <c r="F56" s="2" t="s">
        <v>47</v>
      </c>
      <c r="G56" s="2" t="s">
        <v>51</v>
      </c>
      <c r="H56" s="3">
        <v>9530.2000000000007</v>
      </c>
      <c r="I56" s="3">
        <v>9530.2000000000007</v>
      </c>
      <c r="J56" s="3">
        <v>0</v>
      </c>
      <c r="K56" s="3">
        <v>490.7</v>
      </c>
      <c r="L56" s="3">
        <v>490.7</v>
      </c>
      <c r="M56" s="3">
        <v>0</v>
      </c>
      <c r="N56" s="3">
        <v>15.99</v>
      </c>
      <c r="O56" s="3">
        <v>15.99</v>
      </c>
      <c r="P56" s="3">
        <v>0</v>
      </c>
      <c r="Q56" s="3">
        <v>-1771.9500000000005</v>
      </c>
      <c r="R56" s="3">
        <v>-1771.9500000000005</v>
      </c>
      <c r="S56" s="3">
        <v>0</v>
      </c>
      <c r="T56" s="3">
        <v>-184</v>
      </c>
      <c r="U56" s="3">
        <v>-184</v>
      </c>
      <c r="V56" s="3">
        <v>0</v>
      </c>
      <c r="W56" s="3">
        <v>0</v>
      </c>
      <c r="X56" s="3">
        <v>0</v>
      </c>
      <c r="Y56" s="3">
        <v>0</v>
      </c>
      <c r="Z56" s="3">
        <v>8080.940000000006</v>
      </c>
      <c r="AA56" s="3">
        <v>8080.940000000006</v>
      </c>
      <c r="AB56" s="3">
        <v>0</v>
      </c>
      <c r="AC56" s="3">
        <v>162.24</v>
      </c>
      <c r="AD56" s="3">
        <v>39.08</v>
      </c>
      <c r="AE56" s="3">
        <v>-123.16</v>
      </c>
      <c r="AF56" s="3">
        <v>7918.7000000000062</v>
      </c>
      <c r="AG56" s="3">
        <v>8041.860000000006</v>
      </c>
      <c r="AH56" s="3">
        <v>123.16</v>
      </c>
      <c r="AI56">
        <v>1987.62</v>
      </c>
      <c r="AJ56">
        <v>0</v>
      </c>
      <c r="AK56">
        <v>-1987.62</v>
      </c>
      <c r="AL56">
        <v>5931.08</v>
      </c>
      <c r="AM56">
        <v>8041.860000000006</v>
      </c>
      <c r="AN56">
        <v>2110.7800000000002</v>
      </c>
      <c r="AO56">
        <v>190</v>
      </c>
    </row>
    <row r="57" spans="1:41" x14ac:dyDescent="0.35">
      <c r="A57">
        <v>2024</v>
      </c>
      <c r="B57">
        <v>6</v>
      </c>
      <c r="C57">
        <v>24</v>
      </c>
      <c r="D57" s="1">
        <v>45452</v>
      </c>
      <c r="E57" s="2" t="s">
        <v>41</v>
      </c>
      <c r="F57" s="2" t="s">
        <v>42</v>
      </c>
      <c r="G57" s="2" t="s">
        <v>43</v>
      </c>
      <c r="H57" s="3">
        <v>159405.75</v>
      </c>
      <c r="I57" s="3">
        <v>159405.75</v>
      </c>
      <c r="J57" s="3">
        <v>0</v>
      </c>
      <c r="K57" s="3">
        <v>2017.7200000000355</v>
      </c>
      <c r="L57" s="3">
        <v>2031.7200000000355</v>
      </c>
      <c r="M57" s="3">
        <v>14</v>
      </c>
      <c r="N57" s="3">
        <v>3446.5999999999799</v>
      </c>
      <c r="O57" s="3">
        <v>3446.5999999999799</v>
      </c>
      <c r="P57" s="3">
        <v>0</v>
      </c>
      <c r="Q57" s="3">
        <v>-16169.300000000001</v>
      </c>
      <c r="R57" s="3">
        <v>-14275.550000000001</v>
      </c>
      <c r="S57" s="3">
        <v>1893.75</v>
      </c>
      <c r="T57" s="3">
        <v>-13.200000000000003</v>
      </c>
      <c r="U57" s="3">
        <v>-14.060000000000002</v>
      </c>
      <c r="V57" s="3">
        <v>-0.86</v>
      </c>
      <c r="W57" s="3">
        <v>-100.28999999999999</v>
      </c>
      <c r="X57" s="3">
        <v>-100.28999999999999</v>
      </c>
      <c r="Y57" s="3">
        <v>0</v>
      </c>
      <c r="Z57" s="3">
        <v>148587.28000000142</v>
      </c>
      <c r="AA57" s="3">
        <v>150494.17000000144</v>
      </c>
      <c r="AB57" s="3">
        <v>1906.89</v>
      </c>
      <c r="AC57" s="3">
        <v>60961.620000000403</v>
      </c>
      <c r="AD57" s="3">
        <v>32088.339999999611</v>
      </c>
      <c r="AE57" s="3">
        <v>-28873.279999999766</v>
      </c>
      <c r="AF57" s="3">
        <v>87625.660000000207</v>
      </c>
      <c r="AG57" s="3">
        <v>118405.83000000144</v>
      </c>
      <c r="AH57" s="3">
        <v>30780.169999999765</v>
      </c>
      <c r="AI57">
        <v>-15606.220000000014</v>
      </c>
      <c r="AJ57">
        <v>0</v>
      </c>
      <c r="AK57">
        <v>15606.220000000014</v>
      </c>
      <c r="AL57">
        <v>103231.88000000038</v>
      </c>
      <c r="AM57">
        <v>118405.83000000144</v>
      </c>
      <c r="AN57">
        <v>15173.95000000003</v>
      </c>
      <c r="AO57">
        <v>2752</v>
      </c>
    </row>
    <row r="58" spans="1:41" x14ac:dyDescent="0.35">
      <c r="A58">
        <v>2024</v>
      </c>
      <c r="B58">
        <v>6</v>
      </c>
      <c r="C58">
        <v>24</v>
      </c>
      <c r="D58" s="1">
        <v>45453</v>
      </c>
      <c r="E58" s="2" t="s">
        <v>41</v>
      </c>
      <c r="F58" s="2" t="s">
        <v>42</v>
      </c>
      <c r="G58" s="2" t="s">
        <v>43</v>
      </c>
      <c r="H58" s="3">
        <v>152062.5</v>
      </c>
      <c r="I58" s="3">
        <v>152062.5</v>
      </c>
      <c r="J58" s="3">
        <v>0</v>
      </c>
      <c r="K58" s="3">
        <v>1738.680000000026</v>
      </c>
      <c r="L58" s="3">
        <v>1738.680000000026</v>
      </c>
      <c r="M58" s="3">
        <v>0</v>
      </c>
      <c r="N58" s="3">
        <v>3070.8199999999847</v>
      </c>
      <c r="O58" s="3">
        <v>3029.8499999999854</v>
      </c>
      <c r="P58" s="3">
        <v>-40.97</v>
      </c>
      <c r="Q58" s="3">
        <v>-15757</v>
      </c>
      <c r="R58" s="3">
        <v>-13926.75</v>
      </c>
      <c r="S58" s="3">
        <v>1830.25</v>
      </c>
      <c r="T58" s="3">
        <v>-21.760000000000005</v>
      </c>
      <c r="U58" s="3">
        <v>-21.760000000000005</v>
      </c>
      <c r="V58" s="3">
        <v>0</v>
      </c>
      <c r="W58" s="3">
        <v>-64.8</v>
      </c>
      <c r="X58" s="3">
        <v>-64.8</v>
      </c>
      <c r="Y58" s="3">
        <v>0</v>
      </c>
      <c r="Z58" s="3">
        <v>141028.44000000122</v>
      </c>
      <c r="AA58" s="3">
        <v>142817.72000000117</v>
      </c>
      <c r="AB58" s="3">
        <v>1789.28</v>
      </c>
      <c r="AC58" s="3">
        <v>57131.25000000008</v>
      </c>
      <c r="AD58" s="3">
        <v>25285.5699999998</v>
      </c>
      <c r="AE58" s="3">
        <v>-31845.679999999709</v>
      </c>
      <c r="AF58" s="3">
        <v>83897.190000000104</v>
      </c>
      <c r="AG58" s="3">
        <v>117532.15000000116</v>
      </c>
      <c r="AH58" s="3">
        <v>33634.959999999715</v>
      </c>
      <c r="AI58">
        <v>-12564.390000000016</v>
      </c>
      <c r="AJ58">
        <v>0</v>
      </c>
      <c r="AK58">
        <v>12564.390000000016</v>
      </c>
      <c r="AL58">
        <v>96461.580000000322</v>
      </c>
      <c r="AM58">
        <v>117532.15000000116</v>
      </c>
      <c r="AN58">
        <v>21070.569999999814</v>
      </c>
      <c r="AO58">
        <v>2616</v>
      </c>
    </row>
    <row r="59" spans="1:41" x14ac:dyDescent="0.35">
      <c r="A59">
        <v>2024</v>
      </c>
      <c r="B59">
        <v>6</v>
      </c>
      <c r="C59">
        <v>24</v>
      </c>
      <c r="D59" s="1">
        <v>45454</v>
      </c>
      <c r="E59" s="2" t="s">
        <v>41</v>
      </c>
      <c r="F59" s="2" t="s">
        <v>42</v>
      </c>
      <c r="G59" s="2" t="s">
        <v>43</v>
      </c>
      <c r="H59" s="3">
        <v>129251.5</v>
      </c>
      <c r="I59" s="3">
        <v>129251.5</v>
      </c>
      <c r="J59" s="3">
        <v>0</v>
      </c>
      <c r="K59" s="3">
        <v>1160.6700000000171</v>
      </c>
      <c r="L59" s="3">
        <v>1160.6700000000171</v>
      </c>
      <c r="M59" s="3">
        <v>0</v>
      </c>
      <c r="N59" s="3">
        <v>2521.2199999999939</v>
      </c>
      <c r="O59" s="3">
        <v>2521.2199999999939</v>
      </c>
      <c r="P59" s="3">
        <v>0</v>
      </c>
      <c r="Q59" s="3">
        <v>-12977.25</v>
      </c>
      <c r="R59" s="3">
        <v>-10873.25</v>
      </c>
      <c r="S59" s="3">
        <v>2104</v>
      </c>
      <c r="T59" s="3">
        <v>-11.430000000000001</v>
      </c>
      <c r="U59" s="3">
        <v>-11.430000000000001</v>
      </c>
      <c r="V59" s="3">
        <v>0</v>
      </c>
      <c r="W59" s="3">
        <v>-30.5</v>
      </c>
      <c r="X59" s="3">
        <v>-30.5</v>
      </c>
      <c r="Y59" s="3">
        <v>0</v>
      </c>
      <c r="Z59" s="3">
        <v>119914.21000000124</v>
      </c>
      <c r="AA59" s="3">
        <v>122018.21000000127</v>
      </c>
      <c r="AB59" s="3">
        <v>2104</v>
      </c>
      <c r="AC59" s="3">
        <v>45588.35999999995</v>
      </c>
      <c r="AD59" s="3">
        <v>20606.589999999873</v>
      </c>
      <c r="AE59" s="3">
        <v>-24981.769999999808</v>
      </c>
      <c r="AF59" s="3">
        <v>74325.849999999802</v>
      </c>
      <c r="AG59" s="3">
        <v>101411.62000000059</v>
      </c>
      <c r="AH59" s="3">
        <v>27085.769999999793</v>
      </c>
      <c r="AI59">
        <v>-10094.720000000001</v>
      </c>
      <c r="AJ59">
        <v>0</v>
      </c>
      <c r="AK59">
        <v>10094.720000000001</v>
      </c>
      <c r="AL59">
        <v>84420.569999999774</v>
      </c>
      <c r="AM59">
        <v>101411.62000000059</v>
      </c>
      <c r="AN59">
        <v>16991.050000000017</v>
      </c>
      <c r="AO59">
        <v>2217</v>
      </c>
    </row>
    <row r="60" spans="1:41" x14ac:dyDescent="0.35">
      <c r="A60">
        <v>2024</v>
      </c>
      <c r="B60">
        <v>6</v>
      </c>
      <c r="C60">
        <v>24</v>
      </c>
      <c r="D60" s="1">
        <v>45455</v>
      </c>
      <c r="E60" s="2" t="s">
        <v>41</v>
      </c>
      <c r="F60" s="2" t="s">
        <v>42</v>
      </c>
      <c r="G60" s="2" t="s">
        <v>43</v>
      </c>
      <c r="H60" s="3">
        <v>163601</v>
      </c>
      <c r="I60" s="3">
        <v>163601</v>
      </c>
      <c r="J60" s="3">
        <v>0</v>
      </c>
      <c r="K60" s="3">
        <v>1691.3000000000245</v>
      </c>
      <c r="L60" s="3">
        <v>1684.3000000000243</v>
      </c>
      <c r="M60" s="3">
        <v>-7</v>
      </c>
      <c r="N60" s="3">
        <v>2757.0799999999904</v>
      </c>
      <c r="O60" s="3">
        <v>2757.0799999999904</v>
      </c>
      <c r="P60" s="3">
        <v>0</v>
      </c>
      <c r="Q60" s="3">
        <v>-15970.75</v>
      </c>
      <c r="R60" s="3">
        <v>-13833.75</v>
      </c>
      <c r="S60" s="3">
        <v>2137</v>
      </c>
      <c r="T60" s="3">
        <v>-10.45</v>
      </c>
      <c r="U60" s="3">
        <v>-10.45</v>
      </c>
      <c r="V60" s="3">
        <v>0</v>
      </c>
      <c r="W60" s="3">
        <v>-55</v>
      </c>
      <c r="X60" s="3">
        <v>-55</v>
      </c>
      <c r="Y60" s="3">
        <v>0</v>
      </c>
      <c r="Z60" s="3">
        <v>152013.18000000084</v>
      </c>
      <c r="AA60" s="3">
        <v>154143.18000000072</v>
      </c>
      <c r="AB60" s="3">
        <v>2130</v>
      </c>
      <c r="AC60" s="3">
        <v>61208.280000000144</v>
      </c>
      <c r="AD60" s="3">
        <v>41017.719999999892</v>
      </c>
      <c r="AE60" s="3">
        <v>-20190.559999999903</v>
      </c>
      <c r="AF60" s="3">
        <v>90804.900000000402</v>
      </c>
      <c r="AG60" s="3">
        <v>113125.46000000095</v>
      </c>
      <c r="AH60" s="3">
        <v>22320.55999999987</v>
      </c>
      <c r="AI60">
        <v>-19394.410000000022</v>
      </c>
      <c r="AJ60">
        <v>0</v>
      </c>
      <c r="AK60">
        <v>19394.410000000022</v>
      </c>
      <c r="AL60">
        <v>110199.31000000032</v>
      </c>
      <c r="AM60">
        <v>113125.46000000095</v>
      </c>
      <c r="AN60">
        <v>2926.1500000000419</v>
      </c>
      <c r="AO60">
        <v>2817</v>
      </c>
    </row>
    <row r="61" spans="1:41" x14ac:dyDescent="0.35">
      <c r="A61">
        <v>2024</v>
      </c>
      <c r="B61">
        <v>6</v>
      </c>
      <c r="C61">
        <v>24</v>
      </c>
      <c r="D61" s="1">
        <v>45456</v>
      </c>
      <c r="E61" s="2" t="s">
        <v>41</v>
      </c>
      <c r="F61" s="2" t="s">
        <v>42</v>
      </c>
      <c r="G61" s="2" t="s">
        <v>43</v>
      </c>
      <c r="H61" s="3">
        <v>175315.5</v>
      </c>
      <c r="I61" s="3">
        <v>175315.5</v>
      </c>
      <c r="J61" s="3">
        <v>0</v>
      </c>
      <c r="K61" s="3">
        <v>1990.4900000000359</v>
      </c>
      <c r="L61" s="3">
        <v>1983.4900000000359</v>
      </c>
      <c r="M61" s="3">
        <v>-7</v>
      </c>
      <c r="N61" s="3">
        <v>3133.789999999984</v>
      </c>
      <c r="O61" s="3">
        <v>3115.8099999999845</v>
      </c>
      <c r="P61" s="3">
        <v>-17.98</v>
      </c>
      <c r="Q61" s="3">
        <v>-16702.5</v>
      </c>
      <c r="R61" s="3">
        <v>-15241</v>
      </c>
      <c r="S61" s="3">
        <v>1461.5</v>
      </c>
      <c r="T61" s="3">
        <v>-9.9500000000000046</v>
      </c>
      <c r="U61" s="3">
        <v>-9.9500000000000046</v>
      </c>
      <c r="V61" s="3">
        <v>0</v>
      </c>
      <c r="W61" s="3">
        <v>-113.99000000000001</v>
      </c>
      <c r="X61" s="3">
        <v>-113.99000000000001</v>
      </c>
      <c r="Y61" s="3">
        <v>0</v>
      </c>
      <c r="Z61" s="3">
        <v>163613.34000000058</v>
      </c>
      <c r="AA61" s="3">
        <v>165049.86000000057</v>
      </c>
      <c r="AB61" s="3">
        <v>1436.52</v>
      </c>
      <c r="AC61" s="3">
        <v>71418.049999999974</v>
      </c>
      <c r="AD61" s="3">
        <v>30769.719999999688</v>
      </c>
      <c r="AE61" s="3">
        <v>-40648.329999999914</v>
      </c>
      <c r="AF61" s="3">
        <v>92195.290000000285</v>
      </c>
      <c r="AG61" s="3">
        <v>134280.14000000156</v>
      </c>
      <c r="AH61" s="3">
        <v>42084.84999999994</v>
      </c>
      <c r="AI61">
        <v>-14595.889999999996</v>
      </c>
      <c r="AJ61">
        <v>0</v>
      </c>
      <c r="AK61">
        <v>14595.889999999996</v>
      </c>
      <c r="AL61">
        <v>106791.18000000068</v>
      </c>
      <c r="AM61">
        <v>134280.14000000156</v>
      </c>
      <c r="AN61">
        <v>27488.959999999763</v>
      </c>
      <c r="AO61">
        <v>3031</v>
      </c>
    </row>
    <row r="62" spans="1:41" x14ac:dyDescent="0.35">
      <c r="A62">
        <v>2024</v>
      </c>
      <c r="B62">
        <v>6</v>
      </c>
      <c r="C62">
        <v>24</v>
      </c>
      <c r="D62" s="1">
        <v>45457</v>
      </c>
      <c r="E62" s="2" t="s">
        <v>41</v>
      </c>
      <c r="F62" s="2" t="s">
        <v>42</v>
      </c>
      <c r="G62" s="2" t="s">
        <v>43</v>
      </c>
      <c r="H62" s="3">
        <v>154470</v>
      </c>
      <c r="I62" s="3">
        <v>154470</v>
      </c>
      <c r="J62" s="3">
        <v>0</v>
      </c>
      <c r="K62" s="3">
        <v>1789.2600000000277</v>
      </c>
      <c r="L62" s="3">
        <v>1789.2600000000277</v>
      </c>
      <c r="M62" s="3">
        <v>0</v>
      </c>
      <c r="N62" s="3">
        <v>2985.8799999999869</v>
      </c>
      <c r="O62" s="3">
        <v>2969.8899999999871</v>
      </c>
      <c r="P62" s="3">
        <v>-15.99</v>
      </c>
      <c r="Q62" s="3">
        <v>-14649.75</v>
      </c>
      <c r="R62" s="3">
        <v>-13223.75</v>
      </c>
      <c r="S62" s="3">
        <v>1426</v>
      </c>
      <c r="T62" s="3">
        <v>-5.830000000000001</v>
      </c>
      <c r="U62" s="3">
        <v>-5.830000000000001</v>
      </c>
      <c r="V62" s="3">
        <v>0</v>
      </c>
      <c r="W62" s="3">
        <v>-110.99000000000001</v>
      </c>
      <c r="X62" s="3">
        <v>-110.99000000000001</v>
      </c>
      <c r="Y62" s="3">
        <v>0</v>
      </c>
      <c r="Z62" s="3">
        <v>144478.57000000076</v>
      </c>
      <c r="AA62" s="3">
        <v>145888.58000000069</v>
      </c>
      <c r="AB62" s="3">
        <v>1410.01</v>
      </c>
      <c r="AC62" s="3">
        <v>64042.799999999916</v>
      </c>
      <c r="AD62" s="3">
        <v>33476.529999999715</v>
      </c>
      <c r="AE62" s="3">
        <v>-30566.269999999757</v>
      </c>
      <c r="AF62" s="3">
        <v>80435.77</v>
      </c>
      <c r="AG62" s="3">
        <v>112412.05000000093</v>
      </c>
      <c r="AH62" s="3">
        <v>31976.279999999737</v>
      </c>
      <c r="AI62">
        <v>-15740.940000000024</v>
      </c>
      <c r="AJ62">
        <v>0</v>
      </c>
      <c r="AK62">
        <v>15740.940000000024</v>
      </c>
      <c r="AL62">
        <v>96176.710000000225</v>
      </c>
      <c r="AM62">
        <v>112412.05000000093</v>
      </c>
      <c r="AN62">
        <v>16235.339999999971</v>
      </c>
      <c r="AO62">
        <v>2667</v>
      </c>
    </row>
    <row r="63" spans="1:41" x14ac:dyDescent="0.35">
      <c r="A63">
        <v>2024</v>
      </c>
      <c r="B63">
        <v>6</v>
      </c>
      <c r="C63">
        <v>24</v>
      </c>
      <c r="D63" s="1">
        <v>45458</v>
      </c>
      <c r="E63" s="2" t="s">
        <v>41</v>
      </c>
      <c r="F63" s="2" t="s">
        <v>42</v>
      </c>
      <c r="G63" s="2" t="s">
        <v>43</v>
      </c>
      <c r="H63" s="3">
        <v>154034.5</v>
      </c>
      <c r="I63" s="3">
        <v>154034.5</v>
      </c>
      <c r="J63" s="3">
        <v>0</v>
      </c>
      <c r="K63" s="3">
        <v>1719.6800000000262</v>
      </c>
      <c r="L63" s="3">
        <v>1712.6800000000262</v>
      </c>
      <c r="M63" s="3">
        <v>-7</v>
      </c>
      <c r="N63" s="3">
        <v>2861.929999999988</v>
      </c>
      <c r="O63" s="3">
        <v>2861.929999999988</v>
      </c>
      <c r="P63" s="3">
        <v>0</v>
      </c>
      <c r="Q63" s="3">
        <v>-14681</v>
      </c>
      <c r="R63" s="3">
        <v>-12841</v>
      </c>
      <c r="S63" s="3">
        <v>1840</v>
      </c>
      <c r="T63" s="3">
        <v>-18.280000000000005</v>
      </c>
      <c r="U63" s="3">
        <v>-17.330000000000005</v>
      </c>
      <c r="V63" s="3">
        <v>0.95000000000000007</v>
      </c>
      <c r="W63" s="3">
        <v>-85.990000000000009</v>
      </c>
      <c r="X63" s="3">
        <v>-85.990000000000009</v>
      </c>
      <c r="Y63" s="3">
        <v>0</v>
      </c>
      <c r="Z63" s="3">
        <v>143830.84000000151</v>
      </c>
      <c r="AA63" s="3">
        <v>145664.79000000135</v>
      </c>
      <c r="AB63" s="3">
        <v>1833.95</v>
      </c>
      <c r="AC63" s="3">
        <v>60997.760000000162</v>
      </c>
      <c r="AD63" s="3">
        <v>27757.249999999738</v>
      </c>
      <c r="AE63" s="3">
        <v>-33240.509999999747</v>
      </c>
      <c r="AF63" s="3">
        <v>82833.080000000176</v>
      </c>
      <c r="AG63" s="3">
        <v>117907.54000000114</v>
      </c>
      <c r="AH63" s="3">
        <v>35074.459999999839</v>
      </c>
      <c r="AI63">
        <v>-13053.610000000032</v>
      </c>
      <c r="AJ63">
        <v>0</v>
      </c>
      <c r="AK63">
        <v>13053.610000000032</v>
      </c>
      <c r="AL63">
        <v>95886.690000000337</v>
      </c>
      <c r="AM63">
        <v>117907.54000000114</v>
      </c>
      <c r="AN63">
        <v>22020.8499999999</v>
      </c>
      <c r="AO63">
        <v>2648</v>
      </c>
    </row>
    <row r="64" spans="1:41" x14ac:dyDescent="0.35">
      <c r="A64">
        <v>2024</v>
      </c>
      <c r="B64">
        <v>6</v>
      </c>
      <c r="C64">
        <v>24</v>
      </c>
      <c r="D64" s="1">
        <v>45452</v>
      </c>
      <c r="E64" s="2" t="s">
        <v>44</v>
      </c>
      <c r="F64" s="2" t="s">
        <v>42</v>
      </c>
      <c r="G64" s="2" t="s">
        <v>45</v>
      </c>
      <c r="H64" s="3">
        <v>196506.5</v>
      </c>
      <c r="I64" s="3">
        <v>196506.5</v>
      </c>
      <c r="J64" s="3">
        <v>0</v>
      </c>
      <c r="K64" s="3">
        <v>1299.4200000000126</v>
      </c>
      <c r="L64" s="3">
        <v>1299.4200000000126</v>
      </c>
      <c r="M64" s="3">
        <v>0</v>
      </c>
      <c r="N64" s="3">
        <v>7965.7899999999172</v>
      </c>
      <c r="O64" s="3">
        <v>7936.8099999999176</v>
      </c>
      <c r="P64" s="3">
        <v>-28.98</v>
      </c>
      <c r="Q64" s="3">
        <v>-33085.699999999997</v>
      </c>
      <c r="R64" s="3">
        <v>-31928.2</v>
      </c>
      <c r="S64" s="3">
        <v>1157.5</v>
      </c>
      <c r="T64" s="3">
        <v>-9.16</v>
      </c>
      <c r="U64" s="3">
        <v>-9.16</v>
      </c>
      <c r="V64" s="3">
        <v>0</v>
      </c>
      <c r="W64" s="3">
        <v>-149.89999999999998</v>
      </c>
      <c r="X64" s="3">
        <v>-149.89999999999998</v>
      </c>
      <c r="Y64" s="3">
        <v>0</v>
      </c>
      <c r="Z64" s="3">
        <v>172526.95000000056</v>
      </c>
      <c r="AA64" s="3">
        <v>173655.47000000055</v>
      </c>
      <c r="AB64" s="3">
        <v>1128.52</v>
      </c>
      <c r="AC64" s="3">
        <v>49264.749999999738</v>
      </c>
      <c r="AD64" s="3">
        <v>26483.499999999905</v>
      </c>
      <c r="AE64" s="3">
        <v>-22781.249999999916</v>
      </c>
      <c r="AF64" s="3">
        <v>123262.20000000043</v>
      </c>
      <c r="AG64" s="3">
        <v>147171.97000000064</v>
      </c>
      <c r="AH64" s="3">
        <v>23909.769999999909</v>
      </c>
      <c r="AI64">
        <v>-12741.19000000005</v>
      </c>
      <c r="AJ64">
        <v>0</v>
      </c>
      <c r="AK64">
        <v>12741.19000000005</v>
      </c>
      <c r="AL64">
        <v>136003.38999999955</v>
      </c>
      <c r="AM64">
        <v>147171.97000000064</v>
      </c>
      <c r="AN64">
        <v>11168.579999999918</v>
      </c>
      <c r="AO64">
        <v>2526</v>
      </c>
    </row>
    <row r="65" spans="1:41" x14ac:dyDescent="0.35">
      <c r="A65">
        <v>2024</v>
      </c>
      <c r="B65">
        <v>6</v>
      </c>
      <c r="C65">
        <v>24</v>
      </c>
      <c r="D65" s="1">
        <v>45453</v>
      </c>
      <c r="E65" s="2" t="s">
        <v>44</v>
      </c>
      <c r="F65" s="2" t="s">
        <v>42</v>
      </c>
      <c r="G65" s="2" t="s">
        <v>45</v>
      </c>
      <c r="H65" s="3">
        <v>185405</v>
      </c>
      <c r="I65" s="3">
        <v>185405</v>
      </c>
      <c r="J65" s="3">
        <v>0</v>
      </c>
      <c r="K65" s="3">
        <v>1297.8600000000156</v>
      </c>
      <c r="L65" s="3">
        <v>1297.8600000000156</v>
      </c>
      <c r="M65" s="3">
        <v>0</v>
      </c>
      <c r="N65" s="3">
        <v>7706.9499999999216</v>
      </c>
      <c r="O65" s="3">
        <v>7692.969999999922</v>
      </c>
      <c r="P65" s="3">
        <v>-13.98</v>
      </c>
      <c r="Q65" s="3">
        <v>-32053.15</v>
      </c>
      <c r="R65" s="3">
        <v>-31030.400000000001</v>
      </c>
      <c r="S65" s="3">
        <v>1022.75</v>
      </c>
      <c r="T65" s="3">
        <v>-8.85</v>
      </c>
      <c r="U65" s="3">
        <v>-8.85</v>
      </c>
      <c r="V65" s="3">
        <v>0</v>
      </c>
      <c r="W65" s="3">
        <v>-158.19</v>
      </c>
      <c r="X65" s="3">
        <v>-158.19</v>
      </c>
      <c r="Y65" s="3">
        <v>0</v>
      </c>
      <c r="Z65" s="3">
        <v>162189.62000000014</v>
      </c>
      <c r="AA65" s="3">
        <v>163198.39000000016</v>
      </c>
      <c r="AB65" s="3">
        <v>1008.77</v>
      </c>
      <c r="AC65" s="3">
        <v>45259.489999999772</v>
      </c>
      <c r="AD65" s="3">
        <v>19465.419999999933</v>
      </c>
      <c r="AE65" s="3">
        <v>-25794.069999999901</v>
      </c>
      <c r="AF65" s="3">
        <v>116930.13000000099</v>
      </c>
      <c r="AG65" s="3">
        <v>143732.97000000058</v>
      </c>
      <c r="AH65" s="3">
        <v>26802.839999999898</v>
      </c>
      <c r="AI65">
        <v>-9456.8900000000103</v>
      </c>
      <c r="AJ65">
        <v>0</v>
      </c>
      <c r="AK65">
        <v>9456.8900000000103</v>
      </c>
      <c r="AL65">
        <v>126387.02000000034</v>
      </c>
      <c r="AM65">
        <v>143732.97000000058</v>
      </c>
      <c r="AN65">
        <v>17345.949999999877</v>
      </c>
      <c r="AO65">
        <v>2372</v>
      </c>
    </row>
    <row r="66" spans="1:41" x14ac:dyDescent="0.35">
      <c r="A66">
        <v>2024</v>
      </c>
      <c r="B66">
        <v>6</v>
      </c>
      <c r="C66">
        <v>24</v>
      </c>
      <c r="D66" s="1">
        <v>45454</v>
      </c>
      <c r="E66" s="2" t="s">
        <v>44</v>
      </c>
      <c r="F66" s="2" t="s">
        <v>42</v>
      </c>
      <c r="G66" s="2" t="s">
        <v>45</v>
      </c>
      <c r="H66" s="3">
        <v>143412</v>
      </c>
      <c r="I66" s="3">
        <v>143412</v>
      </c>
      <c r="J66" s="3">
        <v>0</v>
      </c>
      <c r="K66" s="3">
        <v>899.700000000003</v>
      </c>
      <c r="L66" s="3">
        <v>899.700000000003</v>
      </c>
      <c r="M66" s="3">
        <v>0</v>
      </c>
      <c r="N66" s="3">
        <v>5859.2599999999484</v>
      </c>
      <c r="O66" s="3">
        <v>5843.2699999999486</v>
      </c>
      <c r="P66" s="3">
        <v>-15.99</v>
      </c>
      <c r="Q66" s="3">
        <v>-25887.200000000001</v>
      </c>
      <c r="R66" s="3">
        <v>-24860.95</v>
      </c>
      <c r="S66" s="3">
        <v>1026.25</v>
      </c>
      <c r="T66" s="3">
        <v>-23.84</v>
      </c>
      <c r="U66" s="3">
        <v>-23.84</v>
      </c>
      <c r="V66" s="3">
        <v>0</v>
      </c>
      <c r="W66" s="3">
        <v>-111.69</v>
      </c>
      <c r="X66" s="3">
        <v>-111.69</v>
      </c>
      <c r="Y66" s="3">
        <v>0</v>
      </c>
      <c r="Z66" s="3">
        <v>124148.2300000009</v>
      </c>
      <c r="AA66" s="3">
        <v>125158.49000000089</v>
      </c>
      <c r="AB66" s="3">
        <v>1010.26</v>
      </c>
      <c r="AC66" s="3">
        <v>33963.569999999876</v>
      </c>
      <c r="AD66" s="3">
        <v>14831.839999999964</v>
      </c>
      <c r="AE66" s="3">
        <v>-19131.729999999927</v>
      </c>
      <c r="AF66" s="3">
        <v>90184.660000000178</v>
      </c>
      <c r="AG66" s="3">
        <v>110326.65000000046</v>
      </c>
      <c r="AH66" s="3">
        <v>20141.989999999922</v>
      </c>
      <c r="AI66">
        <v>-7353.8400000000129</v>
      </c>
      <c r="AJ66">
        <v>0</v>
      </c>
      <c r="AK66">
        <v>7353.8400000000129</v>
      </c>
      <c r="AL66">
        <v>97538.499999999811</v>
      </c>
      <c r="AM66">
        <v>110326.65000000046</v>
      </c>
      <c r="AN66">
        <v>12788.149999999918</v>
      </c>
      <c r="AO66">
        <v>1823</v>
      </c>
    </row>
    <row r="67" spans="1:41" x14ac:dyDescent="0.35">
      <c r="A67">
        <v>2024</v>
      </c>
      <c r="B67">
        <v>6</v>
      </c>
      <c r="C67">
        <v>24</v>
      </c>
      <c r="D67" s="1">
        <v>45455</v>
      </c>
      <c r="E67" s="2" t="s">
        <v>44</v>
      </c>
      <c r="F67" s="2" t="s">
        <v>42</v>
      </c>
      <c r="G67" s="2" t="s">
        <v>45</v>
      </c>
      <c r="H67" s="3">
        <v>178277</v>
      </c>
      <c r="I67" s="3">
        <v>178277</v>
      </c>
      <c r="J67" s="3">
        <v>0</v>
      </c>
      <c r="K67" s="3">
        <v>1150.4100000000126</v>
      </c>
      <c r="L67" s="3">
        <v>1150.4100000000126</v>
      </c>
      <c r="M67" s="3">
        <v>0</v>
      </c>
      <c r="N67" s="3">
        <v>5842.2099999999473</v>
      </c>
      <c r="O67" s="3">
        <v>5842.2099999999473</v>
      </c>
      <c r="P67" s="3">
        <v>0</v>
      </c>
      <c r="Q67" s="3">
        <v>-30647.21</v>
      </c>
      <c r="R67" s="3">
        <v>-29348.510000000002</v>
      </c>
      <c r="S67" s="3">
        <v>1298.7</v>
      </c>
      <c r="T67" s="3">
        <v>-31.169999999999998</v>
      </c>
      <c r="U67" s="3">
        <v>-31.169999999999998</v>
      </c>
      <c r="V67" s="3">
        <v>0</v>
      </c>
      <c r="W67" s="3">
        <v>-131.28</v>
      </c>
      <c r="X67" s="3">
        <v>-131.28</v>
      </c>
      <c r="Y67" s="3">
        <v>0</v>
      </c>
      <c r="Z67" s="3">
        <v>154459.9600000002</v>
      </c>
      <c r="AA67" s="3">
        <v>155758.66000000024</v>
      </c>
      <c r="AB67" s="3">
        <v>1298.7</v>
      </c>
      <c r="AC67" s="3">
        <v>42325.269999999844</v>
      </c>
      <c r="AD67" s="3">
        <v>27889.869999999919</v>
      </c>
      <c r="AE67" s="3">
        <v>-14435.399999999943</v>
      </c>
      <c r="AF67" s="3">
        <v>112134.69000000044</v>
      </c>
      <c r="AG67" s="3">
        <v>127868.79000000079</v>
      </c>
      <c r="AH67" s="3">
        <v>15734.099999999939</v>
      </c>
      <c r="AI67">
        <v>-13231.080000000034</v>
      </c>
      <c r="AJ67">
        <v>0</v>
      </c>
      <c r="AK67">
        <v>13231.080000000034</v>
      </c>
      <c r="AL67">
        <v>125365.7699999998</v>
      </c>
      <c r="AM67">
        <v>127868.79000000079</v>
      </c>
      <c r="AN67">
        <v>2503.0200000000059</v>
      </c>
      <c r="AO67">
        <v>2295</v>
      </c>
    </row>
    <row r="68" spans="1:41" x14ac:dyDescent="0.35">
      <c r="A68">
        <v>2024</v>
      </c>
      <c r="B68">
        <v>6</v>
      </c>
      <c r="C68">
        <v>24</v>
      </c>
      <c r="D68" s="1">
        <v>45456</v>
      </c>
      <c r="E68" s="2" t="s">
        <v>44</v>
      </c>
      <c r="F68" s="2" t="s">
        <v>42</v>
      </c>
      <c r="G68" s="2" t="s">
        <v>45</v>
      </c>
      <c r="H68" s="3">
        <v>200275.5</v>
      </c>
      <c r="I68" s="3">
        <v>200275.5</v>
      </c>
      <c r="J68" s="3">
        <v>0</v>
      </c>
      <c r="K68" s="3">
        <v>1477.9700000000128</v>
      </c>
      <c r="L68" s="3">
        <v>1477.9700000000128</v>
      </c>
      <c r="M68" s="3">
        <v>0</v>
      </c>
      <c r="N68" s="3">
        <v>6789.5799999999335</v>
      </c>
      <c r="O68" s="3">
        <v>6770.5899999999338</v>
      </c>
      <c r="P68" s="3">
        <v>-18.990000000000002</v>
      </c>
      <c r="Q68" s="3">
        <v>-31964.66</v>
      </c>
      <c r="R68" s="3">
        <v>-30931.16</v>
      </c>
      <c r="S68" s="3">
        <v>1033.5</v>
      </c>
      <c r="T68" s="3">
        <v>-24.419999999999998</v>
      </c>
      <c r="U68" s="3">
        <v>-24.419999999999998</v>
      </c>
      <c r="V68" s="3">
        <v>0</v>
      </c>
      <c r="W68" s="3">
        <v>-90.66</v>
      </c>
      <c r="X68" s="3">
        <v>-90.66</v>
      </c>
      <c r="Y68" s="3">
        <v>0</v>
      </c>
      <c r="Z68" s="3">
        <v>176463.31000000011</v>
      </c>
      <c r="AA68" s="3">
        <v>177477.82000000007</v>
      </c>
      <c r="AB68" s="3">
        <v>1014.51</v>
      </c>
      <c r="AC68" s="3">
        <v>52962.479999999756</v>
      </c>
      <c r="AD68" s="3">
        <v>25697.869999999893</v>
      </c>
      <c r="AE68" s="3">
        <v>-27264.609999999899</v>
      </c>
      <c r="AF68" s="3">
        <v>123500.83000000031</v>
      </c>
      <c r="AG68" s="3">
        <v>151779.95000000036</v>
      </c>
      <c r="AH68" s="3">
        <v>28279.119999999904</v>
      </c>
      <c r="AI68">
        <v>-12118.110000000032</v>
      </c>
      <c r="AJ68">
        <v>0</v>
      </c>
      <c r="AK68">
        <v>12118.110000000032</v>
      </c>
      <c r="AL68">
        <v>135618.93999999989</v>
      </c>
      <c r="AM68">
        <v>151779.95000000036</v>
      </c>
      <c r="AN68">
        <v>16161.009999999897</v>
      </c>
      <c r="AO68">
        <v>2594</v>
      </c>
    </row>
    <row r="69" spans="1:41" x14ac:dyDescent="0.35">
      <c r="A69">
        <v>2024</v>
      </c>
      <c r="B69">
        <v>6</v>
      </c>
      <c r="C69">
        <v>24</v>
      </c>
      <c r="D69" s="1">
        <v>45457</v>
      </c>
      <c r="E69" s="2" t="s">
        <v>44</v>
      </c>
      <c r="F69" s="2" t="s">
        <v>42</v>
      </c>
      <c r="G69" s="2" t="s">
        <v>45</v>
      </c>
      <c r="H69" s="3">
        <v>200959.5</v>
      </c>
      <c r="I69" s="3">
        <v>200959.5</v>
      </c>
      <c r="J69" s="3">
        <v>0</v>
      </c>
      <c r="K69" s="3">
        <v>1508.610000000017</v>
      </c>
      <c r="L69" s="3">
        <v>1508.610000000017</v>
      </c>
      <c r="M69" s="3">
        <v>0</v>
      </c>
      <c r="N69" s="3">
        <v>7694.0799999999217</v>
      </c>
      <c r="O69" s="3">
        <v>7640.1099999999224</v>
      </c>
      <c r="P69" s="3">
        <v>-53.970000000000006</v>
      </c>
      <c r="Q69" s="3">
        <v>-32668.2</v>
      </c>
      <c r="R69" s="3">
        <v>-31288.45</v>
      </c>
      <c r="S69" s="3">
        <v>1379.75</v>
      </c>
      <c r="T69" s="3">
        <v>-13.879999999999999</v>
      </c>
      <c r="U69" s="3">
        <v>-13.419999999999998</v>
      </c>
      <c r="V69" s="3">
        <v>0.46</v>
      </c>
      <c r="W69" s="3">
        <v>-147.16000000000003</v>
      </c>
      <c r="X69" s="3">
        <v>-131.17000000000002</v>
      </c>
      <c r="Y69" s="3">
        <v>15.99</v>
      </c>
      <c r="Z69" s="3">
        <v>177332.95000000039</v>
      </c>
      <c r="AA69" s="3">
        <v>178675.18000000034</v>
      </c>
      <c r="AB69" s="3">
        <v>1342.23</v>
      </c>
      <c r="AC69" s="3">
        <v>55635.299999999646</v>
      </c>
      <c r="AD69" s="3">
        <v>30497.459999999945</v>
      </c>
      <c r="AE69" s="3">
        <v>-25137.839999999902</v>
      </c>
      <c r="AF69" s="3">
        <v>121697.65000000029</v>
      </c>
      <c r="AG69" s="3">
        <v>148177.7200000005</v>
      </c>
      <c r="AH69" s="3">
        <v>26480.069999999901</v>
      </c>
      <c r="AI69">
        <v>-14819.330000000034</v>
      </c>
      <c r="AJ69">
        <v>0</v>
      </c>
      <c r="AK69">
        <v>14819.330000000034</v>
      </c>
      <c r="AL69">
        <v>136516.9799999996</v>
      </c>
      <c r="AM69">
        <v>148177.7200000005</v>
      </c>
      <c r="AN69">
        <v>11660.739999999969</v>
      </c>
      <c r="AO69">
        <v>2569</v>
      </c>
    </row>
    <row r="70" spans="1:41" x14ac:dyDescent="0.35">
      <c r="A70">
        <v>2024</v>
      </c>
      <c r="B70">
        <v>6</v>
      </c>
      <c r="C70">
        <v>24</v>
      </c>
      <c r="D70" s="1">
        <v>45458</v>
      </c>
      <c r="E70" s="2" t="s">
        <v>44</v>
      </c>
      <c r="F70" s="2" t="s">
        <v>42</v>
      </c>
      <c r="G70" s="2" t="s">
        <v>45</v>
      </c>
      <c r="H70" s="3">
        <v>200843</v>
      </c>
      <c r="I70" s="3">
        <v>200843</v>
      </c>
      <c r="J70" s="3">
        <v>0</v>
      </c>
      <c r="K70" s="3">
        <v>1533.1700000000149</v>
      </c>
      <c r="L70" s="3">
        <v>1503.1700000000146</v>
      </c>
      <c r="M70" s="3">
        <v>-30</v>
      </c>
      <c r="N70" s="3">
        <v>7987.8299999999172</v>
      </c>
      <c r="O70" s="3">
        <v>7987.8299999999172</v>
      </c>
      <c r="P70" s="3">
        <v>0</v>
      </c>
      <c r="Q70" s="3">
        <v>-33102.25</v>
      </c>
      <c r="R70" s="3">
        <v>-32106.25</v>
      </c>
      <c r="S70" s="3">
        <v>996</v>
      </c>
      <c r="T70" s="3">
        <v>-13.21</v>
      </c>
      <c r="U70" s="3">
        <v>-13.21</v>
      </c>
      <c r="V70" s="3">
        <v>0</v>
      </c>
      <c r="W70" s="3">
        <v>-167.79</v>
      </c>
      <c r="X70" s="3">
        <v>-167.79</v>
      </c>
      <c r="Y70" s="3">
        <v>0</v>
      </c>
      <c r="Z70" s="3">
        <v>177080.75000000003</v>
      </c>
      <c r="AA70" s="3">
        <v>178046.75000000006</v>
      </c>
      <c r="AB70" s="3">
        <v>966</v>
      </c>
      <c r="AC70" s="3">
        <v>54104.849999999773</v>
      </c>
      <c r="AD70" s="3">
        <v>23856.669999999929</v>
      </c>
      <c r="AE70" s="3">
        <v>-30248.179999999935</v>
      </c>
      <c r="AF70" s="3">
        <v>122975.90000000066</v>
      </c>
      <c r="AG70" s="3">
        <v>154190.08000000037</v>
      </c>
      <c r="AH70" s="3">
        <v>31214.179999999946</v>
      </c>
      <c r="AI70">
        <v>-11160.400000000005</v>
      </c>
      <c r="AJ70">
        <v>0</v>
      </c>
      <c r="AK70">
        <v>11160.400000000005</v>
      </c>
      <c r="AL70">
        <v>134136.30000000019</v>
      </c>
      <c r="AM70">
        <v>154190.08000000037</v>
      </c>
      <c r="AN70">
        <v>20053.779999999861</v>
      </c>
      <c r="AO70">
        <v>2563</v>
      </c>
    </row>
    <row r="71" spans="1:41" x14ac:dyDescent="0.35">
      <c r="A71">
        <v>2024</v>
      </c>
      <c r="B71">
        <v>6</v>
      </c>
      <c r="C71">
        <v>24</v>
      </c>
      <c r="D71" s="1">
        <v>45452</v>
      </c>
      <c r="E71" s="2" t="s">
        <v>44</v>
      </c>
      <c r="F71" s="2" t="s">
        <v>42</v>
      </c>
      <c r="G71" s="2" t="s">
        <v>46</v>
      </c>
      <c r="H71" s="3">
        <v>73754.86</v>
      </c>
      <c r="I71" s="3">
        <v>73754.86</v>
      </c>
      <c r="J71" s="3">
        <v>0</v>
      </c>
      <c r="K71" s="3">
        <v>471.60999999999905</v>
      </c>
      <c r="L71" s="3">
        <v>471.60999999999905</v>
      </c>
      <c r="M71" s="3">
        <v>0</v>
      </c>
      <c r="N71" s="3">
        <v>1731.9200000000008</v>
      </c>
      <c r="O71" s="3">
        <v>1731.9200000000008</v>
      </c>
      <c r="P71" s="3">
        <v>0</v>
      </c>
      <c r="Q71" s="3">
        <v>-24884.310000000005</v>
      </c>
      <c r="R71" s="3">
        <v>-24337.310000000005</v>
      </c>
      <c r="S71" s="3">
        <v>547</v>
      </c>
      <c r="T71" s="3">
        <v>0</v>
      </c>
      <c r="U71" s="3">
        <v>0</v>
      </c>
      <c r="V71" s="3">
        <v>0</v>
      </c>
      <c r="W71" s="3">
        <v>-25.7</v>
      </c>
      <c r="X71" s="3">
        <v>-25.7</v>
      </c>
      <c r="Y71" s="3">
        <v>0</v>
      </c>
      <c r="Z71" s="3">
        <v>51048.37999999983</v>
      </c>
      <c r="AA71" s="3">
        <v>51595.379999999823</v>
      </c>
      <c r="AB71" s="3">
        <v>547</v>
      </c>
      <c r="AC71" s="3">
        <v>17865.809999999936</v>
      </c>
      <c r="AD71" s="3">
        <v>9233.130000000001</v>
      </c>
      <c r="AE71" s="3">
        <v>-8632.6800000000076</v>
      </c>
      <c r="AF71" s="3">
        <v>33182.570000000058</v>
      </c>
      <c r="AG71" s="3">
        <v>42362.249999999927</v>
      </c>
      <c r="AH71" s="3">
        <v>9179.6800000000021</v>
      </c>
      <c r="AI71">
        <v>-2958.7499999999977</v>
      </c>
      <c r="AJ71">
        <v>0</v>
      </c>
      <c r="AK71">
        <v>2958.7499999999977</v>
      </c>
      <c r="AL71">
        <v>36141.319999999985</v>
      </c>
      <c r="AM71">
        <v>42362.249999999927</v>
      </c>
      <c r="AN71">
        <v>6220.9300000000094</v>
      </c>
      <c r="AO71">
        <v>848</v>
      </c>
    </row>
    <row r="72" spans="1:41" x14ac:dyDescent="0.35">
      <c r="A72">
        <v>2024</v>
      </c>
      <c r="B72">
        <v>6</v>
      </c>
      <c r="C72">
        <v>24</v>
      </c>
      <c r="D72" s="1">
        <v>45453</v>
      </c>
      <c r="E72" s="2" t="s">
        <v>44</v>
      </c>
      <c r="F72" s="2" t="s">
        <v>42</v>
      </c>
      <c r="G72" s="2" t="s">
        <v>46</v>
      </c>
      <c r="H72" s="3">
        <v>62007.43</v>
      </c>
      <c r="I72" s="3">
        <v>62007.43</v>
      </c>
      <c r="J72" s="3">
        <v>0</v>
      </c>
      <c r="K72" s="3">
        <v>218.74000000000007</v>
      </c>
      <c r="L72" s="3">
        <v>218.74000000000007</v>
      </c>
      <c r="M72" s="3">
        <v>0</v>
      </c>
      <c r="N72" s="3">
        <v>1540.0500000000006</v>
      </c>
      <c r="O72" s="3">
        <v>1521.0600000000006</v>
      </c>
      <c r="P72" s="3">
        <v>-18.990000000000002</v>
      </c>
      <c r="Q72" s="3">
        <v>-21302.300000000003</v>
      </c>
      <c r="R72" s="3">
        <v>-20929.2</v>
      </c>
      <c r="S72" s="3">
        <v>373.1</v>
      </c>
      <c r="T72" s="3">
        <v>0</v>
      </c>
      <c r="U72" s="3">
        <v>0</v>
      </c>
      <c r="V72" s="3">
        <v>0</v>
      </c>
      <c r="W72" s="3">
        <v>-10</v>
      </c>
      <c r="X72" s="3">
        <v>-10</v>
      </c>
      <c r="Y72" s="3">
        <v>0</v>
      </c>
      <c r="Z72" s="3">
        <v>42453.91999999994</v>
      </c>
      <c r="AA72" s="3">
        <v>42808.029999999933</v>
      </c>
      <c r="AB72" s="3">
        <v>354.11</v>
      </c>
      <c r="AC72" s="3">
        <v>15381.209999999957</v>
      </c>
      <c r="AD72" s="3">
        <v>6566.1500000000078</v>
      </c>
      <c r="AE72" s="3">
        <v>-8815.0600000000068</v>
      </c>
      <c r="AF72" s="3">
        <v>27072.710000000046</v>
      </c>
      <c r="AG72" s="3">
        <v>36241.880000000005</v>
      </c>
      <c r="AH72" s="3">
        <v>9169.1700000000019</v>
      </c>
      <c r="AI72">
        <v>-2580.9499999999985</v>
      </c>
      <c r="AJ72">
        <v>0</v>
      </c>
      <c r="AK72">
        <v>2580.9499999999985</v>
      </c>
      <c r="AL72">
        <v>29653.660000000003</v>
      </c>
      <c r="AM72">
        <v>36241.880000000005</v>
      </c>
      <c r="AN72">
        <v>6588.2200000000012</v>
      </c>
      <c r="AO72">
        <v>696</v>
      </c>
    </row>
    <row r="73" spans="1:41" x14ac:dyDescent="0.35">
      <c r="A73">
        <v>2024</v>
      </c>
      <c r="B73">
        <v>6</v>
      </c>
      <c r="C73">
        <v>24</v>
      </c>
      <c r="D73" s="1">
        <v>45454</v>
      </c>
      <c r="E73" s="2" t="s">
        <v>44</v>
      </c>
      <c r="F73" s="2" t="s">
        <v>42</v>
      </c>
      <c r="G73" s="2" t="s">
        <v>46</v>
      </c>
      <c r="H73" s="3">
        <v>41202.36</v>
      </c>
      <c r="I73" s="3">
        <v>41202.36</v>
      </c>
      <c r="J73" s="3">
        <v>0</v>
      </c>
      <c r="K73" s="3">
        <v>182.5199999999999</v>
      </c>
      <c r="L73" s="3">
        <v>182.5199999999999</v>
      </c>
      <c r="M73" s="3">
        <v>0</v>
      </c>
      <c r="N73" s="3">
        <v>1160.2600000000004</v>
      </c>
      <c r="O73" s="3">
        <v>1160.2600000000004</v>
      </c>
      <c r="P73" s="3">
        <v>0</v>
      </c>
      <c r="Q73" s="3">
        <v>-14356.030000000002</v>
      </c>
      <c r="R73" s="3">
        <v>-14114.030000000002</v>
      </c>
      <c r="S73" s="3">
        <v>242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28189.110000000019</v>
      </c>
      <c r="AA73" s="3">
        <v>28431.110000000019</v>
      </c>
      <c r="AB73" s="3">
        <v>242</v>
      </c>
      <c r="AC73" s="3">
        <v>10485.489999999991</v>
      </c>
      <c r="AD73" s="3">
        <v>4085.4800000000032</v>
      </c>
      <c r="AE73" s="3">
        <v>-6400.0100000000066</v>
      </c>
      <c r="AF73" s="3">
        <v>17703.620000000014</v>
      </c>
      <c r="AG73" s="3">
        <v>24345.630000000016</v>
      </c>
      <c r="AH73" s="3">
        <v>6642.0100000000066</v>
      </c>
      <c r="AI73">
        <v>-1623.0300000000004</v>
      </c>
      <c r="AJ73">
        <v>0</v>
      </c>
      <c r="AK73">
        <v>1623.0300000000004</v>
      </c>
      <c r="AL73">
        <v>19326.649999999998</v>
      </c>
      <c r="AM73">
        <v>24345.630000000016</v>
      </c>
      <c r="AN73">
        <v>5018.9800000000041</v>
      </c>
      <c r="AO73">
        <v>464</v>
      </c>
    </row>
    <row r="74" spans="1:41" x14ac:dyDescent="0.35">
      <c r="A74">
        <v>2024</v>
      </c>
      <c r="B74">
        <v>6</v>
      </c>
      <c r="C74">
        <v>24</v>
      </c>
      <c r="D74" s="1">
        <v>45455</v>
      </c>
      <c r="E74" s="2" t="s">
        <v>44</v>
      </c>
      <c r="F74" s="2" t="s">
        <v>42</v>
      </c>
      <c r="G74" s="2" t="s">
        <v>46</v>
      </c>
      <c r="H74" s="3">
        <v>55011.32</v>
      </c>
      <c r="I74" s="3">
        <v>55011.32</v>
      </c>
      <c r="J74" s="3">
        <v>0</v>
      </c>
      <c r="K74" s="3">
        <v>270.78999999999996</v>
      </c>
      <c r="L74" s="3">
        <v>270.78999999999996</v>
      </c>
      <c r="M74" s="3">
        <v>0</v>
      </c>
      <c r="N74" s="3">
        <v>1532.0300000000007</v>
      </c>
      <c r="O74" s="3">
        <v>1532.0300000000007</v>
      </c>
      <c r="P74" s="3">
        <v>0</v>
      </c>
      <c r="Q74" s="3">
        <v>-18652.920000000002</v>
      </c>
      <c r="R74" s="3">
        <v>-18205.919999999998</v>
      </c>
      <c r="S74" s="3">
        <v>447</v>
      </c>
      <c r="T74" s="3">
        <v>-8</v>
      </c>
      <c r="U74" s="3">
        <v>-8</v>
      </c>
      <c r="V74" s="3">
        <v>0</v>
      </c>
      <c r="W74" s="3">
        <v>-5</v>
      </c>
      <c r="X74" s="3">
        <v>-5</v>
      </c>
      <c r="Y74" s="3">
        <v>0</v>
      </c>
      <c r="Z74" s="3">
        <v>38148.219999999979</v>
      </c>
      <c r="AA74" s="3">
        <v>38595.219999999972</v>
      </c>
      <c r="AB74" s="3">
        <v>447</v>
      </c>
      <c r="AC74" s="3">
        <v>13408.919999999973</v>
      </c>
      <c r="AD74" s="3">
        <v>9389.7999999999993</v>
      </c>
      <c r="AE74" s="3">
        <v>-4019.1200000000031</v>
      </c>
      <c r="AF74" s="3">
        <v>24739.300000000047</v>
      </c>
      <c r="AG74" s="3">
        <v>29205.420000000056</v>
      </c>
      <c r="AH74" s="3">
        <v>4466.1200000000035</v>
      </c>
      <c r="AI74">
        <v>-3314.1200000000008</v>
      </c>
      <c r="AJ74">
        <v>0</v>
      </c>
      <c r="AK74">
        <v>3314.1200000000008</v>
      </c>
      <c r="AL74">
        <v>28053.420000000031</v>
      </c>
      <c r="AM74">
        <v>29205.420000000056</v>
      </c>
      <c r="AN74">
        <v>1151.9999999999998</v>
      </c>
      <c r="AO74">
        <v>621</v>
      </c>
    </row>
    <row r="75" spans="1:41" x14ac:dyDescent="0.35">
      <c r="A75">
        <v>2024</v>
      </c>
      <c r="B75">
        <v>6</v>
      </c>
      <c r="C75">
        <v>24</v>
      </c>
      <c r="D75" s="1">
        <v>45456</v>
      </c>
      <c r="E75" s="2" t="s">
        <v>44</v>
      </c>
      <c r="F75" s="2" t="s">
        <v>42</v>
      </c>
      <c r="G75" s="2" t="s">
        <v>46</v>
      </c>
      <c r="H75" s="3">
        <v>73520.790000000008</v>
      </c>
      <c r="I75" s="3">
        <v>73520.790000000008</v>
      </c>
      <c r="J75" s="3">
        <v>0</v>
      </c>
      <c r="K75" s="3">
        <v>284.47999999999934</v>
      </c>
      <c r="L75" s="3">
        <v>284.47999999999934</v>
      </c>
      <c r="M75" s="3">
        <v>0</v>
      </c>
      <c r="N75" s="3">
        <v>1589.0000000000007</v>
      </c>
      <c r="O75" s="3">
        <v>1554.0200000000007</v>
      </c>
      <c r="P75" s="3">
        <v>-34.980000000000004</v>
      </c>
      <c r="Q75" s="3">
        <v>-25374.09</v>
      </c>
      <c r="R75" s="3">
        <v>-24958.09</v>
      </c>
      <c r="S75" s="3">
        <v>416</v>
      </c>
      <c r="T75" s="3">
        <v>-26.12</v>
      </c>
      <c r="U75" s="3">
        <v>-26.12</v>
      </c>
      <c r="V75" s="3">
        <v>0</v>
      </c>
      <c r="W75" s="3">
        <v>-13</v>
      </c>
      <c r="X75" s="3">
        <v>-13</v>
      </c>
      <c r="Y75" s="3">
        <v>0</v>
      </c>
      <c r="Z75" s="3">
        <v>49981.059999999889</v>
      </c>
      <c r="AA75" s="3">
        <v>50362.079999999885</v>
      </c>
      <c r="AB75" s="3">
        <v>381.02</v>
      </c>
      <c r="AC75" s="3">
        <v>18545.799999999948</v>
      </c>
      <c r="AD75" s="3">
        <v>9242.9600000000028</v>
      </c>
      <c r="AE75" s="3">
        <v>-9302.8400000000056</v>
      </c>
      <c r="AF75" s="3">
        <v>31435.260000000071</v>
      </c>
      <c r="AG75" s="3">
        <v>41119.119999999995</v>
      </c>
      <c r="AH75" s="3">
        <v>9683.86</v>
      </c>
      <c r="AI75">
        <v>-3078.2499999999991</v>
      </c>
      <c r="AJ75">
        <v>0</v>
      </c>
      <c r="AK75">
        <v>3078.2499999999991</v>
      </c>
      <c r="AL75">
        <v>34513.510000000024</v>
      </c>
      <c r="AM75">
        <v>41119.119999999995</v>
      </c>
      <c r="AN75">
        <v>6605.6100000000051</v>
      </c>
      <c r="AO75">
        <v>831</v>
      </c>
    </row>
    <row r="76" spans="1:41" x14ac:dyDescent="0.35">
      <c r="A76">
        <v>2024</v>
      </c>
      <c r="B76">
        <v>6</v>
      </c>
      <c r="C76">
        <v>24</v>
      </c>
      <c r="D76" s="1">
        <v>45457</v>
      </c>
      <c r="E76" s="2" t="s">
        <v>44</v>
      </c>
      <c r="F76" s="2" t="s">
        <v>42</v>
      </c>
      <c r="G76" s="2" t="s">
        <v>46</v>
      </c>
      <c r="H76" s="3">
        <v>73571.73</v>
      </c>
      <c r="I76" s="3">
        <v>73571.73</v>
      </c>
      <c r="J76" s="3">
        <v>0</v>
      </c>
      <c r="K76" s="3">
        <v>356.65999999999974</v>
      </c>
      <c r="L76" s="3">
        <v>356.65999999999974</v>
      </c>
      <c r="M76" s="3">
        <v>0</v>
      </c>
      <c r="N76" s="3">
        <v>1432.1000000000006</v>
      </c>
      <c r="O76" s="3">
        <v>1413.1100000000006</v>
      </c>
      <c r="P76" s="3">
        <v>-18.990000000000002</v>
      </c>
      <c r="Q76" s="3">
        <v>-25502.280000000006</v>
      </c>
      <c r="R76" s="3">
        <v>-25017.030000000002</v>
      </c>
      <c r="S76" s="3">
        <v>485.25</v>
      </c>
      <c r="T76" s="3">
        <v>-0.68</v>
      </c>
      <c r="U76" s="3">
        <v>-0.68</v>
      </c>
      <c r="V76" s="3">
        <v>0</v>
      </c>
      <c r="W76" s="3">
        <v>-5</v>
      </c>
      <c r="X76" s="3">
        <v>-5</v>
      </c>
      <c r="Y76" s="3">
        <v>0</v>
      </c>
      <c r="Z76" s="3">
        <v>49852.529999999861</v>
      </c>
      <c r="AA76" s="3">
        <v>50318.789999999855</v>
      </c>
      <c r="AB76" s="3">
        <v>466.26</v>
      </c>
      <c r="AC76" s="3">
        <v>19656.809999999958</v>
      </c>
      <c r="AD76" s="3">
        <v>10670.119999999984</v>
      </c>
      <c r="AE76" s="3">
        <v>-8986.6900000000041</v>
      </c>
      <c r="AF76" s="3">
        <v>30195.720000000038</v>
      </c>
      <c r="AG76" s="3">
        <v>39648.669999999969</v>
      </c>
      <c r="AH76" s="3">
        <v>9452.9500000000007</v>
      </c>
      <c r="AI76">
        <v>-3403.3199999999997</v>
      </c>
      <c r="AJ76">
        <v>0</v>
      </c>
      <c r="AK76">
        <v>3403.3199999999997</v>
      </c>
      <c r="AL76">
        <v>33599.040000000015</v>
      </c>
      <c r="AM76">
        <v>39648.669999999969</v>
      </c>
      <c r="AN76">
        <v>6049.6300000000092</v>
      </c>
      <c r="AO76">
        <v>844</v>
      </c>
    </row>
    <row r="77" spans="1:41" x14ac:dyDescent="0.35">
      <c r="A77">
        <v>2024</v>
      </c>
      <c r="B77">
        <v>6</v>
      </c>
      <c r="C77">
        <v>24</v>
      </c>
      <c r="D77" s="1">
        <v>45458</v>
      </c>
      <c r="E77" s="2" t="s">
        <v>44</v>
      </c>
      <c r="F77" s="2" t="s">
        <v>42</v>
      </c>
      <c r="G77" s="2" t="s">
        <v>46</v>
      </c>
      <c r="H77" s="3">
        <v>73451.520000000019</v>
      </c>
      <c r="I77" s="3">
        <v>73451.520000000019</v>
      </c>
      <c r="J77" s="3">
        <v>0</v>
      </c>
      <c r="K77" s="3">
        <v>450.30999999999813</v>
      </c>
      <c r="L77" s="3">
        <v>450.30999999999813</v>
      </c>
      <c r="M77" s="3">
        <v>0</v>
      </c>
      <c r="N77" s="3">
        <v>1648.9400000000007</v>
      </c>
      <c r="O77" s="3">
        <v>1648.9400000000007</v>
      </c>
      <c r="P77" s="3">
        <v>0</v>
      </c>
      <c r="Q77" s="3">
        <v>-25894.959999999999</v>
      </c>
      <c r="R77" s="3">
        <v>-25349.360000000004</v>
      </c>
      <c r="S77" s="3">
        <v>545.6</v>
      </c>
      <c r="T77" s="3">
        <v>0</v>
      </c>
      <c r="U77" s="3">
        <v>0</v>
      </c>
      <c r="V77" s="3">
        <v>0</v>
      </c>
      <c r="W77" s="3">
        <v>-28.990000000000002</v>
      </c>
      <c r="X77" s="3">
        <v>-28.990000000000002</v>
      </c>
      <c r="Y77" s="3">
        <v>0</v>
      </c>
      <c r="Z77" s="3">
        <v>49626.819999999861</v>
      </c>
      <c r="AA77" s="3">
        <v>50172.41999999986</v>
      </c>
      <c r="AB77" s="3">
        <v>545.6</v>
      </c>
      <c r="AC77" s="3">
        <v>19443.949999999953</v>
      </c>
      <c r="AD77" s="3">
        <v>9054.9700000000048</v>
      </c>
      <c r="AE77" s="3">
        <v>-10388.979999999994</v>
      </c>
      <c r="AF77" s="3">
        <v>30182.870000000035</v>
      </c>
      <c r="AG77" s="3">
        <v>41117.449999999968</v>
      </c>
      <c r="AH77" s="3">
        <v>10934.579999999994</v>
      </c>
      <c r="AI77">
        <v>-3106.8200000000015</v>
      </c>
      <c r="AJ77">
        <v>0</v>
      </c>
      <c r="AK77">
        <v>3106.8200000000015</v>
      </c>
      <c r="AL77">
        <v>33289.69</v>
      </c>
      <c r="AM77">
        <v>41117.449999999968</v>
      </c>
      <c r="AN77">
        <v>7827.7600000000075</v>
      </c>
      <c r="AO77">
        <v>828</v>
      </c>
    </row>
    <row r="78" spans="1:41" x14ac:dyDescent="0.35">
      <c r="A78">
        <v>2024</v>
      </c>
      <c r="B78">
        <v>6</v>
      </c>
      <c r="C78">
        <v>24</v>
      </c>
      <c r="D78" s="1">
        <v>45452</v>
      </c>
      <c r="E78" s="2" t="s">
        <v>44</v>
      </c>
      <c r="F78" s="2" t="s">
        <v>47</v>
      </c>
      <c r="G78" s="2" t="s">
        <v>48</v>
      </c>
      <c r="H78" s="3">
        <v>11138.799999999981</v>
      </c>
      <c r="I78" s="3">
        <v>11138.799999999981</v>
      </c>
      <c r="J78" s="3">
        <v>0</v>
      </c>
      <c r="K78" s="3">
        <v>508.6099999999999</v>
      </c>
      <c r="L78" s="3">
        <v>508.6099999999999</v>
      </c>
      <c r="M78" s="3">
        <v>0</v>
      </c>
      <c r="N78" s="3">
        <v>46.970000000000006</v>
      </c>
      <c r="O78" s="3">
        <v>46.970000000000006</v>
      </c>
      <c r="P78" s="3">
        <v>0</v>
      </c>
      <c r="Q78" s="3">
        <v>-2178.0000000000005</v>
      </c>
      <c r="R78" s="3">
        <v>-2178.0000000000005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9516.380000000001</v>
      </c>
      <c r="AA78" s="3">
        <v>9516.380000000001</v>
      </c>
      <c r="AB78" s="3">
        <v>0</v>
      </c>
      <c r="AC78" s="3">
        <v>76.39</v>
      </c>
      <c r="AD78" s="3">
        <v>45</v>
      </c>
      <c r="AE78" s="3">
        <v>-31.39</v>
      </c>
      <c r="AF78" s="3">
        <v>9439.99</v>
      </c>
      <c r="AG78" s="3">
        <v>9471.3799999999992</v>
      </c>
      <c r="AH78" s="3">
        <v>31.389999999999993</v>
      </c>
      <c r="AI78">
        <v>3170.4100000000044</v>
      </c>
      <c r="AJ78">
        <v>22.29</v>
      </c>
      <c r="AK78">
        <v>-3148.1200000000044</v>
      </c>
      <c r="AL78">
        <v>6269.579999999999</v>
      </c>
      <c r="AM78">
        <v>9449.09</v>
      </c>
      <c r="AN78">
        <v>3179.5100000000048</v>
      </c>
      <c r="AO78">
        <v>255</v>
      </c>
    </row>
    <row r="79" spans="1:41" x14ac:dyDescent="0.35">
      <c r="A79">
        <v>2024</v>
      </c>
      <c r="B79">
        <v>6</v>
      </c>
      <c r="C79">
        <v>24</v>
      </c>
      <c r="D79" s="1">
        <v>45453</v>
      </c>
      <c r="E79" s="2" t="s">
        <v>44</v>
      </c>
      <c r="F79" s="2" t="s">
        <v>47</v>
      </c>
      <c r="G79" s="2" t="s">
        <v>48</v>
      </c>
      <c r="H79" s="3">
        <v>12455.899999999991</v>
      </c>
      <c r="I79" s="3">
        <v>12455.899999999991</v>
      </c>
      <c r="J79" s="3">
        <v>0</v>
      </c>
      <c r="K79" s="3">
        <v>52.46</v>
      </c>
      <c r="L79" s="3">
        <v>52.46</v>
      </c>
      <c r="M79" s="3">
        <v>0</v>
      </c>
      <c r="N79" s="3">
        <v>0</v>
      </c>
      <c r="O79" s="3">
        <v>0</v>
      </c>
      <c r="P79" s="3">
        <v>0</v>
      </c>
      <c r="Q79" s="3">
        <v>-2289.2499999999973</v>
      </c>
      <c r="R79" s="3">
        <v>-2289.2499999999973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10219.109999999981</v>
      </c>
      <c r="AA79" s="3">
        <v>10219.109999999981</v>
      </c>
      <c r="AB79" s="3">
        <v>0</v>
      </c>
      <c r="AC79" s="3">
        <v>45</v>
      </c>
      <c r="AD79" s="3"/>
      <c r="AE79" s="3">
        <v>-45</v>
      </c>
      <c r="AF79" s="3">
        <v>10174.109999999981</v>
      </c>
      <c r="AG79" s="3">
        <v>10219.109999999981</v>
      </c>
      <c r="AH79" s="3">
        <v>45</v>
      </c>
      <c r="AI79">
        <v>3192.2800000000016</v>
      </c>
      <c r="AJ79">
        <v>0</v>
      </c>
      <c r="AK79">
        <v>-3192.2800000000016</v>
      </c>
      <c r="AL79">
        <v>6981.8299999999899</v>
      </c>
      <c r="AM79">
        <v>10219.109999999981</v>
      </c>
      <c r="AN79">
        <v>3237.280000000002</v>
      </c>
      <c r="AO79">
        <v>227</v>
      </c>
    </row>
    <row r="80" spans="1:41" x14ac:dyDescent="0.35">
      <c r="A80">
        <v>2024</v>
      </c>
      <c r="B80">
        <v>6</v>
      </c>
      <c r="C80">
        <v>24</v>
      </c>
      <c r="D80" s="1">
        <v>45454</v>
      </c>
      <c r="E80" s="2" t="s">
        <v>44</v>
      </c>
      <c r="F80" s="2" t="s">
        <v>47</v>
      </c>
      <c r="G80" s="2" t="s">
        <v>48</v>
      </c>
      <c r="H80" s="3">
        <v>551.40000000000009</v>
      </c>
      <c r="I80" s="3">
        <v>551.40000000000009</v>
      </c>
      <c r="J80" s="3">
        <v>0</v>
      </c>
      <c r="K80" s="3">
        <v>7.46</v>
      </c>
      <c r="L80" s="3">
        <v>7.46</v>
      </c>
      <c r="M80" s="3">
        <v>0</v>
      </c>
      <c r="N80" s="3">
        <v>15.99</v>
      </c>
      <c r="O80" s="3">
        <v>15.99</v>
      </c>
      <c r="P80" s="3">
        <v>0</v>
      </c>
      <c r="Q80" s="3">
        <v>-112.5</v>
      </c>
      <c r="R80" s="3">
        <v>-112.5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462.35</v>
      </c>
      <c r="AA80" s="3">
        <v>462.35</v>
      </c>
      <c r="AB80" s="3">
        <v>0</v>
      </c>
      <c r="AC80" s="3">
        <v>45.75</v>
      </c>
      <c r="AD80" s="3">
        <v>45.75</v>
      </c>
      <c r="AE80" s="3">
        <v>0</v>
      </c>
      <c r="AF80" s="3">
        <v>416.6</v>
      </c>
      <c r="AG80" s="3">
        <v>416.6</v>
      </c>
      <c r="AH80" s="3">
        <v>0</v>
      </c>
      <c r="AI80">
        <v>89.310000000000016</v>
      </c>
      <c r="AJ80">
        <v>0</v>
      </c>
      <c r="AK80">
        <v>-89.310000000000016</v>
      </c>
      <c r="AL80">
        <v>327.28999999999996</v>
      </c>
      <c r="AM80">
        <v>416.6</v>
      </c>
      <c r="AN80">
        <v>89.31</v>
      </c>
      <c r="AO80">
        <v>13</v>
      </c>
    </row>
    <row r="81" spans="1:41" x14ac:dyDescent="0.35">
      <c r="A81">
        <v>2024</v>
      </c>
      <c r="B81">
        <v>6</v>
      </c>
      <c r="C81">
        <v>24</v>
      </c>
      <c r="D81" s="1">
        <v>45455</v>
      </c>
      <c r="E81" s="2" t="s">
        <v>44</v>
      </c>
      <c r="F81" s="2" t="s">
        <v>47</v>
      </c>
      <c r="G81" s="2" t="s">
        <v>48</v>
      </c>
      <c r="H81" s="3">
        <v>3075.400000000006</v>
      </c>
      <c r="I81" s="3">
        <v>3075.400000000006</v>
      </c>
      <c r="J81" s="3">
        <v>0</v>
      </c>
      <c r="K81" s="3">
        <v>489.70999999999987</v>
      </c>
      <c r="L81" s="3">
        <v>489.70999999999987</v>
      </c>
      <c r="M81" s="3">
        <v>0</v>
      </c>
      <c r="N81" s="3">
        <v>22.98</v>
      </c>
      <c r="O81" s="3">
        <v>22.98</v>
      </c>
      <c r="P81" s="3">
        <v>0</v>
      </c>
      <c r="Q81" s="3">
        <v>-215.8</v>
      </c>
      <c r="R81" s="3">
        <v>-204.8</v>
      </c>
      <c r="S81" s="3">
        <v>11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3372.2900000000063</v>
      </c>
      <c r="AA81" s="3">
        <v>3383.2900000000063</v>
      </c>
      <c r="AB81" s="3">
        <v>11</v>
      </c>
      <c r="AC81" s="3">
        <v>75.33</v>
      </c>
      <c r="AD81" s="3">
        <v>29.58</v>
      </c>
      <c r="AE81" s="3">
        <v>-45.75</v>
      </c>
      <c r="AF81" s="3">
        <v>3296.9600000000064</v>
      </c>
      <c r="AG81" s="3">
        <v>3353.7100000000064</v>
      </c>
      <c r="AH81" s="3">
        <v>56.750000000000014</v>
      </c>
      <c r="AI81">
        <v>1048.1899999999998</v>
      </c>
      <c r="AJ81">
        <v>0</v>
      </c>
      <c r="AK81">
        <v>-1048.1899999999998</v>
      </c>
      <c r="AL81">
        <v>2248.7700000000023</v>
      </c>
      <c r="AM81">
        <v>3353.7100000000064</v>
      </c>
      <c r="AN81">
        <v>1104.9399999999998</v>
      </c>
      <c r="AO81">
        <v>124</v>
      </c>
    </row>
    <row r="82" spans="1:41" x14ac:dyDescent="0.35">
      <c r="A82">
        <v>2024</v>
      </c>
      <c r="B82">
        <v>6</v>
      </c>
      <c r="C82">
        <v>24</v>
      </c>
      <c r="D82" s="1">
        <v>45456</v>
      </c>
      <c r="E82" s="2" t="s">
        <v>44</v>
      </c>
      <c r="F82" s="2" t="s">
        <v>47</v>
      </c>
      <c r="G82" s="2" t="s">
        <v>48</v>
      </c>
      <c r="H82" s="3">
        <v>6928.4500000000044</v>
      </c>
      <c r="I82" s="3">
        <v>6928.4500000000044</v>
      </c>
      <c r="J82" s="3">
        <v>0</v>
      </c>
      <c r="K82" s="3">
        <v>410.85999999999996</v>
      </c>
      <c r="L82" s="3">
        <v>410.85999999999996</v>
      </c>
      <c r="M82" s="3">
        <v>0</v>
      </c>
      <c r="N82" s="3">
        <v>15.99</v>
      </c>
      <c r="O82" s="3">
        <v>15.99</v>
      </c>
      <c r="P82" s="3">
        <v>0</v>
      </c>
      <c r="Q82" s="3">
        <v>-1369.75</v>
      </c>
      <c r="R82" s="3">
        <v>-1369.75</v>
      </c>
      <c r="S82" s="3">
        <v>0</v>
      </c>
      <c r="T82" s="3">
        <v>-16.8</v>
      </c>
      <c r="U82" s="3">
        <v>-16.8</v>
      </c>
      <c r="V82" s="3">
        <v>0</v>
      </c>
      <c r="W82" s="3">
        <v>0</v>
      </c>
      <c r="X82" s="3">
        <v>0</v>
      </c>
      <c r="Y82" s="3">
        <v>0</v>
      </c>
      <c r="Z82" s="3">
        <v>5968.7500000000027</v>
      </c>
      <c r="AA82" s="3">
        <v>5968.7500000000027</v>
      </c>
      <c r="AB82" s="3">
        <v>0</v>
      </c>
      <c r="AC82" s="3">
        <v>76.039999999999992</v>
      </c>
      <c r="AD82" s="3">
        <v>46.46</v>
      </c>
      <c r="AE82" s="3">
        <v>-29.58</v>
      </c>
      <c r="AF82" s="3">
        <v>5892.7100000000028</v>
      </c>
      <c r="AG82" s="3">
        <v>5922.2900000000027</v>
      </c>
      <c r="AH82" s="3">
        <v>29.58</v>
      </c>
      <c r="AI82">
        <v>1596.25</v>
      </c>
      <c r="AJ82">
        <v>0</v>
      </c>
      <c r="AK82">
        <v>-1596.25</v>
      </c>
      <c r="AL82">
        <v>4296.4599999999973</v>
      </c>
      <c r="AM82">
        <v>5922.2900000000027</v>
      </c>
      <c r="AN82">
        <v>1625.83</v>
      </c>
      <c r="AO82">
        <v>208</v>
      </c>
    </row>
    <row r="83" spans="1:41" x14ac:dyDescent="0.35">
      <c r="A83">
        <v>2024</v>
      </c>
      <c r="B83">
        <v>6</v>
      </c>
      <c r="C83">
        <v>24</v>
      </c>
      <c r="D83" s="1">
        <v>45457</v>
      </c>
      <c r="E83" s="2" t="s">
        <v>44</v>
      </c>
      <c r="F83" s="2" t="s">
        <v>47</v>
      </c>
      <c r="G83" s="2" t="s">
        <v>48</v>
      </c>
      <c r="H83" s="3">
        <v>7517.8000000000184</v>
      </c>
      <c r="I83" s="3">
        <v>7517.8000000000184</v>
      </c>
      <c r="J83" s="3">
        <v>0</v>
      </c>
      <c r="K83" s="3">
        <v>505.25999999999988</v>
      </c>
      <c r="L83" s="3">
        <v>505.25999999999988</v>
      </c>
      <c r="M83" s="3">
        <v>0</v>
      </c>
      <c r="N83" s="3">
        <v>0</v>
      </c>
      <c r="O83" s="3">
        <v>0</v>
      </c>
      <c r="P83" s="3">
        <v>0</v>
      </c>
      <c r="Q83" s="3">
        <v>-1138.1100000000004</v>
      </c>
      <c r="R83" s="3">
        <v>-1138.1100000000004</v>
      </c>
      <c r="S83" s="3">
        <v>0</v>
      </c>
      <c r="T83" s="3">
        <v>-23.8</v>
      </c>
      <c r="U83" s="3">
        <v>-23.8</v>
      </c>
      <c r="V83" s="3">
        <v>0</v>
      </c>
      <c r="W83" s="3">
        <v>0</v>
      </c>
      <c r="X83" s="3">
        <v>0</v>
      </c>
      <c r="Y83" s="3">
        <v>0</v>
      </c>
      <c r="Z83" s="3">
        <v>6861.1500000000151</v>
      </c>
      <c r="AA83" s="3">
        <v>6861.1500000000151</v>
      </c>
      <c r="AB83" s="3">
        <v>0</v>
      </c>
      <c r="AC83" s="3">
        <v>98.170000000000016</v>
      </c>
      <c r="AD83" s="3">
        <v>51.71</v>
      </c>
      <c r="AE83" s="3">
        <v>-46.46</v>
      </c>
      <c r="AF83" s="3">
        <v>6762.980000000015</v>
      </c>
      <c r="AG83" s="3">
        <v>6809.4400000000151</v>
      </c>
      <c r="AH83" s="3">
        <v>46.46</v>
      </c>
      <c r="AI83">
        <v>2366.1899999999987</v>
      </c>
      <c r="AJ83">
        <v>0</v>
      </c>
      <c r="AK83">
        <v>-2366.1899999999987</v>
      </c>
      <c r="AL83">
        <v>4396.7899999999972</v>
      </c>
      <c r="AM83">
        <v>6809.4400000000151</v>
      </c>
      <c r="AN83">
        <v>2412.6499999999987</v>
      </c>
      <c r="AO83">
        <v>229</v>
      </c>
    </row>
    <row r="84" spans="1:41" x14ac:dyDescent="0.35">
      <c r="A84">
        <v>2024</v>
      </c>
      <c r="B84">
        <v>6</v>
      </c>
      <c r="C84">
        <v>24</v>
      </c>
      <c r="D84" s="1">
        <v>45458</v>
      </c>
      <c r="E84" s="2" t="s">
        <v>44</v>
      </c>
      <c r="F84" s="2" t="s">
        <v>47</v>
      </c>
      <c r="G84" s="2" t="s">
        <v>48</v>
      </c>
      <c r="H84" s="3">
        <v>6324.9000000000078</v>
      </c>
      <c r="I84" s="3">
        <v>6324.9000000000078</v>
      </c>
      <c r="J84" s="3">
        <v>0</v>
      </c>
      <c r="K84" s="3">
        <v>759.43000000000018</v>
      </c>
      <c r="L84" s="3">
        <v>759.43000000000018</v>
      </c>
      <c r="M84" s="3">
        <v>0</v>
      </c>
      <c r="N84" s="3">
        <v>28.98</v>
      </c>
      <c r="O84" s="3">
        <v>28.98</v>
      </c>
      <c r="P84" s="3">
        <v>0</v>
      </c>
      <c r="Q84" s="3">
        <v>-1139.3499999999997</v>
      </c>
      <c r="R84" s="3">
        <v>-1139.3499999999997</v>
      </c>
      <c r="S84" s="3">
        <v>0</v>
      </c>
      <c r="T84" s="3">
        <v>-27.400000000000002</v>
      </c>
      <c r="U84" s="3">
        <v>-27.400000000000002</v>
      </c>
      <c r="V84" s="3">
        <v>0</v>
      </c>
      <c r="W84" s="3">
        <v>0</v>
      </c>
      <c r="X84" s="3">
        <v>0</v>
      </c>
      <c r="Y84" s="3">
        <v>0</v>
      </c>
      <c r="Z84" s="3">
        <v>5946.560000000004</v>
      </c>
      <c r="AA84" s="3">
        <v>5946.560000000004</v>
      </c>
      <c r="AB84" s="3">
        <v>0</v>
      </c>
      <c r="AC84" s="3">
        <v>138.32</v>
      </c>
      <c r="AD84" s="3">
        <v>86.61</v>
      </c>
      <c r="AE84" s="3">
        <v>-51.71</v>
      </c>
      <c r="AF84" s="3">
        <v>5808.2400000000043</v>
      </c>
      <c r="AG84" s="3">
        <v>5859.9500000000044</v>
      </c>
      <c r="AH84" s="3">
        <v>51.71</v>
      </c>
      <c r="AI84">
        <v>1826.6199999999992</v>
      </c>
      <c r="AJ84">
        <v>0</v>
      </c>
      <c r="AK84">
        <v>-1826.6199999999992</v>
      </c>
      <c r="AL84">
        <v>3981.619999999999</v>
      </c>
      <c r="AM84">
        <v>5859.9500000000044</v>
      </c>
      <c r="AN84">
        <v>1878.3299999999997</v>
      </c>
      <c r="AO84">
        <v>195</v>
      </c>
    </row>
    <row r="85" spans="1:41" x14ac:dyDescent="0.35">
      <c r="A85">
        <v>2024</v>
      </c>
      <c r="B85">
        <v>6</v>
      </c>
      <c r="C85">
        <v>24</v>
      </c>
      <c r="D85" s="1">
        <v>45452</v>
      </c>
      <c r="E85" s="2" t="s">
        <v>44</v>
      </c>
      <c r="F85" s="2" t="s">
        <v>47</v>
      </c>
      <c r="G85" s="2" t="s">
        <v>49</v>
      </c>
      <c r="H85" s="3">
        <v>9282.2499999999964</v>
      </c>
      <c r="I85" s="3">
        <v>9282.2499999999964</v>
      </c>
      <c r="J85" s="3">
        <v>0</v>
      </c>
      <c r="K85" s="3">
        <v>344.52999999999986</v>
      </c>
      <c r="L85" s="3">
        <v>344.52999999999986</v>
      </c>
      <c r="M85" s="3">
        <v>0</v>
      </c>
      <c r="N85" s="3">
        <v>203.90000000000003</v>
      </c>
      <c r="O85" s="3">
        <v>203.90000000000003</v>
      </c>
      <c r="P85" s="3">
        <v>0</v>
      </c>
      <c r="Q85" s="3">
        <v>-3387.7499999999991</v>
      </c>
      <c r="R85" s="3">
        <v>-3365.7499999999991</v>
      </c>
      <c r="S85" s="3">
        <v>22</v>
      </c>
      <c r="T85" s="3">
        <v>-60</v>
      </c>
      <c r="U85" s="3">
        <v>-60</v>
      </c>
      <c r="V85" s="3">
        <v>0</v>
      </c>
      <c r="W85" s="3">
        <v>-15</v>
      </c>
      <c r="X85" s="3">
        <v>-15</v>
      </c>
      <c r="Y85" s="3">
        <v>0</v>
      </c>
      <c r="Z85" s="3">
        <v>6367.9300000000012</v>
      </c>
      <c r="AA85" s="3">
        <v>6389.93</v>
      </c>
      <c r="AB85" s="3">
        <v>22</v>
      </c>
      <c r="AC85" s="3">
        <v>908.20999999999981</v>
      </c>
      <c r="AD85" s="3">
        <v>466.90000000000003</v>
      </c>
      <c r="AE85" s="3">
        <v>-441.31000000000006</v>
      </c>
      <c r="AF85" s="3">
        <v>5459.72</v>
      </c>
      <c r="AG85" s="3">
        <v>5923.0300000000007</v>
      </c>
      <c r="AH85" s="3">
        <v>463.31000000000006</v>
      </c>
      <c r="AI85">
        <v>277.55999999999995</v>
      </c>
      <c r="AJ85">
        <v>0</v>
      </c>
      <c r="AK85">
        <v>-277.55999999999995</v>
      </c>
      <c r="AL85">
        <v>5182.1600000000008</v>
      </c>
      <c r="AM85">
        <v>5923.0300000000007</v>
      </c>
      <c r="AN85">
        <v>740.87000000000012</v>
      </c>
      <c r="AO85">
        <v>108</v>
      </c>
    </row>
    <row r="86" spans="1:41" x14ac:dyDescent="0.35">
      <c r="A86">
        <v>2024</v>
      </c>
      <c r="B86">
        <v>6</v>
      </c>
      <c r="C86">
        <v>24</v>
      </c>
      <c r="D86" s="1">
        <v>45453</v>
      </c>
      <c r="E86" s="2" t="s">
        <v>44</v>
      </c>
      <c r="F86" s="2" t="s">
        <v>47</v>
      </c>
      <c r="G86" s="2" t="s">
        <v>49</v>
      </c>
      <c r="H86" s="3">
        <v>8253.42</v>
      </c>
      <c r="I86" s="3">
        <v>8253.42</v>
      </c>
      <c r="J86" s="3">
        <v>0</v>
      </c>
      <c r="K86" s="3">
        <v>241.50999999999996</v>
      </c>
      <c r="L86" s="3">
        <v>241.50999999999996</v>
      </c>
      <c r="M86" s="3">
        <v>0</v>
      </c>
      <c r="N86" s="3">
        <v>156.91</v>
      </c>
      <c r="O86" s="3">
        <v>156.91</v>
      </c>
      <c r="P86" s="3">
        <v>0</v>
      </c>
      <c r="Q86" s="3">
        <v>-2587.2999999999993</v>
      </c>
      <c r="R86" s="3">
        <v>-2587.2999999999993</v>
      </c>
      <c r="S86" s="3">
        <v>0</v>
      </c>
      <c r="T86" s="3">
        <v>-50</v>
      </c>
      <c r="U86" s="3">
        <v>-50</v>
      </c>
      <c r="V86" s="3">
        <v>0</v>
      </c>
      <c r="W86" s="3">
        <v>-10</v>
      </c>
      <c r="X86" s="3">
        <v>-10</v>
      </c>
      <c r="Y86" s="3">
        <v>0</v>
      </c>
      <c r="Z86" s="3">
        <v>6004.54</v>
      </c>
      <c r="AA86" s="3">
        <v>6004.54</v>
      </c>
      <c r="AB86" s="3">
        <v>0</v>
      </c>
      <c r="AC86" s="3">
        <v>837.87</v>
      </c>
      <c r="AD86" s="3">
        <v>287.90000000000003</v>
      </c>
      <c r="AE86" s="3">
        <v>-549.97</v>
      </c>
      <c r="AF86" s="3">
        <v>5166.6699999999992</v>
      </c>
      <c r="AG86" s="3">
        <v>5716.6399999999994</v>
      </c>
      <c r="AH86" s="3">
        <v>549.97</v>
      </c>
      <c r="AI86">
        <v>611.62999999999988</v>
      </c>
      <c r="AJ86">
        <v>76.39</v>
      </c>
      <c r="AK86">
        <v>-535.24</v>
      </c>
      <c r="AL86">
        <v>4555.0399999999991</v>
      </c>
      <c r="AM86">
        <v>5640.2499999999991</v>
      </c>
      <c r="AN86">
        <v>1085.2099999999998</v>
      </c>
      <c r="AO86">
        <v>102</v>
      </c>
    </row>
    <row r="87" spans="1:41" x14ac:dyDescent="0.35">
      <c r="A87">
        <v>2024</v>
      </c>
      <c r="B87">
        <v>6</v>
      </c>
      <c r="C87">
        <v>24</v>
      </c>
      <c r="D87" s="1">
        <v>45454</v>
      </c>
      <c r="E87" s="2" t="s">
        <v>44</v>
      </c>
      <c r="F87" s="2" t="s">
        <v>47</v>
      </c>
      <c r="G87" s="2" t="s">
        <v>49</v>
      </c>
      <c r="H87" s="3">
        <v>1675</v>
      </c>
      <c r="I87" s="3">
        <v>1675</v>
      </c>
      <c r="J87" s="3">
        <v>0</v>
      </c>
      <c r="K87" s="3">
        <v>44.360000000000007</v>
      </c>
      <c r="L87" s="3">
        <v>44.360000000000007</v>
      </c>
      <c r="M87" s="3">
        <v>0</v>
      </c>
      <c r="N87" s="3">
        <v>69.95</v>
      </c>
      <c r="O87" s="3">
        <v>69.95</v>
      </c>
      <c r="P87" s="3">
        <v>0</v>
      </c>
      <c r="Q87" s="3">
        <v>-478.5</v>
      </c>
      <c r="R87" s="3">
        <v>-478.5</v>
      </c>
      <c r="S87" s="3">
        <v>0</v>
      </c>
      <c r="T87" s="3">
        <v>0</v>
      </c>
      <c r="U87" s="3">
        <v>0</v>
      </c>
      <c r="V87" s="3">
        <v>0</v>
      </c>
      <c r="W87" s="3">
        <v>-5</v>
      </c>
      <c r="X87" s="3">
        <v>-5</v>
      </c>
      <c r="Y87" s="3">
        <v>0</v>
      </c>
      <c r="Z87" s="3">
        <v>1305.81</v>
      </c>
      <c r="AA87" s="3">
        <v>1305.81</v>
      </c>
      <c r="AB87" s="3">
        <v>0</v>
      </c>
      <c r="AC87" s="3">
        <v>337.07000000000005</v>
      </c>
      <c r="AD87" s="3">
        <v>49.17</v>
      </c>
      <c r="AE87" s="3">
        <v>-287.90000000000003</v>
      </c>
      <c r="AF87" s="3">
        <v>968.74000000000012</v>
      </c>
      <c r="AG87" s="3">
        <v>1256.6400000000001</v>
      </c>
      <c r="AH87" s="3">
        <v>287.90000000000003</v>
      </c>
      <c r="AI87">
        <v>-5.3900000000000006</v>
      </c>
      <c r="AJ87">
        <v>0</v>
      </c>
      <c r="AK87">
        <v>5.3900000000000006</v>
      </c>
      <c r="AL87">
        <v>974.13</v>
      </c>
      <c r="AM87">
        <v>1256.6400000000001</v>
      </c>
      <c r="AN87">
        <v>282.51000000000005</v>
      </c>
      <c r="AO87">
        <v>20</v>
      </c>
    </row>
    <row r="88" spans="1:41" x14ac:dyDescent="0.35">
      <c r="A88">
        <v>2024</v>
      </c>
      <c r="B88">
        <v>6</v>
      </c>
      <c r="C88">
        <v>24</v>
      </c>
      <c r="D88" s="1">
        <v>45455</v>
      </c>
      <c r="E88" s="2" t="s">
        <v>44</v>
      </c>
      <c r="F88" s="2" t="s">
        <v>47</v>
      </c>
      <c r="G88" s="2" t="s">
        <v>49</v>
      </c>
      <c r="H88" s="3">
        <v>5808.1500000000005</v>
      </c>
      <c r="I88" s="3">
        <v>5808.1500000000005</v>
      </c>
      <c r="J88" s="3">
        <v>0</v>
      </c>
      <c r="K88" s="3">
        <v>124.79</v>
      </c>
      <c r="L88" s="3">
        <v>124.79</v>
      </c>
      <c r="M88" s="3">
        <v>0</v>
      </c>
      <c r="N88" s="3">
        <v>85.94</v>
      </c>
      <c r="O88" s="3">
        <v>85.94</v>
      </c>
      <c r="P88" s="3">
        <v>0</v>
      </c>
      <c r="Q88" s="3">
        <v>-2344.5</v>
      </c>
      <c r="R88" s="3">
        <v>-2333.5</v>
      </c>
      <c r="S88" s="3">
        <v>11</v>
      </c>
      <c r="T88" s="3">
        <v>-20</v>
      </c>
      <c r="U88" s="3">
        <v>-20</v>
      </c>
      <c r="V88" s="3">
        <v>0</v>
      </c>
      <c r="W88" s="3">
        <v>0</v>
      </c>
      <c r="X88" s="3">
        <v>0</v>
      </c>
      <c r="Y88" s="3">
        <v>0</v>
      </c>
      <c r="Z88" s="3">
        <v>3654.3799999999997</v>
      </c>
      <c r="AA88" s="3">
        <v>3665.3799999999997</v>
      </c>
      <c r="AB88" s="3">
        <v>11</v>
      </c>
      <c r="AC88" s="3">
        <v>502.75</v>
      </c>
      <c r="AD88" s="3">
        <v>453.58</v>
      </c>
      <c r="AE88" s="3">
        <v>-49.17</v>
      </c>
      <c r="AF88" s="3">
        <v>3151.6299999999992</v>
      </c>
      <c r="AG88" s="3">
        <v>3211.7999999999988</v>
      </c>
      <c r="AH88" s="3">
        <v>60.17</v>
      </c>
      <c r="AI88">
        <v>363.50000000000034</v>
      </c>
      <c r="AJ88">
        <v>0</v>
      </c>
      <c r="AK88">
        <v>-363.50000000000034</v>
      </c>
      <c r="AL88">
        <v>2788.1299999999992</v>
      </c>
      <c r="AM88">
        <v>3211.7999999999988</v>
      </c>
      <c r="AN88">
        <v>423.67000000000041</v>
      </c>
      <c r="AO88">
        <v>68</v>
      </c>
    </row>
    <row r="89" spans="1:41" x14ac:dyDescent="0.35">
      <c r="A89">
        <v>2024</v>
      </c>
      <c r="B89">
        <v>6</v>
      </c>
      <c r="C89">
        <v>24</v>
      </c>
      <c r="D89" s="1">
        <v>45456</v>
      </c>
      <c r="E89" s="2" t="s">
        <v>44</v>
      </c>
      <c r="F89" s="2" t="s">
        <v>47</v>
      </c>
      <c r="G89" s="2" t="s">
        <v>49</v>
      </c>
      <c r="H89" s="3">
        <v>10989.349999999999</v>
      </c>
      <c r="I89" s="3">
        <v>10989.349999999999</v>
      </c>
      <c r="J89" s="3">
        <v>0</v>
      </c>
      <c r="K89" s="3">
        <v>293.03000000000003</v>
      </c>
      <c r="L89" s="3">
        <v>293.03000000000003</v>
      </c>
      <c r="M89" s="3">
        <v>0</v>
      </c>
      <c r="N89" s="3">
        <v>195.87000000000003</v>
      </c>
      <c r="O89" s="3">
        <v>195.87000000000003</v>
      </c>
      <c r="P89" s="3">
        <v>0</v>
      </c>
      <c r="Q89" s="3">
        <v>-3448.6000000000004</v>
      </c>
      <c r="R89" s="3">
        <v>-3432.2000000000007</v>
      </c>
      <c r="S89" s="3">
        <v>16.400000000000002</v>
      </c>
      <c r="T89" s="3">
        <v>-46</v>
      </c>
      <c r="U89" s="3">
        <v>-46</v>
      </c>
      <c r="V89" s="3">
        <v>0</v>
      </c>
      <c r="W89" s="3">
        <v>-5</v>
      </c>
      <c r="X89" s="3">
        <v>-5</v>
      </c>
      <c r="Y89" s="3">
        <v>0</v>
      </c>
      <c r="Z89" s="3">
        <v>7978.6499999999969</v>
      </c>
      <c r="AA89" s="3">
        <v>7995.0499999999965</v>
      </c>
      <c r="AB89" s="3">
        <v>16.399999999999999</v>
      </c>
      <c r="AC89" s="3">
        <v>732.1099999999999</v>
      </c>
      <c r="AD89" s="3">
        <v>274.88</v>
      </c>
      <c r="AE89" s="3">
        <v>-457.23</v>
      </c>
      <c r="AF89" s="3">
        <v>7246.5399999999963</v>
      </c>
      <c r="AG89" s="3">
        <v>7720.1699999999964</v>
      </c>
      <c r="AH89" s="3">
        <v>473.63000000000005</v>
      </c>
      <c r="AI89">
        <v>1159.0100000000004</v>
      </c>
      <c r="AJ89">
        <v>0</v>
      </c>
      <c r="AK89">
        <v>-1159.0100000000004</v>
      </c>
      <c r="AL89">
        <v>6087.5299999999979</v>
      </c>
      <c r="AM89">
        <v>7720.1699999999964</v>
      </c>
      <c r="AN89">
        <v>1632.640000000001</v>
      </c>
      <c r="AO89">
        <v>139</v>
      </c>
    </row>
    <row r="90" spans="1:41" x14ac:dyDescent="0.35">
      <c r="A90">
        <v>2024</v>
      </c>
      <c r="B90">
        <v>6</v>
      </c>
      <c r="C90">
        <v>24</v>
      </c>
      <c r="D90" s="1">
        <v>45457</v>
      </c>
      <c r="E90" s="2" t="s">
        <v>44</v>
      </c>
      <c r="F90" s="2" t="s">
        <v>47</v>
      </c>
      <c r="G90" s="2" t="s">
        <v>49</v>
      </c>
      <c r="H90" s="3">
        <v>12676.15</v>
      </c>
      <c r="I90" s="3">
        <v>12676.15</v>
      </c>
      <c r="J90" s="3">
        <v>0</v>
      </c>
      <c r="K90" s="3">
        <v>211.26</v>
      </c>
      <c r="L90" s="3">
        <v>211.26</v>
      </c>
      <c r="M90" s="3">
        <v>0</v>
      </c>
      <c r="N90" s="3">
        <v>94.929999999999993</v>
      </c>
      <c r="O90" s="3">
        <v>94.929999999999993</v>
      </c>
      <c r="P90" s="3">
        <v>0</v>
      </c>
      <c r="Q90" s="3">
        <v>-3708.4499999999994</v>
      </c>
      <c r="R90" s="3">
        <v>-3697.4499999999994</v>
      </c>
      <c r="S90" s="3">
        <v>11</v>
      </c>
      <c r="T90" s="3">
        <v>-41.5</v>
      </c>
      <c r="U90" s="3">
        <v>-41.5</v>
      </c>
      <c r="V90" s="3">
        <v>0</v>
      </c>
      <c r="W90" s="3">
        <v>-5</v>
      </c>
      <c r="X90" s="3">
        <v>-5</v>
      </c>
      <c r="Y90" s="3">
        <v>0</v>
      </c>
      <c r="Z90" s="3">
        <v>9227.3900000000012</v>
      </c>
      <c r="AA90" s="3">
        <v>9238.3900000000012</v>
      </c>
      <c r="AB90" s="3">
        <v>11</v>
      </c>
      <c r="AC90" s="3">
        <v>682.6400000000001</v>
      </c>
      <c r="AD90" s="3">
        <v>375.55</v>
      </c>
      <c r="AE90" s="3">
        <v>-307.09000000000003</v>
      </c>
      <c r="AF90" s="3">
        <v>8544.75</v>
      </c>
      <c r="AG90" s="3">
        <v>8862.84</v>
      </c>
      <c r="AH90" s="3">
        <v>318.09000000000003</v>
      </c>
      <c r="AI90">
        <v>1797.14</v>
      </c>
      <c r="AJ90">
        <v>0</v>
      </c>
      <c r="AK90">
        <v>-1797.14</v>
      </c>
      <c r="AL90">
        <v>6747.6100000000033</v>
      </c>
      <c r="AM90">
        <v>8862.84</v>
      </c>
      <c r="AN90">
        <v>2115.23</v>
      </c>
      <c r="AO90">
        <v>172</v>
      </c>
    </row>
    <row r="91" spans="1:41" x14ac:dyDescent="0.35">
      <c r="A91">
        <v>2024</v>
      </c>
      <c r="B91">
        <v>6</v>
      </c>
      <c r="C91">
        <v>24</v>
      </c>
      <c r="D91" s="1">
        <v>45458</v>
      </c>
      <c r="E91" s="2" t="s">
        <v>44</v>
      </c>
      <c r="F91" s="2" t="s">
        <v>47</v>
      </c>
      <c r="G91" s="2" t="s">
        <v>49</v>
      </c>
      <c r="H91" s="3">
        <v>15657.449999999995</v>
      </c>
      <c r="I91" s="3">
        <v>15657.449999999995</v>
      </c>
      <c r="J91" s="3">
        <v>0</v>
      </c>
      <c r="K91" s="3">
        <v>292.86999999999995</v>
      </c>
      <c r="L91" s="3">
        <v>292.86999999999995</v>
      </c>
      <c r="M91" s="3">
        <v>0</v>
      </c>
      <c r="N91" s="3">
        <v>127.94999999999999</v>
      </c>
      <c r="O91" s="3">
        <v>127.94999999999999</v>
      </c>
      <c r="P91" s="3">
        <v>0</v>
      </c>
      <c r="Q91" s="3">
        <v>-5712.5499999999993</v>
      </c>
      <c r="R91" s="3">
        <v>-5707.5499999999993</v>
      </c>
      <c r="S91" s="3">
        <v>5</v>
      </c>
      <c r="T91" s="3">
        <v>-20.400000000000002</v>
      </c>
      <c r="U91" s="3">
        <v>-20.400000000000002</v>
      </c>
      <c r="V91" s="3">
        <v>0</v>
      </c>
      <c r="W91" s="3">
        <v>0</v>
      </c>
      <c r="X91" s="3">
        <v>0</v>
      </c>
      <c r="Y91" s="3">
        <v>0</v>
      </c>
      <c r="Z91" s="3">
        <v>10345.319999999998</v>
      </c>
      <c r="AA91" s="3">
        <v>10350.319999999998</v>
      </c>
      <c r="AB91" s="3">
        <v>5</v>
      </c>
      <c r="AC91" s="3">
        <v>1212.6400000000003</v>
      </c>
      <c r="AD91" s="3">
        <v>833.21000000000015</v>
      </c>
      <c r="AE91" s="3">
        <v>-379.43</v>
      </c>
      <c r="AF91" s="3">
        <v>9132.6799999999912</v>
      </c>
      <c r="AG91" s="3">
        <v>9517.1099999999915</v>
      </c>
      <c r="AH91" s="3">
        <v>384.43</v>
      </c>
      <c r="AI91">
        <v>933.40000000000123</v>
      </c>
      <c r="AJ91">
        <v>0</v>
      </c>
      <c r="AK91">
        <v>-933.40000000000123</v>
      </c>
      <c r="AL91">
        <v>8199.2800000000007</v>
      </c>
      <c r="AM91">
        <v>9517.1099999999915</v>
      </c>
      <c r="AN91">
        <v>1317.8299999999995</v>
      </c>
      <c r="AO91">
        <v>205</v>
      </c>
    </row>
    <row r="92" spans="1:41" x14ac:dyDescent="0.35">
      <c r="A92">
        <v>2024</v>
      </c>
      <c r="B92">
        <v>6</v>
      </c>
      <c r="C92">
        <v>24</v>
      </c>
      <c r="D92" s="1">
        <v>45452</v>
      </c>
      <c r="E92" s="2" t="s">
        <v>44</v>
      </c>
      <c r="F92" s="2" t="s">
        <v>47</v>
      </c>
      <c r="G92" s="2" t="s">
        <v>50</v>
      </c>
      <c r="H92" s="3">
        <v>43554.100000000006</v>
      </c>
      <c r="I92" s="3">
        <v>43554.100000000006</v>
      </c>
      <c r="J92" s="3">
        <v>0</v>
      </c>
      <c r="K92" s="3">
        <v>594.99999999999943</v>
      </c>
      <c r="L92" s="3">
        <v>594.99999999999943</v>
      </c>
      <c r="M92" s="3">
        <v>0</v>
      </c>
      <c r="N92" s="3">
        <v>1384.1100000000006</v>
      </c>
      <c r="O92" s="3">
        <v>1384.1100000000006</v>
      </c>
      <c r="P92" s="3">
        <v>0</v>
      </c>
      <c r="Q92" s="3">
        <v>-12759.35</v>
      </c>
      <c r="R92" s="3">
        <v>-12046.85</v>
      </c>
      <c r="S92" s="3">
        <v>712.5</v>
      </c>
      <c r="T92" s="3">
        <v>-25</v>
      </c>
      <c r="U92" s="3">
        <v>-25</v>
      </c>
      <c r="V92" s="3">
        <v>0</v>
      </c>
      <c r="W92" s="3">
        <v>-26.6</v>
      </c>
      <c r="X92" s="3">
        <v>-26.6</v>
      </c>
      <c r="Y92" s="3">
        <v>0</v>
      </c>
      <c r="Z92" s="3">
        <v>32722.260000000042</v>
      </c>
      <c r="AA92" s="3">
        <v>33434.760000000053</v>
      </c>
      <c r="AB92" s="3">
        <v>712.5</v>
      </c>
      <c r="AC92" s="3">
        <v>9257.1200000000008</v>
      </c>
      <c r="AD92" s="3">
        <v>4706.5200000000032</v>
      </c>
      <c r="AE92" s="3">
        <v>-4550.6000000000031</v>
      </c>
      <c r="AF92" s="3">
        <v>23465.140000000029</v>
      </c>
      <c r="AG92" s="3">
        <v>28728.240000000034</v>
      </c>
      <c r="AH92" s="3">
        <v>5263.1000000000031</v>
      </c>
      <c r="AI92">
        <v>-2412.7900000000009</v>
      </c>
      <c r="AJ92">
        <v>0</v>
      </c>
      <c r="AK92">
        <v>2412.7900000000009</v>
      </c>
      <c r="AL92">
        <v>25877.930000000026</v>
      </c>
      <c r="AM92">
        <v>28728.240000000034</v>
      </c>
      <c r="AN92">
        <v>2850.31</v>
      </c>
      <c r="AO92">
        <v>504</v>
      </c>
    </row>
    <row r="93" spans="1:41" x14ac:dyDescent="0.35">
      <c r="A93">
        <v>2024</v>
      </c>
      <c r="B93">
        <v>6</v>
      </c>
      <c r="C93">
        <v>24</v>
      </c>
      <c r="D93" s="1">
        <v>45453</v>
      </c>
      <c r="E93" s="2" t="s">
        <v>44</v>
      </c>
      <c r="F93" s="2" t="s">
        <v>47</v>
      </c>
      <c r="G93" s="2" t="s">
        <v>50</v>
      </c>
      <c r="H93" s="3">
        <v>40993</v>
      </c>
      <c r="I93" s="3">
        <v>40993</v>
      </c>
      <c r="J93" s="3">
        <v>0</v>
      </c>
      <c r="K93" s="3">
        <v>423.83999999999935</v>
      </c>
      <c r="L93" s="3">
        <v>423.83999999999935</v>
      </c>
      <c r="M93" s="3">
        <v>0</v>
      </c>
      <c r="N93" s="3">
        <v>1479.0900000000006</v>
      </c>
      <c r="O93" s="3">
        <v>1463.1000000000006</v>
      </c>
      <c r="P93" s="3">
        <v>-15.99</v>
      </c>
      <c r="Q93" s="3">
        <v>-11834.55</v>
      </c>
      <c r="R93" s="3">
        <v>-11208.55</v>
      </c>
      <c r="S93" s="3">
        <v>626</v>
      </c>
      <c r="T93" s="3">
        <v>-15</v>
      </c>
      <c r="U93" s="3">
        <v>-15</v>
      </c>
      <c r="V93" s="3">
        <v>0</v>
      </c>
      <c r="W93" s="3">
        <v>-20</v>
      </c>
      <c r="X93" s="3">
        <v>-20</v>
      </c>
      <c r="Y93" s="3">
        <v>0</v>
      </c>
      <c r="Z93" s="3">
        <v>31026.379999999997</v>
      </c>
      <c r="AA93" s="3">
        <v>31636.389999999996</v>
      </c>
      <c r="AB93" s="3">
        <v>610.01</v>
      </c>
      <c r="AC93" s="3">
        <v>8712.0300000000043</v>
      </c>
      <c r="AD93" s="3">
        <v>4207.3300000000027</v>
      </c>
      <c r="AE93" s="3">
        <v>-4504.7000000000035</v>
      </c>
      <c r="AF93" s="3">
        <v>22314.35000000002</v>
      </c>
      <c r="AG93" s="3">
        <v>27429.060000000009</v>
      </c>
      <c r="AH93" s="3">
        <v>5114.7100000000037</v>
      </c>
      <c r="AI93">
        <v>-2186.630000000001</v>
      </c>
      <c r="AJ93">
        <v>0</v>
      </c>
      <c r="AK93">
        <v>2186.630000000001</v>
      </c>
      <c r="AL93">
        <v>24500.98</v>
      </c>
      <c r="AM93">
        <v>27429.060000000009</v>
      </c>
      <c r="AN93">
        <v>2928.0800000000008</v>
      </c>
      <c r="AO93">
        <v>475</v>
      </c>
    </row>
    <row r="94" spans="1:41" x14ac:dyDescent="0.35">
      <c r="A94">
        <v>2024</v>
      </c>
      <c r="B94">
        <v>6</v>
      </c>
      <c r="C94">
        <v>24</v>
      </c>
      <c r="D94" s="1">
        <v>45454</v>
      </c>
      <c r="E94" s="2" t="s">
        <v>44</v>
      </c>
      <c r="F94" s="2" t="s">
        <v>47</v>
      </c>
      <c r="G94" s="2" t="s">
        <v>50</v>
      </c>
      <c r="H94" s="3">
        <v>37754</v>
      </c>
      <c r="I94" s="3">
        <v>37754</v>
      </c>
      <c r="J94" s="3">
        <v>0</v>
      </c>
      <c r="K94" s="3">
        <v>447.38999999999953</v>
      </c>
      <c r="L94" s="3">
        <v>447.38999999999953</v>
      </c>
      <c r="M94" s="3">
        <v>0</v>
      </c>
      <c r="N94" s="3">
        <v>1144.3100000000004</v>
      </c>
      <c r="O94" s="3">
        <v>1144.3100000000004</v>
      </c>
      <c r="P94" s="3">
        <v>0</v>
      </c>
      <c r="Q94" s="3">
        <v>-10737.55</v>
      </c>
      <c r="R94" s="3">
        <v>-10079.299999999999</v>
      </c>
      <c r="S94" s="3">
        <v>658.25</v>
      </c>
      <c r="T94" s="3">
        <v>-25</v>
      </c>
      <c r="U94" s="3">
        <v>-25</v>
      </c>
      <c r="V94" s="3">
        <v>0</v>
      </c>
      <c r="W94" s="3">
        <v>-5</v>
      </c>
      <c r="X94" s="3">
        <v>-5</v>
      </c>
      <c r="Y94" s="3">
        <v>0</v>
      </c>
      <c r="Z94" s="3">
        <v>28578.150000000041</v>
      </c>
      <c r="AA94" s="3">
        <v>29236.400000000045</v>
      </c>
      <c r="AB94" s="3">
        <v>658.25</v>
      </c>
      <c r="AC94" s="3">
        <v>8437.8300000000072</v>
      </c>
      <c r="AD94" s="3">
        <v>4329.5000000000027</v>
      </c>
      <c r="AE94" s="3">
        <v>-4108.3300000000036</v>
      </c>
      <c r="AF94" s="3">
        <v>20140.320000000025</v>
      </c>
      <c r="AG94" s="3">
        <v>24906.900000000031</v>
      </c>
      <c r="AH94" s="3">
        <v>4766.5800000000045</v>
      </c>
      <c r="AI94">
        <v>-2253.8599999999992</v>
      </c>
      <c r="AJ94">
        <v>0</v>
      </c>
      <c r="AK94">
        <v>2253.8599999999992</v>
      </c>
      <c r="AL94">
        <v>22394.18000000004</v>
      </c>
      <c r="AM94">
        <v>24906.900000000031</v>
      </c>
      <c r="AN94">
        <v>2512.720000000003</v>
      </c>
      <c r="AO94">
        <v>435</v>
      </c>
    </row>
    <row r="95" spans="1:41" x14ac:dyDescent="0.35">
      <c r="A95">
        <v>2024</v>
      </c>
      <c r="B95">
        <v>6</v>
      </c>
      <c r="C95">
        <v>24</v>
      </c>
      <c r="D95" s="1">
        <v>45455</v>
      </c>
      <c r="E95" s="2" t="s">
        <v>44</v>
      </c>
      <c r="F95" s="2" t="s">
        <v>47</v>
      </c>
      <c r="G95" s="2" t="s">
        <v>50</v>
      </c>
      <c r="H95" s="3">
        <v>50890.05</v>
      </c>
      <c r="I95" s="3">
        <v>50890.05</v>
      </c>
      <c r="J95" s="3">
        <v>0</v>
      </c>
      <c r="K95" s="3">
        <v>651.83000000000129</v>
      </c>
      <c r="L95" s="3">
        <v>651.83000000000129</v>
      </c>
      <c r="M95" s="3">
        <v>0</v>
      </c>
      <c r="N95" s="3">
        <v>1183.2700000000004</v>
      </c>
      <c r="O95" s="3">
        <v>1183.2700000000004</v>
      </c>
      <c r="P95" s="3">
        <v>0</v>
      </c>
      <c r="Q95" s="3">
        <v>-14122.82</v>
      </c>
      <c r="R95" s="3">
        <v>-13076.82</v>
      </c>
      <c r="S95" s="3">
        <v>1046</v>
      </c>
      <c r="T95" s="3">
        <v>-60</v>
      </c>
      <c r="U95" s="3">
        <v>-60</v>
      </c>
      <c r="V95" s="3">
        <v>0</v>
      </c>
      <c r="W95" s="3">
        <v>-30</v>
      </c>
      <c r="X95" s="3">
        <v>-30</v>
      </c>
      <c r="Y95" s="3">
        <v>0</v>
      </c>
      <c r="Z95" s="3">
        <v>38512.329999999951</v>
      </c>
      <c r="AA95" s="3">
        <v>39558.329999999951</v>
      </c>
      <c r="AB95" s="3">
        <v>1046</v>
      </c>
      <c r="AC95" s="3">
        <v>10518.189999999991</v>
      </c>
      <c r="AD95" s="3">
        <v>6426.7900000000063</v>
      </c>
      <c r="AE95" s="3">
        <v>-4091.4000000000028</v>
      </c>
      <c r="AF95" s="3">
        <v>27994.140000000032</v>
      </c>
      <c r="AG95" s="3">
        <v>33131.540000000023</v>
      </c>
      <c r="AH95" s="3">
        <v>5137.4000000000033</v>
      </c>
      <c r="AI95">
        <v>-3277.1000000000045</v>
      </c>
      <c r="AJ95">
        <v>0</v>
      </c>
      <c r="AK95">
        <v>3277.1000000000045</v>
      </c>
      <c r="AL95">
        <v>31271.24000000002</v>
      </c>
      <c r="AM95">
        <v>33131.540000000023</v>
      </c>
      <c r="AN95">
        <v>1860.2999999999997</v>
      </c>
      <c r="AO95">
        <v>598</v>
      </c>
    </row>
    <row r="96" spans="1:41" x14ac:dyDescent="0.35">
      <c r="A96">
        <v>2024</v>
      </c>
      <c r="B96">
        <v>6</v>
      </c>
      <c r="C96">
        <v>24</v>
      </c>
      <c r="D96" s="1">
        <v>45456</v>
      </c>
      <c r="E96" s="2" t="s">
        <v>44</v>
      </c>
      <c r="F96" s="2" t="s">
        <v>47</v>
      </c>
      <c r="G96" s="2" t="s">
        <v>50</v>
      </c>
      <c r="H96" s="3">
        <v>50562.05</v>
      </c>
      <c r="I96" s="3">
        <v>50562.05</v>
      </c>
      <c r="J96" s="3">
        <v>0</v>
      </c>
      <c r="K96" s="3">
        <v>861.45000000000107</v>
      </c>
      <c r="L96" s="3">
        <v>861.45000000000107</v>
      </c>
      <c r="M96" s="3">
        <v>0</v>
      </c>
      <c r="N96" s="3">
        <v>1665.9600000000007</v>
      </c>
      <c r="O96" s="3">
        <v>1665.9600000000007</v>
      </c>
      <c r="P96" s="3">
        <v>0</v>
      </c>
      <c r="Q96" s="3">
        <v>-15061.399999999998</v>
      </c>
      <c r="R96" s="3">
        <v>-14518.399999999998</v>
      </c>
      <c r="S96" s="3">
        <v>543</v>
      </c>
      <c r="T96" s="3">
        <v>-100</v>
      </c>
      <c r="U96" s="3">
        <v>-100</v>
      </c>
      <c r="V96" s="3">
        <v>0</v>
      </c>
      <c r="W96" s="3">
        <v>-25</v>
      </c>
      <c r="X96" s="3">
        <v>-25</v>
      </c>
      <c r="Y96" s="3">
        <v>0</v>
      </c>
      <c r="Z96" s="3">
        <v>37903.06</v>
      </c>
      <c r="AA96" s="3">
        <v>38446.05999999999</v>
      </c>
      <c r="AB96" s="3">
        <v>543</v>
      </c>
      <c r="AC96" s="3">
        <v>10780.519999999988</v>
      </c>
      <c r="AD96" s="3">
        <v>4584.0700000000033</v>
      </c>
      <c r="AE96" s="3">
        <v>-6196.4500000000053</v>
      </c>
      <c r="AF96" s="3">
        <v>27122.540000000055</v>
      </c>
      <c r="AG96" s="3">
        <v>33861.990000000049</v>
      </c>
      <c r="AH96" s="3">
        <v>6739.4500000000062</v>
      </c>
      <c r="AI96">
        <v>-2359.3400000000006</v>
      </c>
      <c r="AJ96">
        <v>0</v>
      </c>
      <c r="AK96">
        <v>2359.3400000000006</v>
      </c>
      <c r="AL96">
        <v>29481.880000000026</v>
      </c>
      <c r="AM96">
        <v>33861.990000000049</v>
      </c>
      <c r="AN96">
        <v>4380.1100000000069</v>
      </c>
      <c r="AO96">
        <v>585</v>
      </c>
    </row>
    <row r="97" spans="1:41" x14ac:dyDescent="0.35">
      <c r="A97">
        <v>2024</v>
      </c>
      <c r="B97">
        <v>6</v>
      </c>
      <c r="C97">
        <v>24</v>
      </c>
      <c r="D97" s="1">
        <v>45457</v>
      </c>
      <c r="E97" s="2" t="s">
        <v>44</v>
      </c>
      <c r="F97" s="2" t="s">
        <v>47</v>
      </c>
      <c r="G97" s="2" t="s">
        <v>50</v>
      </c>
      <c r="H97" s="3">
        <v>43013.100000000006</v>
      </c>
      <c r="I97" s="3">
        <v>43013.100000000006</v>
      </c>
      <c r="J97" s="3">
        <v>0</v>
      </c>
      <c r="K97" s="3">
        <v>631.3500000000007</v>
      </c>
      <c r="L97" s="3">
        <v>631.3500000000007</v>
      </c>
      <c r="M97" s="3">
        <v>0</v>
      </c>
      <c r="N97" s="3">
        <v>1534.0400000000006</v>
      </c>
      <c r="O97" s="3">
        <v>1518.0500000000006</v>
      </c>
      <c r="P97" s="3">
        <v>-15.99</v>
      </c>
      <c r="Q97" s="3">
        <v>-13460.9</v>
      </c>
      <c r="R97" s="3">
        <v>-13072.65</v>
      </c>
      <c r="S97" s="3">
        <v>388.25</v>
      </c>
      <c r="T97" s="3">
        <v>-50</v>
      </c>
      <c r="U97" s="3">
        <v>-50</v>
      </c>
      <c r="V97" s="3">
        <v>0</v>
      </c>
      <c r="W97" s="3">
        <v>-30</v>
      </c>
      <c r="X97" s="3">
        <v>-30</v>
      </c>
      <c r="Y97" s="3">
        <v>0</v>
      </c>
      <c r="Z97" s="3">
        <v>31637.590000000015</v>
      </c>
      <c r="AA97" s="3">
        <v>32009.850000000013</v>
      </c>
      <c r="AB97" s="3">
        <v>372.26</v>
      </c>
      <c r="AC97" s="3">
        <v>9112.7699999999986</v>
      </c>
      <c r="AD97" s="3">
        <v>4564.8200000000033</v>
      </c>
      <c r="AE97" s="3">
        <v>-4547.9500000000044</v>
      </c>
      <c r="AF97" s="3">
        <v>22524.820000000025</v>
      </c>
      <c r="AG97" s="3">
        <v>27445.030000000017</v>
      </c>
      <c r="AH97" s="3">
        <v>4920.2100000000037</v>
      </c>
      <c r="AI97">
        <v>-2142.2599999999989</v>
      </c>
      <c r="AJ97">
        <v>0</v>
      </c>
      <c r="AK97">
        <v>2142.2599999999989</v>
      </c>
      <c r="AL97">
        <v>24667.080000000009</v>
      </c>
      <c r="AM97">
        <v>27445.030000000017</v>
      </c>
      <c r="AN97">
        <v>2777.9500000000039</v>
      </c>
      <c r="AO97">
        <v>484</v>
      </c>
    </row>
    <row r="98" spans="1:41" x14ac:dyDescent="0.35">
      <c r="A98">
        <v>2024</v>
      </c>
      <c r="B98">
        <v>6</v>
      </c>
      <c r="C98">
        <v>24</v>
      </c>
      <c r="D98" s="1">
        <v>45458</v>
      </c>
      <c r="E98" s="2" t="s">
        <v>44</v>
      </c>
      <c r="F98" s="2" t="s">
        <v>47</v>
      </c>
      <c r="G98" s="2" t="s">
        <v>50</v>
      </c>
      <c r="H98" s="3">
        <v>36534.25</v>
      </c>
      <c r="I98" s="3">
        <v>36534.25</v>
      </c>
      <c r="J98" s="3">
        <v>0</v>
      </c>
      <c r="K98" s="3">
        <v>419.35999999999933</v>
      </c>
      <c r="L98" s="3">
        <v>419.35999999999933</v>
      </c>
      <c r="M98" s="3">
        <v>0</v>
      </c>
      <c r="N98" s="3">
        <v>1297.1900000000005</v>
      </c>
      <c r="O98" s="3">
        <v>1297.1900000000005</v>
      </c>
      <c r="P98" s="3">
        <v>0</v>
      </c>
      <c r="Q98" s="3">
        <v>-10670.650000000001</v>
      </c>
      <c r="R98" s="3">
        <v>-10234.650000000001</v>
      </c>
      <c r="S98" s="3">
        <v>436</v>
      </c>
      <c r="T98" s="3">
        <v>-10</v>
      </c>
      <c r="U98" s="3">
        <v>-10</v>
      </c>
      <c r="V98" s="3">
        <v>0</v>
      </c>
      <c r="W98" s="3">
        <v>-15</v>
      </c>
      <c r="X98" s="3">
        <v>-15</v>
      </c>
      <c r="Y98" s="3">
        <v>0</v>
      </c>
      <c r="Z98" s="3">
        <v>27555.150000000012</v>
      </c>
      <c r="AA98" s="3">
        <v>27991.150000000012</v>
      </c>
      <c r="AB98" s="3">
        <v>436</v>
      </c>
      <c r="AC98" s="3">
        <v>8486.4200000000037</v>
      </c>
      <c r="AD98" s="3">
        <v>3996.8600000000015</v>
      </c>
      <c r="AE98" s="3">
        <v>-4489.5600000000031</v>
      </c>
      <c r="AF98" s="3">
        <v>19068.730000000018</v>
      </c>
      <c r="AG98" s="3">
        <v>23994.290000000015</v>
      </c>
      <c r="AH98" s="3">
        <v>4925.5600000000031</v>
      </c>
      <c r="AI98">
        <v>-1833.899999999998</v>
      </c>
      <c r="AJ98">
        <v>0</v>
      </c>
      <c r="AK98">
        <v>1833.899999999998</v>
      </c>
      <c r="AL98">
        <v>20902.630000000023</v>
      </c>
      <c r="AM98">
        <v>23994.290000000015</v>
      </c>
      <c r="AN98">
        <v>3091.6600000000026</v>
      </c>
      <c r="AO98">
        <v>418</v>
      </c>
    </row>
    <row r="99" spans="1:41" x14ac:dyDescent="0.35">
      <c r="A99">
        <v>2024</v>
      </c>
      <c r="B99">
        <v>6</v>
      </c>
      <c r="C99">
        <v>24</v>
      </c>
      <c r="D99" s="1">
        <v>45452</v>
      </c>
      <c r="E99" s="2" t="s">
        <v>44</v>
      </c>
      <c r="F99" s="2" t="s">
        <v>47</v>
      </c>
      <c r="G99" s="2" t="s">
        <v>51</v>
      </c>
      <c r="H99" s="3">
        <v>6444.4000000000005</v>
      </c>
      <c r="I99" s="3">
        <v>6444.4000000000005</v>
      </c>
      <c r="J99" s="3">
        <v>0</v>
      </c>
      <c r="K99" s="3">
        <v>42.5</v>
      </c>
      <c r="L99" s="3">
        <v>42.5</v>
      </c>
      <c r="M99" s="3">
        <v>0</v>
      </c>
      <c r="N99" s="3">
        <v>0</v>
      </c>
      <c r="O99" s="3">
        <v>0</v>
      </c>
      <c r="P99" s="3">
        <v>0</v>
      </c>
      <c r="Q99" s="3">
        <v>-1841.4999999999993</v>
      </c>
      <c r="R99" s="3">
        <v>-1841.4999999999993</v>
      </c>
      <c r="S99" s="3">
        <v>0</v>
      </c>
      <c r="T99" s="3">
        <v>-8</v>
      </c>
      <c r="U99" s="3">
        <v>-8</v>
      </c>
      <c r="V99" s="3">
        <v>0</v>
      </c>
      <c r="W99" s="3">
        <v>0</v>
      </c>
      <c r="X99" s="3">
        <v>0</v>
      </c>
      <c r="Y99" s="3">
        <v>0</v>
      </c>
      <c r="Z99" s="3">
        <v>4637.4000000000005</v>
      </c>
      <c r="AA99" s="3">
        <v>4637.4000000000005</v>
      </c>
      <c r="AB99" s="3">
        <v>0</v>
      </c>
      <c r="AC99" s="3">
        <v>405.60999999999984</v>
      </c>
      <c r="AD99" s="3">
        <v>33.33</v>
      </c>
      <c r="AE99" s="3">
        <v>-372.28</v>
      </c>
      <c r="AF99" s="3">
        <v>4231.7900000000045</v>
      </c>
      <c r="AG99" s="3">
        <v>4604.0700000000015</v>
      </c>
      <c r="AH99" s="3">
        <v>372.27999999999963</v>
      </c>
      <c r="AI99">
        <v>1156.8299999999995</v>
      </c>
      <c r="AJ99">
        <v>213.96999999999989</v>
      </c>
      <c r="AK99">
        <v>-942.86000000000013</v>
      </c>
      <c r="AL99">
        <v>3074.9600000000046</v>
      </c>
      <c r="AM99">
        <v>4390.100000000004</v>
      </c>
      <c r="AN99">
        <v>1315.1399999999994</v>
      </c>
      <c r="AO99">
        <v>118</v>
      </c>
    </row>
    <row r="100" spans="1:41" x14ac:dyDescent="0.35">
      <c r="A100">
        <v>2024</v>
      </c>
      <c r="B100">
        <v>6</v>
      </c>
      <c r="C100">
        <v>24</v>
      </c>
      <c r="D100" s="1">
        <v>45453</v>
      </c>
      <c r="E100" s="2" t="s">
        <v>44</v>
      </c>
      <c r="F100" s="2" t="s">
        <v>47</v>
      </c>
      <c r="G100" s="2" t="s">
        <v>51</v>
      </c>
      <c r="H100" s="3">
        <v>7459</v>
      </c>
      <c r="I100" s="3">
        <v>7459</v>
      </c>
      <c r="J100" s="3">
        <v>0</v>
      </c>
      <c r="K100" s="3">
        <v>22.96</v>
      </c>
      <c r="L100" s="3">
        <v>22.96</v>
      </c>
      <c r="M100" s="3">
        <v>0</v>
      </c>
      <c r="N100" s="3">
        <v>0</v>
      </c>
      <c r="O100" s="3">
        <v>0</v>
      </c>
      <c r="P100" s="3">
        <v>0</v>
      </c>
      <c r="Q100" s="3">
        <v>-2325.3500000000004</v>
      </c>
      <c r="R100" s="3">
        <v>-2325.3500000000004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5156.6100000000006</v>
      </c>
      <c r="AA100" s="3">
        <v>5156.6100000000006</v>
      </c>
      <c r="AB100" s="3">
        <v>0</v>
      </c>
      <c r="AC100" s="3">
        <v>607.5300000000002</v>
      </c>
      <c r="AD100" s="3">
        <v>4.42</v>
      </c>
      <c r="AE100" s="3">
        <v>-603.11000000000013</v>
      </c>
      <c r="AF100" s="3">
        <v>4549.0800000000027</v>
      </c>
      <c r="AG100" s="3">
        <v>5152.1900000000005</v>
      </c>
      <c r="AH100" s="3">
        <v>603.10999999999979</v>
      </c>
      <c r="AI100">
        <v>917.11000000000047</v>
      </c>
      <c r="AJ100">
        <v>358.4799999999999</v>
      </c>
      <c r="AK100">
        <v>-558.63000000000011</v>
      </c>
      <c r="AL100">
        <v>3631.9699999999984</v>
      </c>
      <c r="AM100">
        <v>4793.7099999999991</v>
      </c>
      <c r="AN100">
        <v>1161.7399999999989</v>
      </c>
      <c r="AO100">
        <v>126</v>
      </c>
    </row>
    <row r="101" spans="1:41" x14ac:dyDescent="0.35">
      <c r="A101">
        <v>2024</v>
      </c>
      <c r="B101">
        <v>6</v>
      </c>
      <c r="C101">
        <v>24</v>
      </c>
      <c r="D101" s="1">
        <v>45454</v>
      </c>
      <c r="E101" s="2" t="s">
        <v>44</v>
      </c>
      <c r="F101" s="2" t="s">
        <v>47</v>
      </c>
      <c r="G101" s="2" t="s">
        <v>51</v>
      </c>
      <c r="H101" s="3">
        <v>413.3</v>
      </c>
      <c r="I101" s="3">
        <v>413.3</v>
      </c>
      <c r="J101" s="3">
        <v>0</v>
      </c>
      <c r="K101" s="3">
        <v>10.46</v>
      </c>
      <c r="L101" s="3">
        <v>10.46</v>
      </c>
      <c r="M101" s="3">
        <v>0</v>
      </c>
      <c r="N101" s="3">
        <v>0</v>
      </c>
      <c r="O101" s="3">
        <v>0</v>
      </c>
      <c r="P101" s="3">
        <v>0</v>
      </c>
      <c r="Q101" s="3">
        <v>-159.6</v>
      </c>
      <c r="R101" s="3">
        <v>-159.6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264.16000000000003</v>
      </c>
      <c r="AA101" s="3">
        <v>264.16000000000003</v>
      </c>
      <c r="AB101" s="3">
        <v>0</v>
      </c>
      <c r="AC101" s="3">
        <v>21.08</v>
      </c>
      <c r="AD101" s="3">
        <v>16.66</v>
      </c>
      <c r="AE101" s="3">
        <v>-4.42</v>
      </c>
      <c r="AF101" s="3">
        <v>243.08</v>
      </c>
      <c r="AG101" s="3">
        <v>247.50000000000003</v>
      </c>
      <c r="AH101" s="3">
        <v>4.4200000000000017</v>
      </c>
      <c r="AI101">
        <v>-4.0000000000000036E-2</v>
      </c>
      <c r="AJ101">
        <v>0</v>
      </c>
      <c r="AK101">
        <v>4.0000000000000036E-2</v>
      </c>
      <c r="AL101">
        <v>243.12000000000003</v>
      </c>
      <c r="AM101">
        <v>247.50000000000003</v>
      </c>
      <c r="AN101">
        <v>4.3800000000000061</v>
      </c>
      <c r="AO101">
        <v>6</v>
      </c>
    </row>
    <row r="102" spans="1:41" x14ac:dyDescent="0.35">
      <c r="A102">
        <v>2024</v>
      </c>
      <c r="B102">
        <v>6</v>
      </c>
      <c r="C102">
        <v>24</v>
      </c>
      <c r="D102" s="1">
        <v>45455</v>
      </c>
      <c r="E102" s="2" t="s">
        <v>44</v>
      </c>
      <c r="F102" s="2" t="s">
        <v>47</v>
      </c>
      <c r="G102" s="2" t="s">
        <v>51</v>
      </c>
      <c r="H102" s="3">
        <v>2240.6499999999996</v>
      </c>
      <c r="I102" s="3">
        <v>2240.6499999999996</v>
      </c>
      <c r="J102" s="3">
        <v>0</v>
      </c>
      <c r="K102" s="3">
        <v>32.49</v>
      </c>
      <c r="L102" s="3">
        <v>32.49</v>
      </c>
      <c r="M102" s="3">
        <v>0</v>
      </c>
      <c r="N102" s="3">
        <v>0</v>
      </c>
      <c r="O102" s="3">
        <v>0</v>
      </c>
      <c r="P102" s="3">
        <v>0</v>
      </c>
      <c r="Q102" s="3">
        <v>-659.3</v>
      </c>
      <c r="R102" s="3">
        <v>-659.3</v>
      </c>
      <c r="S102" s="3">
        <v>0</v>
      </c>
      <c r="T102" s="3">
        <v>-4</v>
      </c>
      <c r="U102" s="3">
        <v>-4</v>
      </c>
      <c r="V102" s="3">
        <v>0</v>
      </c>
      <c r="W102" s="3">
        <v>0</v>
      </c>
      <c r="X102" s="3">
        <v>0</v>
      </c>
      <c r="Y102" s="3">
        <v>0</v>
      </c>
      <c r="Z102" s="3">
        <v>1609.84</v>
      </c>
      <c r="AA102" s="3">
        <v>1609.84</v>
      </c>
      <c r="AB102" s="3">
        <v>0</v>
      </c>
      <c r="AC102" s="3">
        <v>168.27000000000004</v>
      </c>
      <c r="AD102" s="3">
        <v>10</v>
      </c>
      <c r="AE102" s="3">
        <v>-158.27000000000004</v>
      </c>
      <c r="AF102" s="3">
        <v>1441.5700000000004</v>
      </c>
      <c r="AG102" s="3">
        <v>1599.84</v>
      </c>
      <c r="AH102" s="3">
        <v>158.26999999999992</v>
      </c>
      <c r="AI102">
        <v>361.96</v>
      </c>
      <c r="AJ102">
        <v>95.34</v>
      </c>
      <c r="AK102">
        <v>-266.62000000000006</v>
      </c>
      <c r="AL102">
        <v>1079.6099999999997</v>
      </c>
      <c r="AM102">
        <v>1504.5</v>
      </c>
      <c r="AN102">
        <v>424.88999999999982</v>
      </c>
      <c r="AO102">
        <v>40</v>
      </c>
    </row>
    <row r="103" spans="1:41" x14ac:dyDescent="0.35">
      <c r="A103">
        <v>2024</v>
      </c>
      <c r="B103">
        <v>6</v>
      </c>
      <c r="C103">
        <v>24</v>
      </c>
      <c r="D103" s="1">
        <v>45456</v>
      </c>
      <c r="E103" s="2" t="s">
        <v>44</v>
      </c>
      <c r="F103" s="2" t="s">
        <v>47</v>
      </c>
      <c r="G103" s="2" t="s">
        <v>51</v>
      </c>
      <c r="H103" s="3">
        <v>4152.05</v>
      </c>
      <c r="I103" s="3">
        <v>4152.05</v>
      </c>
      <c r="J103" s="3">
        <v>0</v>
      </c>
      <c r="K103" s="3">
        <v>7</v>
      </c>
      <c r="L103" s="3">
        <v>7</v>
      </c>
      <c r="M103" s="3">
        <v>0</v>
      </c>
      <c r="N103" s="3">
        <v>13</v>
      </c>
      <c r="O103" s="3">
        <v>13</v>
      </c>
      <c r="P103" s="3">
        <v>0</v>
      </c>
      <c r="Q103" s="3">
        <v>-1198.9499999999998</v>
      </c>
      <c r="R103" s="3">
        <v>-1198.9499999999998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2973.1000000000013</v>
      </c>
      <c r="AA103" s="3">
        <v>2973.1000000000013</v>
      </c>
      <c r="AB103" s="3">
        <v>0</v>
      </c>
      <c r="AC103" s="3">
        <v>45</v>
      </c>
      <c r="AD103" s="3">
        <v>35</v>
      </c>
      <c r="AE103" s="3">
        <v>-10</v>
      </c>
      <c r="AF103" s="3">
        <v>2928.1000000000013</v>
      </c>
      <c r="AG103" s="3">
        <v>2938.1000000000013</v>
      </c>
      <c r="AH103" s="3">
        <v>10</v>
      </c>
      <c r="AI103">
        <v>680.17000000000019</v>
      </c>
      <c r="AJ103">
        <v>0</v>
      </c>
      <c r="AK103">
        <v>-680.17000000000019</v>
      </c>
      <c r="AL103">
        <v>2247.9300000000003</v>
      </c>
      <c r="AM103">
        <v>2938.1000000000013</v>
      </c>
      <c r="AN103">
        <v>690.1700000000003</v>
      </c>
      <c r="AO103">
        <v>68</v>
      </c>
    </row>
    <row r="104" spans="1:41" x14ac:dyDescent="0.35">
      <c r="A104">
        <v>2024</v>
      </c>
      <c r="B104">
        <v>6</v>
      </c>
      <c r="C104">
        <v>24</v>
      </c>
      <c r="D104" s="1">
        <v>45457</v>
      </c>
      <c r="E104" s="2" t="s">
        <v>44</v>
      </c>
      <c r="F104" s="2" t="s">
        <v>47</v>
      </c>
      <c r="G104" s="2" t="s">
        <v>51</v>
      </c>
      <c r="H104" s="3">
        <v>4030.45</v>
      </c>
      <c r="I104" s="3">
        <v>4030.45</v>
      </c>
      <c r="J104" s="3">
        <v>0</v>
      </c>
      <c r="K104" s="3">
        <v>10</v>
      </c>
      <c r="L104" s="3">
        <v>10</v>
      </c>
      <c r="M104" s="3">
        <v>0</v>
      </c>
      <c r="N104" s="3">
        <v>0</v>
      </c>
      <c r="O104" s="3">
        <v>0</v>
      </c>
      <c r="P104" s="3">
        <v>0</v>
      </c>
      <c r="Q104" s="3">
        <v>-698.95</v>
      </c>
      <c r="R104" s="3">
        <v>-698.95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3341.5</v>
      </c>
      <c r="AA104" s="3">
        <v>3341.5</v>
      </c>
      <c r="AB104" s="3">
        <v>0</v>
      </c>
      <c r="AC104" s="3">
        <v>104.08</v>
      </c>
      <c r="AD104" s="3">
        <v>69.08</v>
      </c>
      <c r="AE104" s="3">
        <v>-35</v>
      </c>
      <c r="AF104" s="3">
        <v>3237.42</v>
      </c>
      <c r="AG104" s="3">
        <v>3272.42</v>
      </c>
      <c r="AH104" s="3">
        <v>35</v>
      </c>
      <c r="AI104">
        <v>427.58</v>
      </c>
      <c r="AJ104">
        <v>0</v>
      </c>
      <c r="AK104">
        <v>-427.58</v>
      </c>
      <c r="AL104">
        <v>2809.8400000000006</v>
      </c>
      <c r="AM104">
        <v>3272.42</v>
      </c>
      <c r="AN104">
        <v>462.58</v>
      </c>
      <c r="AO104">
        <v>77</v>
      </c>
    </row>
    <row r="105" spans="1:41" x14ac:dyDescent="0.35">
      <c r="A105">
        <v>2024</v>
      </c>
      <c r="B105">
        <v>6</v>
      </c>
      <c r="C105">
        <v>24</v>
      </c>
      <c r="D105" s="1">
        <v>45458</v>
      </c>
      <c r="E105" s="2" t="s">
        <v>44</v>
      </c>
      <c r="F105" s="2" t="s">
        <v>47</v>
      </c>
      <c r="G105" s="2" t="s">
        <v>51</v>
      </c>
      <c r="H105" s="3">
        <v>4637.4500000000007</v>
      </c>
      <c r="I105" s="3">
        <v>4637.4500000000007</v>
      </c>
      <c r="J105" s="3">
        <v>0</v>
      </c>
      <c r="K105" s="3">
        <v>30</v>
      </c>
      <c r="L105" s="3">
        <v>30</v>
      </c>
      <c r="M105" s="3">
        <v>0</v>
      </c>
      <c r="N105" s="3">
        <v>0</v>
      </c>
      <c r="O105" s="3">
        <v>0</v>
      </c>
      <c r="P105" s="3">
        <v>0</v>
      </c>
      <c r="Q105" s="3">
        <v>-933.45</v>
      </c>
      <c r="R105" s="3">
        <v>-933.45</v>
      </c>
      <c r="S105" s="3">
        <v>0</v>
      </c>
      <c r="T105" s="3">
        <v>-12</v>
      </c>
      <c r="U105" s="3">
        <v>-12</v>
      </c>
      <c r="V105" s="3">
        <v>0</v>
      </c>
      <c r="W105" s="3">
        <v>0</v>
      </c>
      <c r="X105" s="3">
        <v>0</v>
      </c>
      <c r="Y105" s="3">
        <v>0</v>
      </c>
      <c r="Z105" s="3">
        <v>3722.0000000000009</v>
      </c>
      <c r="AA105" s="3">
        <v>3722.0000000000009</v>
      </c>
      <c r="AB105" s="3">
        <v>0</v>
      </c>
      <c r="AC105" s="3">
        <v>104.08</v>
      </c>
      <c r="AD105" s="3">
        <v>35</v>
      </c>
      <c r="AE105" s="3">
        <v>-69.08</v>
      </c>
      <c r="AF105" s="3">
        <v>3617.920000000001</v>
      </c>
      <c r="AG105" s="3">
        <v>3687.0000000000009</v>
      </c>
      <c r="AH105" s="3">
        <v>69.08</v>
      </c>
      <c r="AI105">
        <v>750.5400000000003</v>
      </c>
      <c r="AJ105">
        <v>0</v>
      </c>
      <c r="AK105">
        <v>-750.5400000000003</v>
      </c>
      <c r="AL105">
        <v>2867.3800000000015</v>
      </c>
      <c r="AM105">
        <v>3687.0000000000009</v>
      </c>
      <c r="AN105">
        <v>819.62000000000023</v>
      </c>
      <c r="AO105">
        <v>82</v>
      </c>
    </row>
    <row r="106" spans="1:41" x14ac:dyDescent="0.35">
      <c r="A106">
        <v>2024</v>
      </c>
      <c r="B106">
        <v>6</v>
      </c>
      <c r="C106">
        <v>25</v>
      </c>
      <c r="D106" s="1">
        <v>45459</v>
      </c>
      <c r="E106" s="2" t="s">
        <v>41</v>
      </c>
      <c r="F106" s="2" t="s">
        <v>42</v>
      </c>
      <c r="G106" s="2" t="s">
        <v>43</v>
      </c>
      <c r="H106" s="3">
        <v>161515.5</v>
      </c>
      <c r="I106" s="3">
        <v>161515.5</v>
      </c>
      <c r="J106" s="3">
        <v>0</v>
      </c>
      <c r="K106" s="3">
        <v>1824.3800000000288</v>
      </c>
      <c r="L106" s="3">
        <v>1831.380000000029</v>
      </c>
      <c r="M106" s="3">
        <v>7</v>
      </c>
      <c r="N106" s="3">
        <v>3664.4499999999757</v>
      </c>
      <c r="O106" s="3">
        <v>3664.4499999999757</v>
      </c>
      <c r="P106" s="3">
        <v>0</v>
      </c>
      <c r="Q106" s="3">
        <v>-15638.39</v>
      </c>
      <c r="R106" s="3">
        <v>-13606.39</v>
      </c>
      <c r="S106" s="3">
        <v>2032</v>
      </c>
      <c r="T106" s="3">
        <v>-26.060000000000006</v>
      </c>
      <c r="U106" s="3">
        <v>-26.520000000000003</v>
      </c>
      <c r="V106" s="3">
        <v>-0.46</v>
      </c>
      <c r="W106" s="3">
        <v>-88</v>
      </c>
      <c r="X106" s="3">
        <v>-88</v>
      </c>
      <c r="Y106" s="3">
        <v>0</v>
      </c>
      <c r="Z106" s="3">
        <v>151251.8800000012</v>
      </c>
      <c r="AA106" s="3">
        <v>153290.42000000112</v>
      </c>
      <c r="AB106" s="3">
        <v>2038.54</v>
      </c>
      <c r="AC106" s="3">
        <v>61414.38000000023</v>
      </c>
      <c r="AD106" s="3">
        <v>33934.709999999694</v>
      </c>
      <c r="AE106" s="3">
        <v>-27479.669999999755</v>
      </c>
      <c r="AF106" s="3">
        <v>89837.500000000407</v>
      </c>
      <c r="AG106" s="3">
        <v>119355.71000000159</v>
      </c>
      <c r="AH106" s="3">
        <v>29518.209999999755</v>
      </c>
      <c r="AI106">
        <v>-15903.869999999999</v>
      </c>
      <c r="AJ106">
        <v>0</v>
      </c>
      <c r="AK106">
        <v>15903.869999999999</v>
      </c>
      <c r="AL106">
        <v>105741.3700000003</v>
      </c>
      <c r="AM106">
        <v>119355.71000000159</v>
      </c>
      <c r="AN106">
        <v>13614.340000000009</v>
      </c>
      <c r="AO106">
        <v>2788</v>
      </c>
    </row>
    <row r="107" spans="1:41" x14ac:dyDescent="0.35">
      <c r="A107">
        <v>2024</v>
      </c>
      <c r="B107">
        <v>6</v>
      </c>
      <c r="C107">
        <v>25</v>
      </c>
      <c r="D107" s="1">
        <v>45460</v>
      </c>
      <c r="E107" s="2" t="s">
        <v>41</v>
      </c>
      <c r="F107" s="2" t="s">
        <v>42</v>
      </c>
      <c r="G107" s="2" t="s">
        <v>43</v>
      </c>
      <c r="H107" s="3">
        <v>162950.75</v>
      </c>
      <c r="I107" s="3">
        <v>162950.75</v>
      </c>
      <c r="J107" s="3">
        <v>0</v>
      </c>
      <c r="K107" s="3">
        <v>1726.2700000000309</v>
      </c>
      <c r="L107" s="3">
        <v>1719.2700000000309</v>
      </c>
      <c r="M107" s="3">
        <v>-7</v>
      </c>
      <c r="N107" s="3">
        <v>3915.2499999999732</v>
      </c>
      <c r="O107" s="3">
        <v>3915.2499999999732</v>
      </c>
      <c r="P107" s="3">
        <v>0</v>
      </c>
      <c r="Q107" s="3">
        <v>-15485.14</v>
      </c>
      <c r="R107" s="3">
        <v>-13110.14</v>
      </c>
      <c r="S107" s="3">
        <v>2375</v>
      </c>
      <c r="T107" s="3">
        <v>-16.880000000000003</v>
      </c>
      <c r="U107" s="3">
        <v>-16.880000000000003</v>
      </c>
      <c r="V107" s="3">
        <v>0</v>
      </c>
      <c r="W107" s="3">
        <v>-83</v>
      </c>
      <c r="X107" s="3">
        <v>-83</v>
      </c>
      <c r="Y107" s="3">
        <v>0</v>
      </c>
      <c r="Z107" s="3">
        <v>153007.25000000116</v>
      </c>
      <c r="AA107" s="3">
        <v>155375.25000000111</v>
      </c>
      <c r="AB107" s="3">
        <v>2368</v>
      </c>
      <c r="AC107" s="3">
        <v>61723.450000000259</v>
      </c>
      <c r="AD107" s="3">
        <v>28537.409999999727</v>
      </c>
      <c r="AE107" s="3">
        <v>-33186.039999999644</v>
      </c>
      <c r="AF107" s="3">
        <v>91283.800000000338</v>
      </c>
      <c r="AG107" s="3">
        <v>126837.84000000134</v>
      </c>
      <c r="AH107" s="3">
        <v>35554.039999999761</v>
      </c>
      <c r="AI107">
        <v>-13927.449999999995</v>
      </c>
      <c r="AJ107">
        <v>0</v>
      </c>
      <c r="AK107">
        <v>13927.449999999995</v>
      </c>
      <c r="AL107">
        <v>105211.25000000058</v>
      </c>
      <c r="AM107">
        <v>126837.84000000134</v>
      </c>
      <c r="AN107">
        <v>21626.589999999898</v>
      </c>
      <c r="AO107">
        <v>2825</v>
      </c>
    </row>
    <row r="108" spans="1:41" x14ac:dyDescent="0.35">
      <c r="A108">
        <v>2024</v>
      </c>
      <c r="B108">
        <v>6</v>
      </c>
      <c r="C108">
        <v>25</v>
      </c>
      <c r="D108" s="1">
        <v>45461</v>
      </c>
      <c r="E108" s="2" t="s">
        <v>41</v>
      </c>
      <c r="F108" s="2" t="s">
        <v>42</v>
      </c>
      <c r="G108" s="2" t="s">
        <v>43</v>
      </c>
      <c r="H108" s="3">
        <v>149019</v>
      </c>
      <c r="I108" s="3">
        <v>149019</v>
      </c>
      <c r="J108" s="3">
        <v>0</v>
      </c>
      <c r="K108" s="3">
        <v>1415.6000000000195</v>
      </c>
      <c r="L108" s="3">
        <v>1415.6000000000195</v>
      </c>
      <c r="M108" s="3">
        <v>0</v>
      </c>
      <c r="N108" s="3">
        <v>2875.9399999999882</v>
      </c>
      <c r="O108" s="3">
        <v>2875.9399999999882</v>
      </c>
      <c r="P108" s="3">
        <v>0</v>
      </c>
      <c r="Q108" s="3">
        <v>-13991.880000000001</v>
      </c>
      <c r="R108" s="3">
        <v>-13230.880000000001</v>
      </c>
      <c r="S108" s="3">
        <v>761</v>
      </c>
      <c r="T108" s="3">
        <v>-9.5500000000000007</v>
      </c>
      <c r="U108" s="3">
        <v>-9.5500000000000007</v>
      </c>
      <c r="V108" s="3">
        <v>0</v>
      </c>
      <c r="W108" s="3">
        <v>-57.99</v>
      </c>
      <c r="X108" s="3">
        <v>-57.99</v>
      </c>
      <c r="Y108" s="3">
        <v>0</v>
      </c>
      <c r="Z108" s="3">
        <v>139251.12000000145</v>
      </c>
      <c r="AA108" s="3">
        <v>140012.12000000139</v>
      </c>
      <c r="AB108" s="3">
        <v>761</v>
      </c>
      <c r="AC108" s="3">
        <v>55642.260000000111</v>
      </c>
      <c r="AD108" s="3">
        <v>27441.619999999773</v>
      </c>
      <c r="AE108" s="3">
        <v>-28200.639999999752</v>
      </c>
      <c r="AF108" s="3">
        <v>83608.860000000073</v>
      </c>
      <c r="AG108" s="3">
        <v>112570.50000000095</v>
      </c>
      <c r="AH108" s="3">
        <v>28961.639999999734</v>
      </c>
      <c r="AI108">
        <v>-13115.330000000009</v>
      </c>
      <c r="AJ108">
        <v>0</v>
      </c>
      <c r="AK108">
        <v>13115.330000000009</v>
      </c>
      <c r="AL108">
        <v>96724.190000000075</v>
      </c>
      <c r="AM108">
        <v>112570.50000000095</v>
      </c>
      <c r="AN108">
        <v>15846.309999999981</v>
      </c>
      <c r="AO108">
        <v>2580</v>
      </c>
    </row>
    <row r="109" spans="1:41" x14ac:dyDescent="0.35">
      <c r="A109">
        <v>2024</v>
      </c>
      <c r="B109">
        <v>6</v>
      </c>
      <c r="C109">
        <v>25</v>
      </c>
      <c r="D109" s="1">
        <v>45462</v>
      </c>
      <c r="E109" s="2" t="s">
        <v>41</v>
      </c>
      <c r="F109" s="2" t="s">
        <v>42</v>
      </c>
      <c r="G109" s="2" t="s">
        <v>43</v>
      </c>
      <c r="H109" s="3">
        <v>164596.25</v>
      </c>
      <c r="I109" s="3">
        <v>164596.25</v>
      </c>
      <c r="J109" s="3">
        <v>0</v>
      </c>
      <c r="K109" s="3">
        <v>1841.2100000000314</v>
      </c>
      <c r="L109" s="3">
        <v>1841.2100000000314</v>
      </c>
      <c r="M109" s="3">
        <v>0</v>
      </c>
      <c r="N109" s="3">
        <v>2738.0599999999909</v>
      </c>
      <c r="O109" s="3">
        <v>2729.0699999999906</v>
      </c>
      <c r="P109" s="3">
        <v>-8.99</v>
      </c>
      <c r="Q109" s="3">
        <v>-17078.38</v>
      </c>
      <c r="R109" s="3">
        <v>-14376.380000000001</v>
      </c>
      <c r="S109" s="3">
        <v>2702</v>
      </c>
      <c r="T109" s="3">
        <v>-8.2700000000000031</v>
      </c>
      <c r="U109" s="3">
        <v>-8.2700000000000031</v>
      </c>
      <c r="V109" s="3">
        <v>0</v>
      </c>
      <c r="W109" s="3">
        <v>-105.49</v>
      </c>
      <c r="X109" s="3">
        <v>-105.49</v>
      </c>
      <c r="Y109" s="3">
        <v>0</v>
      </c>
      <c r="Z109" s="3">
        <v>151983.38000000097</v>
      </c>
      <c r="AA109" s="3">
        <v>154676.39000000083</v>
      </c>
      <c r="AB109" s="3">
        <v>2693.01</v>
      </c>
      <c r="AC109" s="3">
        <v>64462.630000000099</v>
      </c>
      <c r="AD109" s="3">
        <v>37256.999999999847</v>
      </c>
      <c r="AE109" s="3">
        <v>-27205.629999999714</v>
      </c>
      <c r="AF109" s="3">
        <v>87520.750000000364</v>
      </c>
      <c r="AG109" s="3">
        <v>117419.39000000105</v>
      </c>
      <c r="AH109" s="3">
        <v>29898.639999999701</v>
      </c>
      <c r="AI109">
        <v>-17250.560000000009</v>
      </c>
      <c r="AJ109">
        <v>0</v>
      </c>
      <c r="AK109">
        <v>17250.560000000009</v>
      </c>
      <c r="AL109">
        <v>104771.31000000035</v>
      </c>
      <c r="AM109">
        <v>117419.39000000105</v>
      </c>
      <c r="AN109">
        <v>12648.080000000025</v>
      </c>
      <c r="AO109">
        <v>2847</v>
      </c>
    </row>
    <row r="110" spans="1:41" x14ac:dyDescent="0.35">
      <c r="A110">
        <v>2024</v>
      </c>
      <c r="B110">
        <v>6</v>
      </c>
      <c r="C110">
        <v>25</v>
      </c>
      <c r="D110" s="1">
        <v>45463</v>
      </c>
      <c r="E110" s="2" t="s">
        <v>41</v>
      </c>
      <c r="F110" s="2" t="s">
        <v>42</v>
      </c>
      <c r="G110" s="2" t="s">
        <v>43</v>
      </c>
      <c r="H110" s="3">
        <v>166987</v>
      </c>
      <c r="I110" s="3">
        <v>166987</v>
      </c>
      <c r="J110" s="3">
        <v>0</v>
      </c>
      <c r="K110" s="3">
        <v>1998.1600000000271</v>
      </c>
      <c r="L110" s="3">
        <v>1998.1600000000271</v>
      </c>
      <c r="M110" s="3">
        <v>0</v>
      </c>
      <c r="N110" s="3">
        <v>3268.6699999999814</v>
      </c>
      <c r="O110" s="3">
        <v>3268.6699999999814</v>
      </c>
      <c r="P110" s="3">
        <v>0</v>
      </c>
      <c r="Q110" s="3">
        <v>-16742.25</v>
      </c>
      <c r="R110" s="3">
        <v>-14840.25</v>
      </c>
      <c r="S110" s="3">
        <v>1902</v>
      </c>
      <c r="T110" s="3">
        <v>-18.530000000000008</v>
      </c>
      <c r="U110" s="3">
        <v>-18.530000000000008</v>
      </c>
      <c r="V110" s="3">
        <v>0</v>
      </c>
      <c r="W110" s="3">
        <v>-107.49000000000001</v>
      </c>
      <c r="X110" s="3">
        <v>-107.49000000000001</v>
      </c>
      <c r="Y110" s="3">
        <v>0</v>
      </c>
      <c r="Z110" s="3">
        <v>155385.56000000073</v>
      </c>
      <c r="AA110" s="3">
        <v>157287.56000000058</v>
      </c>
      <c r="AB110" s="3">
        <v>1902</v>
      </c>
      <c r="AC110" s="3">
        <v>67293.409999999989</v>
      </c>
      <c r="AD110" s="3">
        <v>30401.219999999736</v>
      </c>
      <c r="AE110" s="3">
        <v>-36892.189999999784</v>
      </c>
      <c r="AF110" s="3">
        <v>88092.150000000314</v>
      </c>
      <c r="AG110" s="3">
        <v>126886.34000000132</v>
      </c>
      <c r="AH110" s="3">
        <v>38794.189999999769</v>
      </c>
      <c r="AI110">
        <v>-14376.359999999977</v>
      </c>
      <c r="AJ110">
        <v>0</v>
      </c>
      <c r="AK110">
        <v>14376.359999999977</v>
      </c>
      <c r="AL110">
        <v>102468.51000000008</v>
      </c>
      <c r="AM110">
        <v>126886.34000000132</v>
      </c>
      <c r="AN110">
        <v>24417.829999999809</v>
      </c>
      <c r="AO110">
        <v>2887</v>
      </c>
    </row>
    <row r="111" spans="1:41" x14ac:dyDescent="0.35">
      <c r="A111">
        <v>2024</v>
      </c>
      <c r="B111">
        <v>6</v>
      </c>
      <c r="C111">
        <v>25</v>
      </c>
      <c r="D111" s="1">
        <v>45464</v>
      </c>
      <c r="E111" s="2" t="s">
        <v>41</v>
      </c>
      <c r="F111" s="2" t="s">
        <v>42</v>
      </c>
      <c r="G111" s="2" t="s">
        <v>43</v>
      </c>
      <c r="H111" s="3">
        <v>145932</v>
      </c>
      <c r="I111" s="3">
        <v>145932</v>
      </c>
      <c r="J111" s="3">
        <v>0</v>
      </c>
      <c r="K111" s="3">
        <v>1649.3700000000249</v>
      </c>
      <c r="L111" s="3">
        <v>1642.3700000000249</v>
      </c>
      <c r="M111" s="3">
        <v>-7</v>
      </c>
      <c r="N111" s="3">
        <v>3157.7399999999839</v>
      </c>
      <c r="O111" s="3">
        <v>3128.7599999999843</v>
      </c>
      <c r="P111" s="3">
        <v>-28.98</v>
      </c>
      <c r="Q111" s="3">
        <v>-14859.25</v>
      </c>
      <c r="R111" s="3">
        <v>-13412.25</v>
      </c>
      <c r="S111" s="3">
        <v>1447</v>
      </c>
      <c r="T111" s="3">
        <v>-19.89</v>
      </c>
      <c r="U111" s="3">
        <v>-19.89</v>
      </c>
      <c r="V111" s="3">
        <v>0</v>
      </c>
      <c r="W111" s="3">
        <v>-101.98</v>
      </c>
      <c r="X111" s="3">
        <v>-101.98</v>
      </c>
      <c r="Y111" s="3">
        <v>0</v>
      </c>
      <c r="Z111" s="3">
        <v>135757.99000000159</v>
      </c>
      <c r="AA111" s="3">
        <v>137169.01000000155</v>
      </c>
      <c r="AB111" s="3">
        <v>1411.02</v>
      </c>
      <c r="AC111" s="3">
        <v>58546.590000000026</v>
      </c>
      <c r="AD111" s="3">
        <v>28515.80999999979</v>
      </c>
      <c r="AE111" s="3">
        <v>-30030.779999999762</v>
      </c>
      <c r="AF111" s="3">
        <v>77211.400000000067</v>
      </c>
      <c r="AG111" s="3">
        <v>108653.20000000094</v>
      </c>
      <c r="AH111" s="3">
        <v>31441.799999999763</v>
      </c>
      <c r="AI111">
        <v>-13087.300000000005</v>
      </c>
      <c r="AJ111">
        <v>0</v>
      </c>
      <c r="AK111">
        <v>13087.300000000005</v>
      </c>
      <c r="AL111">
        <v>90298.700000000201</v>
      </c>
      <c r="AM111">
        <v>108653.20000000094</v>
      </c>
      <c r="AN111">
        <v>18354.499999999945</v>
      </c>
      <c r="AO111">
        <v>2530</v>
      </c>
    </row>
    <row r="112" spans="1:41" x14ac:dyDescent="0.35">
      <c r="A112">
        <v>2024</v>
      </c>
      <c r="B112">
        <v>6</v>
      </c>
      <c r="C112">
        <v>25</v>
      </c>
      <c r="D112" s="1">
        <v>45465</v>
      </c>
      <c r="E112" s="2" t="s">
        <v>41</v>
      </c>
      <c r="F112" s="2" t="s">
        <v>42</v>
      </c>
      <c r="G112" s="2" t="s">
        <v>43</v>
      </c>
      <c r="H112" s="3">
        <v>150871</v>
      </c>
      <c r="I112" s="3">
        <v>150871</v>
      </c>
      <c r="J112" s="3">
        <v>0</v>
      </c>
      <c r="K112" s="3">
        <v>1634.5900000000231</v>
      </c>
      <c r="L112" s="3">
        <v>1634.5900000000231</v>
      </c>
      <c r="M112" s="3">
        <v>0</v>
      </c>
      <c r="N112" s="3">
        <v>3214.739999999983</v>
      </c>
      <c r="O112" s="3">
        <v>3214.739999999983</v>
      </c>
      <c r="P112" s="3">
        <v>0</v>
      </c>
      <c r="Q112" s="3">
        <v>-14770.85</v>
      </c>
      <c r="R112" s="3">
        <v>-13326.85</v>
      </c>
      <c r="S112" s="3">
        <v>1444</v>
      </c>
      <c r="T112" s="3">
        <v>-16.870000000000008</v>
      </c>
      <c r="U112" s="3">
        <v>-16.870000000000008</v>
      </c>
      <c r="V112" s="3">
        <v>0</v>
      </c>
      <c r="W112" s="3">
        <v>-135.47</v>
      </c>
      <c r="X112" s="3">
        <v>-135.47</v>
      </c>
      <c r="Y112" s="3">
        <v>0</v>
      </c>
      <c r="Z112" s="3">
        <v>140797.14000000153</v>
      </c>
      <c r="AA112" s="3">
        <v>142241.14000000144</v>
      </c>
      <c r="AB112" s="3">
        <v>1444</v>
      </c>
      <c r="AC112" s="3">
        <v>60548.000000000029</v>
      </c>
      <c r="AD112" s="3">
        <v>32176.399999999783</v>
      </c>
      <c r="AE112" s="3">
        <v>-28371.599999999791</v>
      </c>
      <c r="AF112" s="3">
        <v>80249.140000000189</v>
      </c>
      <c r="AG112" s="3">
        <v>110064.74000000117</v>
      </c>
      <c r="AH112" s="3">
        <v>29815.599999999777</v>
      </c>
      <c r="AI112">
        <v>-14817.919999999993</v>
      </c>
      <c r="AJ112">
        <v>0</v>
      </c>
      <c r="AK112">
        <v>14817.919999999993</v>
      </c>
      <c r="AL112">
        <v>95067.05999999991</v>
      </c>
      <c r="AM112">
        <v>110064.74000000117</v>
      </c>
      <c r="AN112">
        <v>14997.679999999993</v>
      </c>
      <c r="AO112">
        <v>2646</v>
      </c>
    </row>
    <row r="113" spans="1:41" x14ac:dyDescent="0.35">
      <c r="A113">
        <v>2024</v>
      </c>
      <c r="B113">
        <v>6</v>
      </c>
      <c r="C113">
        <v>25</v>
      </c>
      <c r="D113" s="1">
        <v>45463</v>
      </c>
      <c r="E113" s="2" t="s">
        <v>41</v>
      </c>
      <c r="F113" s="2" t="s">
        <v>42</v>
      </c>
      <c r="G113" s="2" t="s">
        <v>45</v>
      </c>
      <c r="H113" s="3">
        <v>50</v>
      </c>
      <c r="I113" s="3">
        <v>0</v>
      </c>
      <c r="J113" s="3">
        <v>-50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50</v>
      </c>
      <c r="AA113" s="3">
        <v>0</v>
      </c>
      <c r="AB113" s="3">
        <v>-50</v>
      </c>
      <c r="AC113" s="3">
        <v>18.75</v>
      </c>
      <c r="AD113" s="3">
        <v>18.75</v>
      </c>
      <c r="AE113" s="3">
        <v>0</v>
      </c>
      <c r="AF113" s="3">
        <v>31.25</v>
      </c>
      <c r="AG113" s="3">
        <v>0</v>
      </c>
      <c r="AH113" s="3">
        <v>-31.25</v>
      </c>
      <c r="AI113">
        <v>-8.16</v>
      </c>
      <c r="AJ113">
        <v>0</v>
      </c>
      <c r="AK113">
        <v>8.16</v>
      </c>
      <c r="AL113">
        <v>39.410000000000004</v>
      </c>
      <c r="AM113">
        <v>0</v>
      </c>
      <c r="AN113">
        <v>-39.410000000000004</v>
      </c>
      <c r="AO113">
        <v>-1</v>
      </c>
    </row>
    <row r="114" spans="1:41" x14ac:dyDescent="0.35">
      <c r="A114">
        <v>2024</v>
      </c>
      <c r="B114">
        <v>6</v>
      </c>
      <c r="C114">
        <v>25</v>
      </c>
      <c r="D114" s="1">
        <v>45459</v>
      </c>
      <c r="E114" s="2" t="s">
        <v>44</v>
      </c>
      <c r="F114" s="2" t="s">
        <v>42</v>
      </c>
      <c r="G114" s="2" t="s">
        <v>45</v>
      </c>
      <c r="H114" s="3">
        <v>198986</v>
      </c>
      <c r="I114" s="3">
        <v>198986</v>
      </c>
      <c r="J114" s="3">
        <v>0</v>
      </c>
      <c r="K114" s="3">
        <v>1393.8500000000165</v>
      </c>
      <c r="L114" s="3">
        <v>1363.8500000000165</v>
      </c>
      <c r="M114" s="3">
        <v>-30</v>
      </c>
      <c r="N114" s="3">
        <v>8324.5399999999117</v>
      </c>
      <c r="O114" s="3">
        <v>8305.549999999912</v>
      </c>
      <c r="P114" s="3">
        <v>-18.990000000000002</v>
      </c>
      <c r="Q114" s="3">
        <v>-33942.5</v>
      </c>
      <c r="R114" s="3">
        <v>-32677.989999999998</v>
      </c>
      <c r="S114" s="3">
        <v>1264.51</v>
      </c>
      <c r="T114" s="3">
        <v>-9.0300000000000029</v>
      </c>
      <c r="U114" s="3">
        <v>-9.0300000000000029</v>
      </c>
      <c r="V114" s="3">
        <v>0</v>
      </c>
      <c r="W114" s="3">
        <v>-193.8</v>
      </c>
      <c r="X114" s="3">
        <v>-193.8</v>
      </c>
      <c r="Y114" s="3">
        <v>0</v>
      </c>
      <c r="Z114" s="3">
        <v>174559.06000000035</v>
      </c>
      <c r="AA114" s="3">
        <v>175774.58000000031</v>
      </c>
      <c r="AB114" s="3">
        <v>1215.52</v>
      </c>
      <c r="AC114" s="3">
        <v>50895.729999999669</v>
      </c>
      <c r="AD114" s="3">
        <v>27360.249999999924</v>
      </c>
      <c r="AE114" s="3">
        <v>-23535.479999999909</v>
      </c>
      <c r="AF114" s="3">
        <v>123663.33000000063</v>
      </c>
      <c r="AG114" s="3">
        <v>148414.33000000045</v>
      </c>
      <c r="AH114" s="3">
        <v>24750.999999999905</v>
      </c>
      <c r="AI114">
        <v>-13036.250000000031</v>
      </c>
      <c r="AJ114">
        <v>0</v>
      </c>
      <c r="AK114">
        <v>13036.250000000031</v>
      </c>
      <c r="AL114">
        <v>136699.57999999955</v>
      </c>
      <c r="AM114">
        <v>148414.33000000045</v>
      </c>
      <c r="AN114">
        <v>11714.749999999973</v>
      </c>
      <c r="AO114">
        <v>2537</v>
      </c>
    </row>
    <row r="115" spans="1:41" x14ac:dyDescent="0.35">
      <c r="A115">
        <v>2024</v>
      </c>
      <c r="B115">
        <v>6</v>
      </c>
      <c r="C115">
        <v>25</v>
      </c>
      <c r="D115" s="1">
        <v>45460</v>
      </c>
      <c r="E115" s="2" t="s">
        <v>44</v>
      </c>
      <c r="F115" s="2" t="s">
        <v>42</v>
      </c>
      <c r="G115" s="2" t="s">
        <v>45</v>
      </c>
      <c r="H115" s="3">
        <v>190014</v>
      </c>
      <c r="I115" s="3">
        <v>190014</v>
      </c>
      <c r="J115" s="3">
        <v>0</v>
      </c>
      <c r="K115" s="3">
        <v>1288.5000000000127</v>
      </c>
      <c r="L115" s="3">
        <v>1288.5000000000127</v>
      </c>
      <c r="M115" s="3">
        <v>0</v>
      </c>
      <c r="N115" s="3">
        <v>8716.369999999908</v>
      </c>
      <c r="O115" s="3">
        <v>8665.3999999999087</v>
      </c>
      <c r="P115" s="3">
        <v>-50.970000000000006</v>
      </c>
      <c r="Q115" s="3">
        <v>-33601.490000000005</v>
      </c>
      <c r="R115" s="3">
        <v>-32344.239999999998</v>
      </c>
      <c r="S115" s="3">
        <v>1257.25</v>
      </c>
      <c r="T115" s="3">
        <v>-4.0000000000000009</v>
      </c>
      <c r="U115" s="3">
        <v>-4.0000000000000009</v>
      </c>
      <c r="V115" s="3">
        <v>0</v>
      </c>
      <c r="W115" s="3">
        <v>-199.09</v>
      </c>
      <c r="X115" s="3">
        <v>-199.09</v>
      </c>
      <c r="Y115" s="3">
        <v>0</v>
      </c>
      <c r="Z115" s="3">
        <v>166214.29000000042</v>
      </c>
      <c r="AA115" s="3">
        <v>167420.57000000036</v>
      </c>
      <c r="AB115" s="3">
        <v>1206.28</v>
      </c>
      <c r="AC115" s="3">
        <v>48433.919999999773</v>
      </c>
      <c r="AD115" s="3">
        <v>21831.569999999931</v>
      </c>
      <c r="AE115" s="3">
        <v>-26602.349999999904</v>
      </c>
      <c r="AF115" s="3">
        <v>117780.37000000068</v>
      </c>
      <c r="AG115" s="3">
        <v>145589.00000000061</v>
      </c>
      <c r="AH115" s="3">
        <v>27808.629999999896</v>
      </c>
      <c r="AI115">
        <v>-10305.04000000001</v>
      </c>
      <c r="AJ115">
        <v>0</v>
      </c>
      <c r="AK115">
        <v>10305.04000000001</v>
      </c>
      <c r="AL115">
        <v>128085.41</v>
      </c>
      <c r="AM115">
        <v>145589.00000000061</v>
      </c>
      <c r="AN115">
        <v>17503.589999999876</v>
      </c>
      <c r="AO115">
        <v>2426</v>
      </c>
    </row>
    <row r="116" spans="1:41" x14ac:dyDescent="0.35">
      <c r="A116">
        <v>2024</v>
      </c>
      <c r="B116">
        <v>6</v>
      </c>
      <c r="C116">
        <v>25</v>
      </c>
      <c r="D116" s="1">
        <v>45461</v>
      </c>
      <c r="E116" s="2" t="s">
        <v>44</v>
      </c>
      <c r="F116" s="2" t="s">
        <v>42</v>
      </c>
      <c r="G116" s="2" t="s">
        <v>45</v>
      </c>
      <c r="H116" s="3">
        <v>151077</v>
      </c>
      <c r="I116" s="3">
        <v>151077</v>
      </c>
      <c r="J116" s="3">
        <v>0</v>
      </c>
      <c r="K116" s="3">
        <v>1014.7500000000098</v>
      </c>
      <c r="L116" s="3">
        <v>1014.7500000000098</v>
      </c>
      <c r="M116" s="3">
        <v>0</v>
      </c>
      <c r="N116" s="3">
        <v>6581.7799999999379</v>
      </c>
      <c r="O116" s="3">
        <v>6581.7799999999379</v>
      </c>
      <c r="P116" s="3">
        <v>0</v>
      </c>
      <c r="Q116" s="3">
        <v>-26270.5</v>
      </c>
      <c r="R116" s="3">
        <v>-25950.25</v>
      </c>
      <c r="S116" s="3">
        <v>320.25</v>
      </c>
      <c r="T116" s="3">
        <v>-4.5000000000000009</v>
      </c>
      <c r="U116" s="3">
        <v>-4.5000000000000009</v>
      </c>
      <c r="V116" s="3">
        <v>0</v>
      </c>
      <c r="W116" s="3">
        <v>-177.59</v>
      </c>
      <c r="X116" s="3">
        <v>-177.59</v>
      </c>
      <c r="Y116" s="3">
        <v>0</v>
      </c>
      <c r="Z116" s="3">
        <v>132220.94000000105</v>
      </c>
      <c r="AA116" s="3">
        <v>132541.19000000108</v>
      </c>
      <c r="AB116" s="3">
        <v>320.25</v>
      </c>
      <c r="AC116" s="3">
        <v>38404.849999999802</v>
      </c>
      <c r="AD116" s="3">
        <v>16902.679999999935</v>
      </c>
      <c r="AE116" s="3">
        <v>-21502.169999999925</v>
      </c>
      <c r="AF116" s="3">
        <v>93816.090000000142</v>
      </c>
      <c r="AG116" s="3">
        <v>115638.51000000055</v>
      </c>
      <c r="AH116" s="3">
        <v>21822.419999999922</v>
      </c>
      <c r="AI116">
        <v>-8102.76</v>
      </c>
      <c r="AJ116">
        <v>0</v>
      </c>
      <c r="AK116">
        <v>8102.76</v>
      </c>
      <c r="AL116">
        <v>101918.85000000011</v>
      </c>
      <c r="AM116">
        <v>115638.51000000055</v>
      </c>
      <c r="AN116">
        <v>13719.659999999923</v>
      </c>
      <c r="AO116">
        <v>1922</v>
      </c>
    </row>
    <row r="117" spans="1:41" x14ac:dyDescent="0.35">
      <c r="A117">
        <v>2024</v>
      </c>
      <c r="B117">
        <v>6</v>
      </c>
      <c r="C117">
        <v>25</v>
      </c>
      <c r="D117" s="1">
        <v>45462</v>
      </c>
      <c r="E117" s="2" t="s">
        <v>44</v>
      </c>
      <c r="F117" s="2" t="s">
        <v>42</v>
      </c>
      <c r="G117" s="2" t="s">
        <v>45</v>
      </c>
      <c r="H117" s="3">
        <v>166608</v>
      </c>
      <c r="I117" s="3">
        <v>166608</v>
      </c>
      <c r="J117" s="3">
        <v>0</v>
      </c>
      <c r="K117" s="3">
        <v>1093.5900000000076</v>
      </c>
      <c r="L117" s="3">
        <v>1086.5900000000076</v>
      </c>
      <c r="M117" s="3">
        <v>-7</v>
      </c>
      <c r="N117" s="3">
        <v>6784.6299999999346</v>
      </c>
      <c r="O117" s="3">
        <v>6765.6399999999348</v>
      </c>
      <c r="P117" s="3">
        <v>-18.990000000000002</v>
      </c>
      <c r="Q117" s="3">
        <v>-29071</v>
      </c>
      <c r="R117" s="3">
        <v>-27618</v>
      </c>
      <c r="S117" s="3">
        <v>1453</v>
      </c>
      <c r="T117" s="3">
        <v>-10.08</v>
      </c>
      <c r="U117" s="3">
        <v>-10.08</v>
      </c>
      <c r="V117" s="3">
        <v>0</v>
      </c>
      <c r="W117" s="3">
        <v>-186.29000000000002</v>
      </c>
      <c r="X117" s="3">
        <v>-186.29000000000002</v>
      </c>
      <c r="Y117" s="3">
        <v>0</v>
      </c>
      <c r="Z117" s="3">
        <v>145218.85000000056</v>
      </c>
      <c r="AA117" s="3">
        <v>146645.86000000051</v>
      </c>
      <c r="AB117" s="3">
        <v>1427.01</v>
      </c>
      <c r="AC117" s="3">
        <v>42303.249999999876</v>
      </c>
      <c r="AD117" s="3">
        <v>25841.929999999909</v>
      </c>
      <c r="AE117" s="3">
        <v>-16461.319999999956</v>
      </c>
      <c r="AF117" s="3">
        <v>102915.60000000031</v>
      </c>
      <c r="AG117" s="3">
        <v>120803.93000000052</v>
      </c>
      <c r="AH117" s="3">
        <v>17888.329999999951</v>
      </c>
      <c r="AI117">
        <v>-12168.080000000025</v>
      </c>
      <c r="AJ117">
        <v>0</v>
      </c>
      <c r="AK117">
        <v>12168.080000000025</v>
      </c>
      <c r="AL117">
        <v>115083.67999999995</v>
      </c>
      <c r="AM117">
        <v>120803.93000000052</v>
      </c>
      <c r="AN117">
        <v>5720.2500000000109</v>
      </c>
      <c r="AO117">
        <v>2116</v>
      </c>
    </row>
    <row r="118" spans="1:41" x14ac:dyDescent="0.35">
      <c r="A118">
        <v>2024</v>
      </c>
      <c r="B118">
        <v>6</v>
      </c>
      <c r="C118">
        <v>25</v>
      </c>
      <c r="D118" s="1">
        <v>45463</v>
      </c>
      <c r="E118" s="2" t="s">
        <v>44</v>
      </c>
      <c r="F118" s="2" t="s">
        <v>42</v>
      </c>
      <c r="G118" s="2" t="s">
        <v>45</v>
      </c>
      <c r="H118" s="3">
        <v>189686</v>
      </c>
      <c r="I118" s="3">
        <v>189686</v>
      </c>
      <c r="J118" s="3">
        <v>0</v>
      </c>
      <c r="K118" s="3">
        <v>1266.7400000000125</v>
      </c>
      <c r="L118" s="3">
        <v>1265.7500000000134</v>
      </c>
      <c r="M118" s="3">
        <v>-0.99000000000000021</v>
      </c>
      <c r="N118" s="3">
        <v>7480.1399999999248</v>
      </c>
      <c r="O118" s="3">
        <v>7464.1499999999251</v>
      </c>
      <c r="P118" s="3">
        <v>-15.99</v>
      </c>
      <c r="Q118" s="3">
        <v>-33816.82</v>
      </c>
      <c r="R118" s="3">
        <v>-32636.32</v>
      </c>
      <c r="S118" s="3">
        <v>1180.5</v>
      </c>
      <c r="T118" s="3">
        <v>-15.900000000000002</v>
      </c>
      <c r="U118" s="3">
        <v>-15.900000000000002</v>
      </c>
      <c r="V118" s="3">
        <v>0</v>
      </c>
      <c r="W118" s="3">
        <v>-168.98</v>
      </c>
      <c r="X118" s="3">
        <v>-168.98</v>
      </c>
      <c r="Y118" s="3">
        <v>0</v>
      </c>
      <c r="Z118" s="3">
        <v>164431.18000000034</v>
      </c>
      <c r="AA118" s="3">
        <v>165594.7000000003</v>
      </c>
      <c r="AB118" s="3">
        <v>1163.52</v>
      </c>
      <c r="AC118" s="3">
        <v>48803.67999999976</v>
      </c>
      <c r="AD118" s="3">
        <v>23933.949999999935</v>
      </c>
      <c r="AE118" s="3">
        <v>-24869.729999999923</v>
      </c>
      <c r="AF118" s="3">
        <v>115627.50000000081</v>
      </c>
      <c r="AG118" s="3">
        <v>141660.7500000007</v>
      </c>
      <c r="AH118" s="3">
        <v>26033.24999999992</v>
      </c>
      <c r="AI118">
        <v>-11352.660000000045</v>
      </c>
      <c r="AJ118">
        <v>0</v>
      </c>
      <c r="AK118">
        <v>11352.660000000045</v>
      </c>
      <c r="AL118">
        <v>126980.16000000006</v>
      </c>
      <c r="AM118">
        <v>141660.7500000007</v>
      </c>
      <c r="AN118">
        <v>14680.589999999909</v>
      </c>
      <c r="AO118">
        <v>2414</v>
      </c>
    </row>
    <row r="119" spans="1:41" x14ac:dyDescent="0.35">
      <c r="A119">
        <v>2024</v>
      </c>
      <c r="B119">
        <v>6</v>
      </c>
      <c r="C119">
        <v>25</v>
      </c>
      <c r="D119" s="1">
        <v>45464</v>
      </c>
      <c r="E119" s="2" t="s">
        <v>44</v>
      </c>
      <c r="F119" s="2" t="s">
        <v>42</v>
      </c>
      <c r="G119" s="2" t="s">
        <v>45</v>
      </c>
      <c r="H119" s="3">
        <v>181408</v>
      </c>
      <c r="I119" s="3">
        <v>181408</v>
      </c>
      <c r="J119" s="3">
        <v>0</v>
      </c>
      <c r="K119" s="3">
        <v>1124.1600000000076</v>
      </c>
      <c r="L119" s="3">
        <v>1124.1600000000076</v>
      </c>
      <c r="M119" s="3">
        <v>0</v>
      </c>
      <c r="N119" s="3">
        <v>7050.41999999993</v>
      </c>
      <c r="O119" s="3">
        <v>6999.4499999999307</v>
      </c>
      <c r="P119" s="3">
        <v>-50.97</v>
      </c>
      <c r="Q119" s="3">
        <v>-32668.57</v>
      </c>
      <c r="R119" s="3">
        <v>-31479.57</v>
      </c>
      <c r="S119" s="3">
        <v>1189</v>
      </c>
      <c r="T119" s="3">
        <v>-13.35</v>
      </c>
      <c r="U119" s="3">
        <v>-13.35</v>
      </c>
      <c r="V119" s="3">
        <v>0</v>
      </c>
      <c r="W119" s="3">
        <v>-115.27999999999999</v>
      </c>
      <c r="X119" s="3">
        <v>-115.27999999999999</v>
      </c>
      <c r="Y119" s="3">
        <v>0</v>
      </c>
      <c r="Z119" s="3">
        <v>156785.38000000044</v>
      </c>
      <c r="AA119" s="3">
        <v>157923.41000000041</v>
      </c>
      <c r="AB119" s="3">
        <v>1138.03</v>
      </c>
      <c r="AC119" s="3">
        <v>46057.889999999818</v>
      </c>
      <c r="AD119" s="3">
        <v>22728.519999999931</v>
      </c>
      <c r="AE119" s="3">
        <v>-23329.369999999915</v>
      </c>
      <c r="AF119" s="3">
        <v>110727.49000000031</v>
      </c>
      <c r="AG119" s="3">
        <v>135194.89000000077</v>
      </c>
      <c r="AH119" s="3">
        <v>24467.399999999911</v>
      </c>
      <c r="AI119">
        <v>-10826.510000000018</v>
      </c>
      <c r="AJ119">
        <v>0</v>
      </c>
      <c r="AK119">
        <v>10826.510000000018</v>
      </c>
      <c r="AL119">
        <v>121554</v>
      </c>
      <c r="AM119">
        <v>135194.89000000077</v>
      </c>
      <c r="AN119">
        <v>13640.889999999912</v>
      </c>
      <c r="AO119">
        <v>2310</v>
      </c>
    </row>
    <row r="120" spans="1:41" x14ac:dyDescent="0.35">
      <c r="A120">
        <v>2024</v>
      </c>
      <c r="B120">
        <v>6</v>
      </c>
      <c r="C120">
        <v>25</v>
      </c>
      <c r="D120" s="1">
        <v>45465</v>
      </c>
      <c r="E120" s="2" t="s">
        <v>44</v>
      </c>
      <c r="F120" s="2" t="s">
        <v>42</v>
      </c>
      <c r="G120" s="2" t="s">
        <v>45</v>
      </c>
      <c r="H120" s="3">
        <v>169235</v>
      </c>
      <c r="I120" s="3">
        <v>169235</v>
      </c>
      <c r="J120" s="3">
        <v>0</v>
      </c>
      <c r="K120" s="3">
        <v>1115.7400000000109</v>
      </c>
      <c r="L120" s="3">
        <v>1115.7400000000109</v>
      </c>
      <c r="M120" s="3">
        <v>0</v>
      </c>
      <c r="N120" s="3">
        <v>6728.5999999999358</v>
      </c>
      <c r="O120" s="3">
        <v>6709.609999999936</v>
      </c>
      <c r="P120" s="3">
        <v>-18.990000000000002</v>
      </c>
      <c r="Q120" s="3">
        <v>-29843.75</v>
      </c>
      <c r="R120" s="3">
        <v>-28900.65</v>
      </c>
      <c r="S120" s="3">
        <v>943.1</v>
      </c>
      <c r="T120" s="3">
        <v>-7.29</v>
      </c>
      <c r="U120" s="3">
        <v>-7.29</v>
      </c>
      <c r="V120" s="3">
        <v>0</v>
      </c>
      <c r="W120" s="3">
        <v>-126.89999999999999</v>
      </c>
      <c r="X120" s="3">
        <v>-126.89999999999999</v>
      </c>
      <c r="Y120" s="3">
        <v>0</v>
      </c>
      <c r="Z120" s="3">
        <v>147101.40000000081</v>
      </c>
      <c r="AA120" s="3">
        <v>148025.51000000074</v>
      </c>
      <c r="AB120" s="3">
        <v>924.11</v>
      </c>
      <c r="AC120" s="3">
        <v>43642.629999999772</v>
      </c>
      <c r="AD120" s="3">
        <v>21221.329999999925</v>
      </c>
      <c r="AE120" s="3">
        <v>-22421.299999999934</v>
      </c>
      <c r="AF120" s="3">
        <v>103458.77000000024</v>
      </c>
      <c r="AG120" s="3">
        <v>126804.18000000079</v>
      </c>
      <c r="AH120" s="3">
        <v>23345.409999999938</v>
      </c>
      <c r="AI120">
        <v>-10085.430000000018</v>
      </c>
      <c r="AJ120">
        <v>0</v>
      </c>
      <c r="AK120">
        <v>10085.430000000018</v>
      </c>
      <c r="AL120">
        <v>113544.19999999978</v>
      </c>
      <c r="AM120">
        <v>126804.18000000079</v>
      </c>
      <c r="AN120">
        <v>13259.979999999918</v>
      </c>
      <c r="AO120">
        <v>2170</v>
      </c>
    </row>
    <row r="121" spans="1:41" x14ac:dyDescent="0.35">
      <c r="A121">
        <v>2024</v>
      </c>
      <c r="B121">
        <v>6</v>
      </c>
      <c r="C121">
        <v>25</v>
      </c>
      <c r="D121" s="1">
        <v>45459</v>
      </c>
      <c r="E121" s="2" t="s">
        <v>44</v>
      </c>
      <c r="F121" s="2" t="s">
        <v>42</v>
      </c>
      <c r="G121" s="2" t="s">
        <v>46</v>
      </c>
      <c r="H121" s="3">
        <v>75273.62</v>
      </c>
      <c r="I121" s="3">
        <v>75273.62</v>
      </c>
      <c r="J121" s="3">
        <v>0</v>
      </c>
      <c r="K121" s="3">
        <v>519.46999999999821</v>
      </c>
      <c r="L121" s="3">
        <v>519.46999999999821</v>
      </c>
      <c r="M121" s="3">
        <v>0</v>
      </c>
      <c r="N121" s="3">
        <v>1569.9900000000007</v>
      </c>
      <c r="O121" s="3">
        <v>1554.0000000000007</v>
      </c>
      <c r="P121" s="3">
        <v>-15.99</v>
      </c>
      <c r="Q121" s="3">
        <v>-25760.21</v>
      </c>
      <c r="R121" s="3">
        <v>-25319.21</v>
      </c>
      <c r="S121" s="3">
        <v>441</v>
      </c>
      <c r="T121" s="3">
        <v>-1.1800000000000002</v>
      </c>
      <c r="U121" s="3">
        <v>-1.1800000000000002</v>
      </c>
      <c r="V121" s="3">
        <v>0</v>
      </c>
      <c r="W121" s="3">
        <v>-23</v>
      </c>
      <c r="X121" s="3">
        <v>-23</v>
      </c>
      <c r="Y121" s="3">
        <v>0</v>
      </c>
      <c r="Z121" s="3">
        <v>51578.689999999806</v>
      </c>
      <c r="AA121" s="3">
        <v>52003.699999999808</v>
      </c>
      <c r="AB121" s="3">
        <v>425.01</v>
      </c>
      <c r="AC121" s="3">
        <v>19111.679999999942</v>
      </c>
      <c r="AD121" s="3">
        <v>10559.709999999981</v>
      </c>
      <c r="AE121" s="3">
        <v>-8551.9700000000048</v>
      </c>
      <c r="AF121" s="3">
        <v>32467.010000000078</v>
      </c>
      <c r="AG121" s="3">
        <v>41443.989999999983</v>
      </c>
      <c r="AH121" s="3">
        <v>8976.9800000000014</v>
      </c>
      <c r="AI121">
        <v>-3473.5600000000009</v>
      </c>
      <c r="AJ121">
        <v>0</v>
      </c>
      <c r="AK121">
        <v>3473.5600000000009</v>
      </c>
      <c r="AL121">
        <v>35940.569999999992</v>
      </c>
      <c r="AM121">
        <v>41443.989999999983</v>
      </c>
      <c r="AN121">
        <v>5503.4200000000073</v>
      </c>
      <c r="AO121">
        <v>858</v>
      </c>
    </row>
    <row r="122" spans="1:41" x14ac:dyDescent="0.35">
      <c r="A122">
        <v>2024</v>
      </c>
      <c r="B122">
        <v>6</v>
      </c>
      <c r="C122">
        <v>25</v>
      </c>
      <c r="D122" s="1">
        <v>45460</v>
      </c>
      <c r="E122" s="2" t="s">
        <v>44</v>
      </c>
      <c r="F122" s="2" t="s">
        <v>42</v>
      </c>
      <c r="G122" s="2" t="s">
        <v>46</v>
      </c>
      <c r="H122" s="3">
        <v>66745.039999999994</v>
      </c>
      <c r="I122" s="3">
        <v>66745.039999999994</v>
      </c>
      <c r="J122" s="3">
        <v>0</v>
      </c>
      <c r="K122" s="3">
        <v>398.48999999999961</v>
      </c>
      <c r="L122" s="3">
        <v>398.48999999999961</v>
      </c>
      <c r="M122" s="3">
        <v>0</v>
      </c>
      <c r="N122" s="3">
        <v>1335.1700000000005</v>
      </c>
      <c r="O122" s="3">
        <v>1335.1700000000005</v>
      </c>
      <c r="P122" s="3">
        <v>0</v>
      </c>
      <c r="Q122" s="3">
        <v>-23812.489999999998</v>
      </c>
      <c r="R122" s="3">
        <v>-23137.489999999998</v>
      </c>
      <c r="S122" s="3">
        <v>675</v>
      </c>
      <c r="T122" s="3">
        <v>-0.95000000000000007</v>
      </c>
      <c r="U122" s="3">
        <v>-0.95000000000000007</v>
      </c>
      <c r="V122" s="3">
        <v>0</v>
      </c>
      <c r="W122" s="3">
        <v>-20</v>
      </c>
      <c r="X122" s="3">
        <v>-20</v>
      </c>
      <c r="Y122" s="3">
        <v>0</v>
      </c>
      <c r="Z122" s="3">
        <v>44645.2599999999</v>
      </c>
      <c r="AA122" s="3">
        <v>45320.259999999893</v>
      </c>
      <c r="AB122" s="3">
        <v>675</v>
      </c>
      <c r="AC122" s="3">
        <v>17423.729999999934</v>
      </c>
      <c r="AD122" s="3">
        <v>7263.0600000000077</v>
      </c>
      <c r="AE122" s="3">
        <v>-10160.669999999991</v>
      </c>
      <c r="AF122" s="3">
        <v>27221.530000000057</v>
      </c>
      <c r="AG122" s="3">
        <v>38057.199999999983</v>
      </c>
      <c r="AH122" s="3">
        <v>10835.669999999989</v>
      </c>
      <c r="AI122">
        <v>-2797.0199999999991</v>
      </c>
      <c r="AJ122">
        <v>0</v>
      </c>
      <c r="AK122">
        <v>2797.0199999999991</v>
      </c>
      <c r="AL122">
        <v>30018.550000000003</v>
      </c>
      <c r="AM122">
        <v>38057.199999999983</v>
      </c>
      <c r="AN122">
        <v>8038.6500000000024</v>
      </c>
      <c r="AO122">
        <v>735</v>
      </c>
    </row>
    <row r="123" spans="1:41" x14ac:dyDescent="0.35">
      <c r="A123">
        <v>2024</v>
      </c>
      <c r="B123">
        <v>6</v>
      </c>
      <c r="C123">
        <v>25</v>
      </c>
      <c r="D123" s="1">
        <v>45461</v>
      </c>
      <c r="E123" s="2" t="s">
        <v>44</v>
      </c>
      <c r="F123" s="2" t="s">
        <v>42</v>
      </c>
      <c r="G123" s="2" t="s">
        <v>46</v>
      </c>
      <c r="H123" s="3">
        <v>47962.15</v>
      </c>
      <c r="I123" s="3">
        <v>47962.15</v>
      </c>
      <c r="J123" s="3">
        <v>0</v>
      </c>
      <c r="K123" s="3">
        <v>257.67999999999995</v>
      </c>
      <c r="L123" s="3">
        <v>217.67999999999998</v>
      </c>
      <c r="M123" s="3">
        <v>-40</v>
      </c>
      <c r="N123" s="3">
        <v>1154.2800000000004</v>
      </c>
      <c r="O123" s="3">
        <v>1138.2900000000004</v>
      </c>
      <c r="P123" s="3">
        <v>-15.99</v>
      </c>
      <c r="Q123" s="3">
        <v>-17118.96</v>
      </c>
      <c r="R123" s="3">
        <v>-17033.96</v>
      </c>
      <c r="S123" s="3">
        <v>85</v>
      </c>
      <c r="T123" s="3">
        <v>0</v>
      </c>
      <c r="U123" s="3">
        <v>0</v>
      </c>
      <c r="V123" s="3">
        <v>0</v>
      </c>
      <c r="W123" s="3">
        <v>-19.8</v>
      </c>
      <c r="X123" s="3">
        <v>-19.8</v>
      </c>
      <c r="Y123" s="3">
        <v>0</v>
      </c>
      <c r="Z123" s="3">
        <v>32235.350000000002</v>
      </c>
      <c r="AA123" s="3">
        <v>32264.360000000004</v>
      </c>
      <c r="AB123" s="3">
        <v>29.010000000000005</v>
      </c>
      <c r="AC123" s="3">
        <v>12254.029999999982</v>
      </c>
      <c r="AD123" s="3">
        <v>5121.0300000000025</v>
      </c>
      <c r="AE123" s="3">
        <v>-7133.0000000000082</v>
      </c>
      <c r="AF123" s="3">
        <v>19981.320000000025</v>
      </c>
      <c r="AG123" s="3">
        <v>27143.330000000013</v>
      </c>
      <c r="AH123" s="3">
        <v>7162.0100000000075</v>
      </c>
      <c r="AI123">
        <v>-1898.6000000000004</v>
      </c>
      <c r="AJ123">
        <v>0</v>
      </c>
      <c r="AK123">
        <v>1898.6000000000004</v>
      </c>
      <c r="AL123">
        <v>21879.920000000042</v>
      </c>
      <c r="AM123">
        <v>27143.330000000013</v>
      </c>
      <c r="AN123">
        <v>5263.4100000000062</v>
      </c>
      <c r="AO123">
        <v>525</v>
      </c>
    </row>
    <row r="124" spans="1:41" x14ac:dyDescent="0.35">
      <c r="A124">
        <v>2024</v>
      </c>
      <c r="B124">
        <v>6</v>
      </c>
      <c r="C124">
        <v>25</v>
      </c>
      <c r="D124" s="1">
        <v>45462</v>
      </c>
      <c r="E124" s="2" t="s">
        <v>44</v>
      </c>
      <c r="F124" s="2" t="s">
        <v>42</v>
      </c>
      <c r="G124" s="2" t="s">
        <v>46</v>
      </c>
      <c r="H124" s="3">
        <v>60089.22</v>
      </c>
      <c r="I124" s="3">
        <v>60089.22</v>
      </c>
      <c r="J124" s="3">
        <v>0</v>
      </c>
      <c r="K124" s="3">
        <v>381.71999999999952</v>
      </c>
      <c r="L124" s="3">
        <v>381.71999999999952</v>
      </c>
      <c r="M124" s="3">
        <v>0</v>
      </c>
      <c r="N124" s="3">
        <v>1217.2300000000005</v>
      </c>
      <c r="O124" s="3">
        <v>1217.2300000000005</v>
      </c>
      <c r="P124" s="3">
        <v>0</v>
      </c>
      <c r="Q124" s="3">
        <v>-21554.71</v>
      </c>
      <c r="R124" s="3">
        <v>-20742.96</v>
      </c>
      <c r="S124" s="3">
        <v>811.75</v>
      </c>
      <c r="T124" s="3">
        <v>0</v>
      </c>
      <c r="U124" s="3">
        <v>0</v>
      </c>
      <c r="V124" s="3">
        <v>0</v>
      </c>
      <c r="W124" s="3">
        <v>-24.8</v>
      </c>
      <c r="X124" s="3">
        <v>-24.8</v>
      </c>
      <c r="Y124" s="3">
        <v>0</v>
      </c>
      <c r="Z124" s="3">
        <v>40108.65999999996</v>
      </c>
      <c r="AA124" s="3">
        <v>40920.40999999996</v>
      </c>
      <c r="AB124" s="3">
        <v>811.75</v>
      </c>
      <c r="AC124" s="3">
        <v>14818.449999999959</v>
      </c>
      <c r="AD124" s="3">
        <v>9829.0499999999993</v>
      </c>
      <c r="AE124" s="3">
        <v>-4989.4000000000033</v>
      </c>
      <c r="AF124" s="3">
        <v>25290.210000000057</v>
      </c>
      <c r="AG124" s="3">
        <v>31091.360000000052</v>
      </c>
      <c r="AH124" s="3">
        <v>5801.1500000000033</v>
      </c>
      <c r="AI124">
        <v>-3249.9</v>
      </c>
      <c r="AJ124">
        <v>0</v>
      </c>
      <c r="AK124">
        <v>3249.9</v>
      </c>
      <c r="AL124">
        <v>28540.110000000015</v>
      </c>
      <c r="AM124">
        <v>31091.360000000052</v>
      </c>
      <c r="AN124">
        <v>2551.2499999999986</v>
      </c>
      <c r="AO124">
        <v>675</v>
      </c>
    </row>
    <row r="125" spans="1:41" x14ac:dyDescent="0.35">
      <c r="A125">
        <v>2024</v>
      </c>
      <c r="B125">
        <v>6</v>
      </c>
      <c r="C125">
        <v>25</v>
      </c>
      <c r="D125" s="1">
        <v>45463</v>
      </c>
      <c r="E125" s="2" t="s">
        <v>44</v>
      </c>
      <c r="F125" s="2" t="s">
        <v>42</v>
      </c>
      <c r="G125" s="2" t="s">
        <v>46</v>
      </c>
      <c r="H125" s="3">
        <v>75202.559999999983</v>
      </c>
      <c r="I125" s="3">
        <v>75202.559999999983</v>
      </c>
      <c r="J125" s="3">
        <v>0</v>
      </c>
      <c r="K125" s="3">
        <v>394.23999999999933</v>
      </c>
      <c r="L125" s="3">
        <v>394.23999999999933</v>
      </c>
      <c r="M125" s="3">
        <v>0</v>
      </c>
      <c r="N125" s="3">
        <v>1631.9700000000007</v>
      </c>
      <c r="O125" s="3">
        <v>1640.9600000000007</v>
      </c>
      <c r="P125" s="3">
        <v>8.99</v>
      </c>
      <c r="Q125" s="3">
        <v>-25974.65</v>
      </c>
      <c r="R125" s="3">
        <v>-25392.15</v>
      </c>
      <c r="S125" s="3">
        <v>582.5</v>
      </c>
      <c r="T125" s="3">
        <v>0</v>
      </c>
      <c r="U125" s="3">
        <v>0</v>
      </c>
      <c r="V125" s="3">
        <v>0</v>
      </c>
      <c r="W125" s="3">
        <v>-10</v>
      </c>
      <c r="X125" s="3">
        <v>-10</v>
      </c>
      <c r="Y125" s="3">
        <v>0</v>
      </c>
      <c r="Z125" s="3">
        <v>51244.11999999985</v>
      </c>
      <c r="AA125" s="3">
        <v>51835.609999999841</v>
      </c>
      <c r="AB125" s="3">
        <v>591.49</v>
      </c>
      <c r="AC125" s="3">
        <v>19027.949999999946</v>
      </c>
      <c r="AD125" s="3">
        <v>9498.6099999999988</v>
      </c>
      <c r="AE125" s="3">
        <v>-9529.3399999999983</v>
      </c>
      <c r="AF125" s="3">
        <v>32216.170000000078</v>
      </c>
      <c r="AG125" s="3">
        <v>42336.999999999935</v>
      </c>
      <c r="AH125" s="3">
        <v>10120.829999999993</v>
      </c>
      <c r="AI125">
        <v>-3035.86</v>
      </c>
      <c r="AJ125">
        <v>0</v>
      </c>
      <c r="AK125">
        <v>3035.86</v>
      </c>
      <c r="AL125">
        <v>35252.030000000042</v>
      </c>
      <c r="AM125">
        <v>42336.999999999935</v>
      </c>
      <c r="AN125">
        <v>7084.9700000000093</v>
      </c>
      <c r="AO125">
        <v>852</v>
      </c>
    </row>
    <row r="126" spans="1:41" x14ac:dyDescent="0.35">
      <c r="A126">
        <v>2024</v>
      </c>
      <c r="B126">
        <v>6</v>
      </c>
      <c r="C126">
        <v>25</v>
      </c>
      <c r="D126" s="1">
        <v>45464</v>
      </c>
      <c r="E126" s="2" t="s">
        <v>44</v>
      </c>
      <c r="F126" s="2" t="s">
        <v>42</v>
      </c>
      <c r="G126" s="2" t="s">
        <v>46</v>
      </c>
      <c r="H126" s="3">
        <v>75897.66</v>
      </c>
      <c r="I126" s="3">
        <v>75897.66</v>
      </c>
      <c r="J126" s="3">
        <v>0</v>
      </c>
      <c r="K126" s="3">
        <v>481.36999999999813</v>
      </c>
      <c r="L126" s="3">
        <v>481.36999999999813</v>
      </c>
      <c r="M126" s="3">
        <v>0</v>
      </c>
      <c r="N126" s="3">
        <v>1691.9100000000008</v>
      </c>
      <c r="O126" s="3">
        <v>1675.9200000000008</v>
      </c>
      <c r="P126" s="3">
        <v>-15.99</v>
      </c>
      <c r="Q126" s="3">
        <v>-25771.460000000003</v>
      </c>
      <c r="R126" s="3">
        <v>-25332.810000000005</v>
      </c>
      <c r="S126" s="3">
        <v>438.65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52299.479999999843</v>
      </c>
      <c r="AA126" s="3">
        <v>52722.139999999839</v>
      </c>
      <c r="AB126" s="3">
        <v>422.66</v>
      </c>
      <c r="AC126" s="3">
        <v>19496.63999999993</v>
      </c>
      <c r="AD126" s="3">
        <v>10378.759999999987</v>
      </c>
      <c r="AE126" s="3">
        <v>-9117.8799999999992</v>
      </c>
      <c r="AF126" s="3">
        <v>32802.840000000026</v>
      </c>
      <c r="AG126" s="3">
        <v>42343.379999999976</v>
      </c>
      <c r="AH126" s="3">
        <v>9540.5399999999936</v>
      </c>
      <c r="AI126">
        <v>-3259.6799999999967</v>
      </c>
      <c r="AJ126">
        <v>0</v>
      </c>
      <c r="AK126">
        <v>3259.6799999999967</v>
      </c>
      <c r="AL126">
        <v>36062.520000000004</v>
      </c>
      <c r="AM126">
        <v>42343.379999999976</v>
      </c>
      <c r="AN126">
        <v>6280.8600000000079</v>
      </c>
      <c r="AO126">
        <v>865</v>
      </c>
    </row>
    <row r="127" spans="1:41" x14ac:dyDescent="0.35">
      <c r="A127">
        <v>2024</v>
      </c>
      <c r="B127">
        <v>6</v>
      </c>
      <c r="C127">
        <v>25</v>
      </c>
      <c r="D127" s="1">
        <v>45465</v>
      </c>
      <c r="E127" s="2" t="s">
        <v>44</v>
      </c>
      <c r="F127" s="2" t="s">
        <v>42</v>
      </c>
      <c r="G127" s="2" t="s">
        <v>46</v>
      </c>
      <c r="H127" s="3">
        <v>76809.169999999984</v>
      </c>
      <c r="I127" s="3">
        <v>76809.169999999984</v>
      </c>
      <c r="J127" s="3">
        <v>0</v>
      </c>
      <c r="K127" s="3">
        <v>452.93999999999841</v>
      </c>
      <c r="L127" s="3">
        <v>452.93999999999841</v>
      </c>
      <c r="M127" s="3">
        <v>0</v>
      </c>
      <c r="N127" s="3">
        <v>1707.9200000000008</v>
      </c>
      <c r="O127" s="3">
        <v>1707.9200000000008</v>
      </c>
      <c r="P127" s="3">
        <v>0</v>
      </c>
      <c r="Q127" s="3">
        <v>-26518.760000000006</v>
      </c>
      <c r="R127" s="3">
        <v>-26029.760000000006</v>
      </c>
      <c r="S127" s="3">
        <v>489</v>
      </c>
      <c r="T127" s="3">
        <v>-1.4000000000000001</v>
      </c>
      <c r="U127" s="3">
        <v>-1.4000000000000001</v>
      </c>
      <c r="V127" s="3">
        <v>0</v>
      </c>
      <c r="W127" s="3">
        <v>-24.5</v>
      </c>
      <c r="X127" s="3">
        <v>-24.5</v>
      </c>
      <c r="Y127" s="3">
        <v>0</v>
      </c>
      <c r="Z127" s="3">
        <v>52425.369999999799</v>
      </c>
      <c r="AA127" s="3">
        <v>52914.369999999799</v>
      </c>
      <c r="AB127" s="3">
        <v>489</v>
      </c>
      <c r="AC127" s="3">
        <v>20128.729999999952</v>
      </c>
      <c r="AD127" s="3">
        <v>10039.689999999999</v>
      </c>
      <c r="AE127" s="3">
        <v>-10089.039999999994</v>
      </c>
      <c r="AF127" s="3">
        <v>32296.640000000054</v>
      </c>
      <c r="AG127" s="3">
        <v>42874.679999999957</v>
      </c>
      <c r="AH127" s="3">
        <v>10578.039999999988</v>
      </c>
      <c r="AI127">
        <v>-3329.1599999999939</v>
      </c>
      <c r="AJ127">
        <v>0</v>
      </c>
      <c r="AK127">
        <v>3329.1599999999939</v>
      </c>
      <c r="AL127">
        <v>35625.800000000017</v>
      </c>
      <c r="AM127">
        <v>42874.679999999957</v>
      </c>
      <c r="AN127">
        <v>7248.8800000000037</v>
      </c>
      <c r="AO127">
        <v>873</v>
      </c>
    </row>
    <row r="128" spans="1:41" x14ac:dyDescent="0.35">
      <c r="A128">
        <v>2024</v>
      </c>
      <c r="B128">
        <v>6</v>
      </c>
      <c r="C128">
        <v>25</v>
      </c>
      <c r="D128" s="1">
        <v>45459</v>
      </c>
      <c r="E128" s="2" t="s">
        <v>44</v>
      </c>
      <c r="F128" s="2" t="s">
        <v>47</v>
      </c>
      <c r="G128" s="2" t="s">
        <v>48</v>
      </c>
      <c r="H128" s="3">
        <v>12602.689999999908</v>
      </c>
      <c r="I128" s="3">
        <v>12602.689999999908</v>
      </c>
      <c r="J128" s="3">
        <v>0</v>
      </c>
      <c r="K128" s="3">
        <v>1124.8700000000008</v>
      </c>
      <c r="L128" s="3">
        <v>1170.8700000000008</v>
      </c>
      <c r="M128" s="3">
        <v>46</v>
      </c>
      <c r="N128" s="3">
        <v>21.98</v>
      </c>
      <c r="O128" s="3">
        <v>21.98</v>
      </c>
      <c r="P128" s="3">
        <v>0</v>
      </c>
      <c r="Q128" s="3">
        <v>-1442.3500000000001</v>
      </c>
      <c r="R128" s="3">
        <v>-1442.3500000000001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12307.18999999992</v>
      </c>
      <c r="AA128" s="3">
        <v>12353.189999999919</v>
      </c>
      <c r="AB128" s="3">
        <v>46</v>
      </c>
      <c r="AC128" s="3">
        <v>86.61</v>
      </c>
      <c r="AD128" s="3"/>
      <c r="AE128" s="3">
        <v>-86.61</v>
      </c>
      <c r="AF128" s="3">
        <v>12220.579999999922</v>
      </c>
      <c r="AG128" s="3">
        <v>12353.189999999919</v>
      </c>
      <c r="AH128" s="3">
        <v>132.61000000000001</v>
      </c>
      <c r="AI128">
        <v>4046.4700000000012</v>
      </c>
      <c r="AJ128">
        <v>0</v>
      </c>
      <c r="AK128">
        <v>-4046.4700000000012</v>
      </c>
      <c r="AL128">
        <v>8174.109999999986</v>
      </c>
      <c r="AM128">
        <v>12353.189999999919</v>
      </c>
      <c r="AN128">
        <v>4179.0800000000045</v>
      </c>
      <c r="AO128">
        <v>432</v>
      </c>
    </row>
    <row r="129" spans="1:41" x14ac:dyDescent="0.35">
      <c r="A129">
        <v>2024</v>
      </c>
      <c r="B129">
        <v>6</v>
      </c>
      <c r="C129">
        <v>25</v>
      </c>
      <c r="D129" s="1">
        <v>45460</v>
      </c>
      <c r="E129" s="2" t="s">
        <v>44</v>
      </c>
      <c r="F129" s="2" t="s">
        <v>47</v>
      </c>
      <c r="G129" s="2" t="s">
        <v>48</v>
      </c>
      <c r="H129" s="3">
        <v>18412.899999999994</v>
      </c>
      <c r="I129" s="3">
        <v>18412.899999999994</v>
      </c>
      <c r="J129" s="3">
        <v>0</v>
      </c>
      <c r="K129" s="3">
        <v>43.2</v>
      </c>
      <c r="L129" s="3">
        <v>43.2</v>
      </c>
      <c r="M129" s="3">
        <v>0</v>
      </c>
      <c r="N129" s="3">
        <v>15.99</v>
      </c>
      <c r="O129" s="3">
        <v>15.99</v>
      </c>
      <c r="P129" s="3">
        <v>0</v>
      </c>
      <c r="Q129" s="3">
        <v>-5300.6500000000142</v>
      </c>
      <c r="R129" s="3">
        <v>-5300.6500000000142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13171.439999999957</v>
      </c>
      <c r="AA129" s="3">
        <v>13171.439999999957</v>
      </c>
      <c r="AB129" s="3">
        <v>0</v>
      </c>
      <c r="AC129" s="3">
        <v>29.3</v>
      </c>
      <c r="AD129" s="3">
        <v>29.3</v>
      </c>
      <c r="AE129" s="3">
        <v>0</v>
      </c>
      <c r="AF129" s="3">
        <v>13142.139999999956</v>
      </c>
      <c r="AG129" s="3">
        <v>13142.139999999956</v>
      </c>
      <c r="AH129" s="3">
        <v>0</v>
      </c>
      <c r="AI129">
        <v>3376.900000000001</v>
      </c>
      <c r="AJ129">
        <v>0</v>
      </c>
      <c r="AK129">
        <v>-3376.900000000001</v>
      </c>
      <c r="AL129">
        <v>9765.2400000000016</v>
      </c>
      <c r="AM129">
        <v>13142.139999999956</v>
      </c>
      <c r="AN129">
        <v>3376.900000000001</v>
      </c>
      <c r="AO129">
        <v>290</v>
      </c>
    </row>
    <row r="130" spans="1:41" x14ac:dyDescent="0.35">
      <c r="A130">
        <v>2024</v>
      </c>
      <c r="B130">
        <v>6</v>
      </c>
      <c r="C130">
        <v>25</v>
      </c>
      <c r="D130" s="1">
        <v>45461</v>
      </c>
      <c r="E130" s="2" t="s">
        <v>44</v>
      </c>
      <c r="F130" s="2" t="s">
        <v>47</v>
      </c>
      <c r="G130" s="2" t="s">
        <v>48</v>
      </c>
      <c r="H130" s="3">
        <v>347</v>
      </c>
      <c r="I130" s="3">
        <v>347</v>
      </c>
      <c r="J130" s="3">
        <v>0</v>
      </c>
      <c r="K130" s="3">
        <v>3.7600000000000002</v>
      </c>
      <c r="L130" s="3">
        <v>3.7600000000000002</v>
      </c>
      <c r="M130" s="3">
        <v>0</v>
      </c>
      <c r="N130" s="3">
        <v>0</v>
      </c>
      <c r="O130" s="3">
        <v>0</v>
      </c>
      <c r="P130" s="3">
        <v>0</v>
      </c>
      <c r="Q130" s="3">
        <v>-107.45</v>
      </c>
      <c r="R130" s="3">
        <v>-107.45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243.31</v>
      </c>
      <c r="AA130" s="3">
        <v>243.31</v>
      </c>
      <c r="AB130" s="3">
        <v>0</v>
      </c>
      <c r="AC130" s="3">
        <v>59.3</v>
      </c>
      <c r="AD130" s="3">
        <v>30</v>
      </c>
      <c r="AE130" s="3">
        <v>-29.3</v>
      </c>
      <c r="AF130" s="3">
        <v>184.01</v>
      </c>
      <c r="AG130" s="3">
        <v>213.31</v>
      </c>
      <c r="AH130" s="3">
        <v>29.299999999999997</v>
      </c>
      <c r="AI130">
        <v>21.669999999999998</v>
      </c>
      <c r="AJ130">
        <v>0</v>
      </c>
      <c r="AK130">
        <v>-21.669999999999998</v>
      </c>
      <c r="AL130">
        <v>162.33999999999997</v>
      </c>
      <c r="AM130">
        <v>213.31</v>
      </c>
      <c r="AN130">
        <v>50.97</v>
      </c>
      <c r="AO130">
        <v>5</v>
      </c>
    </row>
    <row r="131" spans="1:41" x14ac:dyDescent="0.35">
      <c r="A131">
        <v>2024</v>
      </c>
      <c r="B131">
        <v>6</v>
      </c>
      <c r="C131">
        <v>25</v>
      </c>
      <c r="D131" s="1">
        <v>45462</v>
      </c>
      <c r="E131" s="2" t="s">
        <v>44</v>
      </c>
      <c r="F131" s="2" t="s">
        <v>47</v>
      </c>
      <c r="G131" s="2" t="s">
        <v>48</v>
      </c>
      <c r="H131" s="3">
        <v>3801.0800000000077</v>
      </c>
      <c r="I131" s="3">
        <v>3801.0800000000077</v>
      </c>
      <c r="J131" s="3">
        <v>0</v>
      </c>
      <c r="K131" s="3">
        <v>611.42999999999995</v>
      </c>
      <c r="L131" s="3">
        <v>611.42999999999995</v>
      </c>
      <c r="M131" s="3">
        <v>0</v>
      </c>
      <c r="N131" s="3">
        <v>0</v>
      </c>
      <c r="O131" s="3">
        <v>0</v>
      </c>
      <c r="P131" s="3">
        <v>0</v>
      </c>
      <c r="Q131" s="3">
        <v>-496.05000000000007</v>
      </c>
      <c r="R131" s="3">
        <v>-496.05000000000007</v>
      </c>
      <c r="S131" s="3">
        <v>0</v>
      </c>
      <c r="T131" s="3">
        <v>-11</v>
      </c>
      <c r="U131" s="3">
        <v>-11</v>
      </c>
      <c r="V131" s="3">
        <v>0</v>
      </c>
      <c r="W131" s="3">
        <v>0</v>
      </c>
      <c r="X131" s="3">
        <v>0</v>
      </c>
      <c r="Y131" s="3">
        <v>0</v>
      </c>
      <c r="Z131" s="3">
        <v>3905.4600000000055</v>
      </c>
      <c r="AA131" s="3">
        <v>3905.4600000000055</v>
      </c>
      <c r="AB131" s="3">
        <v>0</v>
      </c>
      <c r="AC131" s="3">
        <v>60</v>
      </c>
      <c r="AD131" s="3">
        <v>30</v>
      </c>
      <c r="AE131" s="3">
        <v>-30</v>
      </c>
      <c r="AF131" s="3">
        <v>3845.4600000000055</v>
      </c>
      <c r="AG131" s="3">
        <v>3875.4600000000055</v>
      </c>
      <c r="AH131" s="3">
        <v>29.999999999999996</v>
      </c>
      <c r="AI131">
        <v>1274.1299999999997</v>
      </c>
      <c r="AJ131">
        <v>0</v>
      </c>
      <c r="AK131">
        <v>-1274.1299999999997</v>
      </c>
      <c r="AL131">
        <v>2571.3299999999986</v>
      </c>
      <c r="AM131">
        <v>3875.4600000000055</v>
      </c>
      <c r="AN131">
        <v>1304.1299999999999</v>
      </c>
      <c r="AO131">
        <v>148</v>
      </c>
    </row>
    <row r="132" spans="1:41" x14ac:dyDescent="0.35">
      <c r="A132">
        <v>2024</v>
      </c>
      <c r="B132">
        <v>6</v>
      </c>
      <c r="C132">
        <v>25</v>
      </c>
      <c r="D132" s="1">
        <v>45463</v>
      </c>
      <c r="E132" s="2" t="s">
        <v>44</v>
      </c>
      <c r="F132" s="2" t="s">
        <v>47</v>
      </c>
      <c r="G132" s="2" t="s">
        <v>48</v>
      </c>
      <c r="H132" s="3">
        <v>7519.3000000000147</v>
      </c>
      <c r="I132" s="3">
        <v>7519.3000000000147</v>
      </c>
      <c r="J132" s="3">
        <v>0</v>
      </c>
      <c r="K132" s="3">
        <v>526.40999999999985</v>
      </c>
      <c r="L132" s="3">
        <v>526.40999999999985</v>
      </c>
      <c r="M132" s="3">
        <v>0</v>
      </c>
      <c r="N132" s="3">
        <v>0</v>
      </c>
      <c r="O132" s="3">
        <v>0</v>
      </c>
      <c r="P132" s="3">
        <v>0</v>
      </c>
      <c r="Q132" s="3">
        <v>-1366.45</v>
      </c>
      <c r="R132" s="3">
        <v>-1366.45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6679.2600000000139</v>
      </c>
      <c r="AA132" s="3">
        <v>6679.2600000000139</v>
      </c>
      <c r="AB132" s="3">
        <v>0</v>
      </c>
      <c r="AC132" s="3">
        <v>80.38</v>
      </c>
      <c r="AD132" s="3">
        <v>50.38</v>
      </c>
      <c r="AE132" s="3">
        <v>-30</v>
      </c>
      <c r="AF132" s="3">
        <v>6598.8800000000128</v>
      </c>
      <c r="AG132" s="3">
        <v>6628.8800000000128</v>
      </c>
      <c r="AH132" s="3">
        <v>30</v>
      </c>
      <c r="AI132">
        <v>2317.7399999999998</v>
      </c>
      <c r="AJ132">
        <v>0</v>
      </c>
      <c r="AK132">
        <v>-2317.7399999999998</v>
      </c>
      <c r="AL132">
        <v>4281.1400000000003</v>
      </c>
      <c r="AM132">
        <v>6628.8800000000128</v>
      </c>
      <c r="AN132">
        <v>2347.7399999999993</v>
      </c>
      <c r="AO132">
        <v>211</v>
      </c>
    </row>
    <row r="133" spans="1:41" x14ac:dyDescent="0.35">
      <c r="A133">
        <v>2024</v>
      </c>
      <c r="B133">
        <v>6</v>
      </c>
      <c r="C133">
        <v>25</v>
      </c>
      <c r="D133" s="1">
        <v>45464</v>
      </c>
      <c r="E133" s="2" t="s">
        <v>44</v>
      </c>
      <c r="F133" s="2" t="s">
        <v>47</v>
      </c>
      <c r="G133" s="2" t="s">
        <v>48</v>
      </c>
      <c r="H133" s="3">
        <v>5947.7500000000064</v>
      </c>
      <c r="I133" s="3">
        <v>5947.7500000000064</v>
      </c>
      <c r="J133" s="3">
        <v>0</v>
      </c>
      <c r="K133" s="3">
        <v>524.3599999999999</v>
      </c>
      <c r="L133" s="3">
        <v>524.3599999999999</v>
      </c>
      <c r="M133" s="3">
        <v>0</v>
      </c>
      <c r="N133" s="3">
        <v>24.98</v>
      </c>
      <c r="O133" s="3">
        <v>24.98</v>
      </c>
      <c r="P133" s="3">
        <v>0</v>
      </c>
      <c r="Q133" s="3">
        <v>-1029.1500000000001</v>
      </c>
      <c r="R133" s="3">
        <v>-1029.1500000000001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5467.9400000000041</v>
      </c>
      <c r="AA133" s="3">
        <v>5467.9400000000041</v>
      </c>
      <c r="AB133" s="3">
        <v>0</v>
      </c>
      <c r="AC133" s="3">
        <v>65.38</v>
      </c>
      <c r="AD133" s="3">
        <v>15</v>
      </c>
      <c r="AE133" s="3">
        <v>-50.38</v>
      </c>
      <c r="AF133" s="3">
        <v>5402.560000000004</v>
      </c>
      <c r="AG133" s="3">
        <v>5452.9400000000041</v>
      </c>
      <c r="AH133" s="3">
        <v>50.379999999999995</v>
      </c>
      <c r="AI133">
        <v>1499.9399999999991</v>
      </c>
      <c r="AJ133">
        <v>0</v>
      </c>
      <c r="AK133">
        <v>-1499.9399999999991</v>
      </c>
      <c r="AL133">
        <v>3902.62</v>
      </c>
      <c r="AM133">
        <v>5452.9400000000041</v>
      </c>
      <c r="AN133">
        <v>1550.3199999999993</v>
      </c>
      <c r="AO133">
        <v>149</v>
      </c>
    </row>
    <row r="134" spans="1:41" x14ac:dyDescent="0.35">
      <c r="A134">
        <v>2024</v>
      </c>
      <c r="B134">
        <v>6</v>
      </c>
      <c r="C134">
        <v>25</v>
      </c>
      <c r="D134" s="1">
        <v>45465</v>
      </c>
      <c r="E134" s="2" t="s">
        <v>44</v>
      </c>
      <c r="F134" s="2" t="s">
        <v>47</v>
      </c>
      <c r="G134" s="2" t="s">
        <v>48</v>
      </c>
      <c r="H134" s="3">
        <v>9737.9799999999868</v>
      </c>
      <c r="I134" s="3">
        <v>9737.9799999999868</v>
      </c>
      <c r="J134" s="3">
        <v>0</v>
      </c>
      <c r="K134" s="3">
        <v>506.02999999999986</v>
      </c>
      <c r="L134" s="3">
        <v>506.02999999999986</v>
      </c>
      <c r="M134" s="3">
        <v>0</v>
      </c>
      <c r="N134" s="3">
        <v>50.970000000000006</v>
      </c>
      <c r="O134" s="3">
        <v>50.970000000000006</v>
      </c>
      <c r="P134" s="3">
        <v>0</v>
      </c>
      <c r="Q134" s="3">
        <v>-1925.7499999999993</v>
      </c>
      <c r="R134" s="3">
        <v>-1925.7499999999993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8369.230000000005</v>
      </c>
      <c r="AA134" s="3">
        <v>8369.230000000005</v>
      </c>
      <c r="AB134" s="3">
        <v>0</v>
      </c>
      <c r="AC134" s="3">
        <v>120.75</v>
      </c>
      <c r="AD134" s="3">
        <v>105.75</v>
      </c>
      <c r="AE134" s="3">
        <v>-15</v>
      </c>
      <c r="AF134" s="3">
        <v>8248.4800000000068</v>
      </c>
      <c r="AG134" s="3">
        <v>8263.4800000000068</v>
      </c>
      <c r="AH134" s="3">
        <v>15</v>
      </c>
      <c r="AI134">
        <v>2476.8200000000038</v>
      </c>
      <c r="AJ134">
        <v>0</v>
      </c>
      <c r="AK134">
        <v>-2476.8200000000038</v>
      </c>
      <c r="AL134">
        <v>5771.6599999999962</v>
      </c>
      <c r="AM134">
        <v>8263.4800000000068</v>
      </c>
      <c r="AN134">
        <v>2491.8200000000038</v>
      </c>
      <c r="AO134">
        <v>246</v>
      </c>
    </row>
    <row r="135" spans="1:41" x14ac:dyDescent="0.35">
      <c r="A135">
        <v>2024</v>
      </c>
      <c r="B135">
        <v>6</v>
      </c>
      <c r="C135">
        <v>25</v>
      </c>
      <c r="D135" s="1">
        <v>45459</v>
      </c>
      <c r="E135" s="2" t="s">
        <v>44</v>
      </c>
      <c r="F135" s="2" t="s">
        <v>47</v>
      </c>
      <c r="G135" s="2" t="s">
        <v>49</v>
      </c>
      <c r="H135" s="3">
        <v>14915.099999999999</v>
      </c>
      <c r="I135" s="3">
        <v>14915.099999999999</v>
      </c>
      <c r="J135" s="3">
        <v>0</v>
      </c>
      <c r="K135" s="3">
        <v>160.88</v>
      </c>
      <c r="L135" s="3">
        <v>160.88</v>
      </c>
      <c r="M135" s="3">
        <v>0</v>
      </c>
      <c r="N135" s="3">
        <v>106.91999999999999</v>
      </c>
      <c r="O135" s="3">
        <v>106.91999999999999</v>
      </c>
      <c r="P135" s="3">
        <v>0</v>
      </c>
      <c r="Q135" s="3">
        <v>-5596.5999999999985</v>
      </c>
      <c r="R135" s="3">
        <v>-5585.5999999999985</v>
      </c>
      <c r="S135" s="3">
        <v>11</v>
      </c>
      <c r="T135" s="3">
        <v>-14.9</v>
      </c>
      <c r="U135" s="3">
        <v>-14.9</v>
      </c>
      <c r="V135" s="3">
        <v>0</v>
      </c>
      <c r="W135" s="3">
        <v>0</v>
      </c>
      <c r="X135" s="3">
        <v>0</v>
      </c>
      <c r="Y135" s="3">
        <v>0</v>
      </c>
      <c r="Z135" s="3">
        <v>9571.4000000000015</v>
      </c>
      <c r="AA135" s="3">
        <v>9582.4000000000015</v>
      </c>
      <c r="AB135" s="3">
        <v>11</v>
      </c>
      <c r="AC135" s="3">
        <v>1348.43</v>
      </c>
      <c r="AD135" s="3">
        <v>433.47</v>
      </c>
      <c r="AE135" s="3">
        <v>-914.96000000000038</v>
      </c>
      <c r="AF135" s="3">
        <v>8222.9699999999975</v>
      </c>
      <c r="AG135" s="3">
        <v>9148.9299999999985</v>
      </c>
      <c r="AH135" s="3">
        <v>925.96000000000038</v>
      </c>
      <c r="AI135">
        <v>1283.5500000000002</v>
      </c>
      <c r="AJ135">
        <v>0</v>
      </c>
      <c r="AK135">
        <v>-1283.5500000000002</v>
      </c>
      <c r="AL135">
        <v>6939.4200000000019</v>
      </c>
      <c r="AM135">
        <v>9148.9299999999985</v>
      </c>
      <c r="AN135">
        <v>2209.5100000000011</v>
      </c>
      <c r="AO135">
        <v>184</v>
      </c>
    </row>
    <row r="136" spans="1:41" x14ac:dyDescent="0.35">
      <c r="A136">
        <v>2024</v>
      </c>
      <c r="B136">
        <v>6</v>
      </c>
      <c r="C136">
        <v>25</v>
      </c>
      <c r="D136" s="1">
        <v>45460</v>
      </c>
      <c r="E136" s="2" t="s">
        <v>44</v>
      </c>
      <c r="F136" s="2" t="s">
        <v>47</v>
      </c>
      <c r="G136" s="2" t="s">
        <v>49</v>
      </c>
      <c r="H136" s="3">
        <v>15508.5</v>
      </c>
      <c r="I136" s="3">
        <v>15508.5</v>
      </c>
      <c r="J136" s="3">
        <v>0</v>
      </c>
      <c r="K136" s="3">
        <v>118.75999999999996</v>
      </c>
      <c r="L136" s="3">
        <v>118.75999999999996</v>
      </c>
      <c r="M136" s="3">
        <v>0</v>
      </c>
      <c r="N136" s="3">
        <v>142.91999999999999</v>
      </c>
      <c r="O136" s="3">
        <v>142.91999999999999</v>
      </c>
      <c r="P136" s="3">
        <v>0</v>
      </c>
      <c r="Q136" s="3">
        <v>-5722.1499999999969</v>
      </c>
      <c r="R136" s="3">
        <v>-5693.149999999996</v>
      </c>
      <c r="S136" s="3">
        <v>29</v>
      </c>
      <c r="T136" s="3">
        <v>-15</v>
      </c>
      <c r="U136" s="3">
        <v>-15</v>
      </c>
      <c r="V136" s="3">
        <v>0</v>
      </c>
      <c r="W136" s="3">
        <v>0</v>
      </c>
      <c r="X136" s="3">
        <v>0</v>
      </c>
      <c r="Y136" s="3">
        <v>0</v>
      </c>
      <c r="Z136" s="3">
        <v>10033.029999999995</v>
      </c>
      <c r="AA136" s="3">
        <v>10062.029999999995</v>
      </c>
      <c r="AB136" s="3">
        <v>28.999999999999993</v>
      </c>
      <c r="AC136" s="3">
        <v>702.35999999999967</v>
      </c>
      <c r="AD136" s="3">
        <v>268.89000000000004</v>
      </c>
      <c r="AE136" s="3">
        <v>-433.46999999999997</v>
      </c>
      <c r="AF136" s="3">
        <v>9330.6699999999983</v>
      </c>
      <c r="AG136" s="3">
        <v>9793.139999999994</v>
      </c>
      <c r="AH136" s="3">
        <v>462.46999999999997</v>
      </c>
      <c r="AI136">
        <v>1620.5999999999997</v>
      </c>
      <c r="AJ136">
        <v>0</v>
      </c>
      <c r="AK136">
        <v>-1620.5999999999997</v>
      </c>
      <c r="AL136">
        <v>7710.07</v>
      </c>
      <c r="AM136">
        <v>9793.139999999994</v>
      </c>
      <c r="AN136">
        <v>2083.0699999999997</v>
      </c>
      <c r="AO136">
        <v>197</v>
      </c>
    </row>
    <row r="137" spans="1:41" x14ac:dyDescent="0.35">
      <c r="A137">
        <v>2024</v>
      </c>
      <c r="B137">
        <v>6</v>
      </c>
      <c r="C137">
        <v>25</v>
      </c>
      <c r="D137" s="1">
        <v>45461</v>
      </c>
      <c r="E137" s="2" t="s">
        <v>44</v>
      </c>
      <c r="F137" s="2" t="s">
        <v>47</v>
      </c>
      <c r="G137" s="2" t="s">
        <v>49</v>
      </c>
      <c r="H137" s="3">
        <v>1829.5</v>
      </c>
      <c r="I137" s="3">
        <v>1829.5</v>
      </c>
      <c r="J137" s="3">
        <v>0</v>
      </c>
      <c r="K137" s="3">
        <v>41.210000000000008</v>
      </c>
      <c r="L137" s="3">
        <v>41.210000000000008</v>
      </c>
      <c r="M137" s="3">
        <v>0</v>
      </c>
      <c r="N137" s="3">
        <v>50.97</v>
      </c>
      <c r="O137" s="3">
        <v>50.97</v>
      </c>
      <c r="P137" s="3">
        <v>0</v>
      </c>
      <c r="Q137" s="3">
        <v>-583</v>
      </c>
      <c r="R137" s="3">
        <v>-576</v>
      </c>
      <c r="S137" s="3">
        <v>7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1338.68</v>
      </c>
      <c r="AA137" s="3">
        <v>1345.68</v>
      </c>
      <c r="AB137" s="3">
        <v>7</v>
      </c>
      <c r="AC137" s="3">
        <v>421.90000000000003</v>
      </c>
      <c r="AD137" s="3">
        <v>120.8</v>
      </c>
      <c r="AE137" s="3">
        <v>-301.10000000000002</v>
      </c>
      <c r="AF137" s="3">
        <v>916.78000000000009</v>
      </c>
      <c r="AG137" s="3">
        <v>1224.8800000000001</v>
      </c>
      <c r="AH137" s="3">
        <v>308.09999999999997</v>
      </c>
      <c r="AI137">
        <v>-50.13</v>
      </c>
      <c r="AJ137">
        <v>0</v>
      </c>
      <c r="AK137">
        <v>50.13</v>
      </c>
      <c r="AL137">
        <v>966.91000000000008</v>
      </c>
      <c r="AM137">
        <v>1224.8800000000001</v>
      </c>
      <c r="AN137">
        <v>257.97000000000003</v>
      </c>
      <c r="AO137">
        <v>20</v>
      </c>
    </row>
    <row r="138" spans="1:41" x14ac:dyDescent="0.35">
      <c r="A138">
        <v>2024</v>
      </c>
      <c r="B138">
        <v>6</v>
      </c>
      <c r="C138">
        <v>25</v>
      </c>
      <c r="D138" s="1">
        <v>45462</v>
      </c>
      <c r="E138" s="2" t="s">
        <v>44</v>
      </c>
      <c r="F138" s="2" t="s">
        <v>47</v>
      </c>
      <c r="G138" s="2" t="s">
        <v>49</v>
      </c>
      <c r="H138" s="3">
        <v>7792.1500000000005</v>
      </c>
      <c r="I138" s="3">
        <v>7792.1500000000005</v>
      </c>
      <c r="J138" s="3">
        <v>0</v>
      </c>
      <c r="K138" s="3">
        <v>211.85</v>
      </c>
      <c r="L138" s="3">
        <v>211.85</v>
      </c>
      <c r="M138" s="3">
        <v>0</v>
      </c>
      <c r="N138" s="3">
        <v>60.96</v>
      </c>
      <c r="O138" s="3">
        <v>60.96</v>
      </c>
      <c r="P138" s="3">
        <v>0</v>
      </c>
      <c r="Q138" s="3">
        <v>-2818.15</v>
      </c>
      <c r="R138" s="3">
        <v>-2738.15</v>
      </c>
      <c r="S138" s="3">
        <v>80</v>
      </c>
      <c r="T138" s="3">
        <v>-15</v>
      </c>
      <c r="U138" s="3">
        <v>-15</v>
      </c>
      <c r="V138" s="3">
        <v>0</v>
      </c>
      <c r="W138" s="3">
        <v>-5</v>
      </c>
      <c r="X138" s="3">
        <v>-5</v>
      </c>
      <c r="Y138" s="3">
        <v>0</v>
      </c>
      <c r="Z138" s="3">
        <v>5226.8100000000004</v>
      </c>
      <c r="AA138" s="3">
        <v>5306.81</v>
      </c>
      <c r="AB138" s="3">
        <v>80</v>
      </c>
      <c r="AC138" s="3">
        <v>1059.4000000000001</v>
      </c>
      <c r="AD138" s="3">
        <v>938.6</v>
      </c>
      <c r="AE138" s="3">
        <v>-120.8</v>
      </c>
      <c r="AF138" s="3">
        <v>4167.41</v>
      </c>
      <c r="AG138" s="3">
        <v>4368.21</v>
      </c>
      <c r="AH138" s="3">
        <v>200.8</v>
      </c>
      <c r="AI138">
        <v>-99.20000000000006</v>
      </c>
      <c r="AJ138">
        <v>0</v>
      </c>
      <c r="AK138">
        <v>99.20000000000006</v>
      </c>
      <c r="AL138">
        <v>4266.6100000000015</v>
      </c>
      <c r="AM138">
        <v>4368.21</v>
      </c>
      <c r="AN138">
        <v>101.59999999999998</v>
      </c>
      <c r="AO138">
        <v>90</v>
      </c>
    </row>
    <row r="139" spans="1:41" x14ac:dyDescent="0.35">
      <c r="A139">
        <v>2024</v>
      </c>
      <c r="B139">
        <v>6</v>
      </c>
      <c r="C139">
        <v>25</v>
      </c>
      <c r="D139" s="1">
        <v>45463</v>
      </c>
      <c r="E139" s="2" t="s">
        <v>44</v>
      </c>
      <c r="F139" s="2" t="s">
        <v>47</v>
      </c>
      <c r="G139" s="2" t="s">
        <v>49</v>
      </c>
      <c r="H139" s="3">
        <v>17508.2</v>
      </c>
      <c r="I139" s="3">
        <v>17508.2</v>
      </c>
      <c r="J139" s="3">
        <v>0</v>
      </c>
      <c r="K139" s="3">
        <v>159.98999999999998</v>
      </c>
      <c r="L139" s="3">
        <v>159.98999999999998</v>
      </c>
      <c r="M139" s="3">
        <v>0</v>
      </c>
      <c r="N139" s="3">
        <v>229.85000000000005</v>
      </c>
      <c r="O139" s="3">
        <v>229.85000000000005</v>
      </c>
      <c r="P139" s="3">
        <v>0</v>
      </c>
      <c r="Q139" s="3">
        <v>-6083.5999999999995</v>
      </c>
      <c r="R139" s="3">
        <v>-6083.5999999999995</v>
      </c>
      <c r="S139" s="3">
        <v>0</v>
      </c>
      <c r="T139" s="3">
        <v>-10</v>
      </c>
      <c r="U139" s="3">
        <v>-10</v>
      </c>
      <c r="V139" s="3">
        <v>0</v>
      </c>
      <c r="W139" s="3">
        <v>-15</v>
      </c>
      <c r="X139" s="3">
        <v>-15</v>
      </c>
      <c r="Y139" s="3">
        <v>0</v>
      </c>
      <c r="Z139" s="3">
        <v>11789.439999999997</v>
      </c>
      <c r="AA139" s="3">
        <v>11789.439999999997</v>
      </c>
      <c r="AB139" s="3">
        <v>0</v>
      </c>
      <c r="AC139" s="3">
        <v>1430.4700000000003</v>
      </c>
      <c r="AD139" s="3">
        <v>474.78</v>
      </c>
      <c r="AE139" s="3">
        <v>-955.68999999999983</v>
      </c>
      <c r="AF139" s="3">
        <v>10358.969999999999</v>
      </c>
      <c r="AG139" s="3">
        <v>11314.659999999998</v>
      </c>
      <c r="AH139" s="3">
        <v>955.68999999999983</v>
      </c>
      <c r="AI139">
        <v>1167.8</v>
      </c>
      <c r="AJ139">
        <v>0</v>
      </c>
      <c r="AK139">
        <v>-1167.8</v>
      </c>
      <c r="AL139">
        <v>9191.1699999999946</v>
      </c>
      <c r="AM139">
        <v>11314.659999999998</v>
      </c>
      <c r="AN139">
        <v>2123.4900000000011</v>
      </c>
      <c r="AO139">
        <v>213</v>
      </c>
    </row>
    <row r="140" spans="1:41" x14ac:dyDescent="0.35">
      <c r="A140">
        <v>2024</v>
      </c>
      <c r="B140">
        <v>6</v>
      </c>
      <c r="C140">
        <v>25</v>
      </c>
      <c r="D140" s="1">
        <v>45464</v>
      </c>
      <c r="E140" s="2" t="s">
        <v>44</v>
      </c>
      <c r="F140" s="2" t="s">
        <v>47</v>
      </c>
      <c r="G140" s="2" t="s">
        <v>49</v>
      </c>
      <c r="H140" s="3">
        <v>15584.399999999998</v>
      </c>
      <c r="I140" s="3">
        <v>15584.399999999998</v>
      </c>
      <c r="J140" s="3">
        <v>0</v>
      </c>
      <c r="K140" s="3">
        <v>324.24999999999994</v>
      </c>
      <c r="L140" s="3">
        <v>324.24999999999994</v>
      </c>
      <c r="M140" s="3">
        <v>0</v>
      </c>
      <c r="N140" s="3">
        <v>280.8300000000001</v>
      </c>
      <c r="O140" s="3">
        <v>280.8300000000001</v>
      </c>
      <c r="P140" s="3">
        <v>0</v>
      </c>
      <c r="Q140" s="3">
        <v>-4737.8999999999996</v>
      </c>
      <c r="R140" s="3">
        <v>-4737.8999999999996</v>
      </c>
      <c r="S140" s="3">
        <v>0</v>
      </c>
      <c r="T140" s="3">
        <v>-22.6</v>
      </c>
      <c r="U140" s="3">
        <v>-22.6</v>
      </c>
      <c r="V140" s="3">
        <v>0</v>
      </c>
      <c r="W140" s="3">
        <v>-10</v>
      </c>
      <c r="X140" s="3">
        <v>-10</v>
      </c>
      <c r="Y140" s="3">
        <v>0</v>
      </c>
      <c r="Z140" s="3">
        <v>11418.980000000007</v>
      </c>
      <c r="AA140" s="3">
        <v>11418.980000000007</v>
      </c>
      <c r="AB140" s="3">
        <v>0</v>
      </c>
      <c r="AC140" s="3">
        <v>896.41999999999962</v>
      </c>
      <c r="AD140" s="3">
        <v>413.0100000000001</v>
      </c>
      <c r="AE140" s="3">
        <v>-483.41</v>
      </c>
      <c r="AF140" s="3">
        <v>10522.560000000012</v>
      </c>
      <c r="AG140" s="3">
        <v>11005.97000000001</v>
      </c>
      <c r="AH140" s="3">
        <v>483.41</v>
      </c>
      <c r="AI140">
        <v>1930.1599999999985</v>
      </c>
      <c r="AJ140">
        <v>9.23</v>
      </c>
      <c r="AK140">
        <v>-1920.9299999999985</v>
      </c>
      <c r="AL140">
        <v>8592.4000000000087</v>
      </c>
      <c r="AM140">
        <v>10996.740000000009</v>
      </c>
      <c r="AN140">
        <v>2404.3400000000006</v>
      </c>
      <c r="AO140">
        <v>210</v>
      </c>
    </row>
    <row r="141" spans="1:41" x14ac:dyDescent="0.35">
      <c r="A141">
        <v>2024</v>
      </c>
      <c r="B141">
        <v>6</v>
      </c>
      <c r="C141">
        <v>25</v>
      </c>
      <c r="D141" s="1">
        <v>45465</v>
      </c>
      <c r="E141" s="2" t="s">
        <v>44</v>
      </c>
      <c r="F141" s="2" t="s">
        <v>47</v>
      </c>
      <c r="G141" s="2" t="s">
        <v>49</v>
      </c>
      <c r="H141" s="3">
        <v>10629</v>
      </c>
      <c r="I141" s="3">
        <v>10629</v>
      </c>
      <c r="J141" s="3">
        <v>0</v>
      </c>
      <c r="K141" s="3">
        <v>195.99999999999997</v>
      </c>
      <c r="L141" s="3">
        <v>195.99999999999997</v>
      </c>
      <c r="M141" s="3">
        <v>0</v>
      </c>
      <c r="N141" s="3">
        <v>149.9</v>
      </c>
      <c r="O141" s="3">
        <v>149.9</v>
      </c>
      <c r="P141" s="3">
        <v>0</v>
      </c>
      <c r="Q141" s="3">
        <v>-3211.7</v>
      </c>
      <c r="R141" s="3">
        <v>-3211.7</v>
      </c>
      <c r="S141" s="3">
        <v>0</v>
      </c>
      <c r="T141" s="3">
        <v>-19</v>
      </c>
      <c r="U141" s="3">
        <v>-19</v>
      </c>
      <c r="V141" s="3">
        <v>0</v>
      </c>
      <c r="W141" s="3">
        <v>0</v>
      </c>
      <c r="X141" s="3">
        <v>0</v>
      </c>
      <c r="Y141" s="3">
        <v>0</v>
      </c>
      <c r="Z141" s="3">
        <v>7744.2000000000007</v>
      </c>
      <c r="AA141" s="3">
        <v>7744.2000000000007</v>
      </c>
      <c r="AB141" s="3">
        <v>0</v>
      </c>
      <c r="AC141" s="3">
        <v>873.85999999999979</v>
      </c>
      <c r="AD141" s="3">
        <v>425.85</v>
      </c>
      <c r="AE141" s="3">
        <v>-448.01000000000005</v>
      </c>
      <c r="AF141" s="3">
        <v>6870.34</v>
      </c>
      <c r="AG141" s="3">
        <v>7318.3500000000013</v>
      </c>
      <c r="AH141" s="3">
        <v>448.01</v>
      </c>
      <c r="AI141">
        <v>984.02</v>
      </c>
      <c r="AJ141">
        <v>18.02</v>
      </c>
      <c r="AK141">
        <v>-966</v>
      </c>
      <c r="AL141">
        <v>5886.3200000000024</v>
      </c>
      <c r="AM141">
        <v>7300.3300000000008</v>
      </c>
      <c r="AN141">
        <v>1414.0100000000007</v>
      </c>
      <c r="AO141">
        <v>126</v>
      </c>
    </row>
    <row r="142" spans="1:41" x14ac:dyDescent="0.35">
      <c r="A142">
        <v>2024</v>
      </c>
      <c r="B142">
        <v>6</v>
      </c>
      <c r="C142">
        <v>25</v>
      </c>
      <c r="D142" s="1">
        <v>45459</v>
      </c>
      <c r="E142" s="2" t="s">
        <v>44</v>
      </c>
      <c r="F142" s="2" t="s">
        <v>47</v>
      </c>
      <c r="G142" s="2" t="s">
        <v>50</v>
      </c>
      <c r="H142" s="3">
        <v>44428.05</v>
      </c>
      <c r="I142" s="3">
        <v>44428.05</v>
      </c>
      <c r="J142" s="3">
        <v>0</v>
      </c>
      <c r="K142" s="3">
        <v>500.51999999999856</v>
      </c>
      <c r="L142" s="3">
        <v>500.51999999999856</v>
      </c>
      <c r="M142" s="3">
        <v>0</v>
      </c>
      <c r="N142" s="3">
        <v>1638.9700000000007</v>
      </c>
      <c r="O142" s="3">
        <v>1638.9700000000007</v>
      </c>
      <c r="P142" s="3">
        <v>0</v>
      </c>
      <c r="Q142" s="3">
        <v>-13711.23</v>
      </c>
      <c r="R142" s="3">
        <v>-13003.23</v>
      </c>
      <c r="S142" s="3">
        <v>708</v>
      </c>
      <c r="T142" s="3">
        <v>-0.70000000000000007</v>
      </c>
      <c r="U142" s="3">
        <v>-0.70000000000000007</v>
      </c>
      <c r="V142" s="3">
        <v>0</v>
      </c>
      <c r="W142" s="3">
        <v>-10</v>
      </c>
      <c r="X142" s="3">
        <v>-10</v>
      </c>
      <c r="Y142" s="3">
        <v>0</v>
      </c>
      <c r="Z142" s="3">
        <v>32845.61</v>
      </c>
      <c r="AA142" s="3">
        <v>33553.61</v>
      </c>
      <c r="AB142" s="3">
        <v>708</v>
      </c>
      <c r="AC142" s="3">
        <v>8993.7000000000025</v>
      </c>
      <c r="AD142" s="3">
        <v>5049.4700000000048</v>
      </c>
      <c r="AE142" s="3">
        <v>-3944.2300000000032</v>
      </c>
      <c r="AF142" s="3">
        <v>23851.910000000018</v>
      </c>
      <c r="AG142" s="3">
        <v>28504.14</v>
      </c>
      <c r="AH142" s="3">
        <v>4652.2300000000041</v>
      </c>
      <c r="AI142">
        <v>-2530.6300000000015</v>
      </c>
      <c r="AJ142">
        <v>0</v>
      </c>
      <c r="AK142">
        <v>2530.6300000000015</v>
      </c>
      <c r="AL142">
        <v>26382.540000000026</v>
      </c>
      <c r="AM142">
        <v>28504.14</v>
      </c>
      <c r="AN142">
        <v>2121.6000000000013</v>
      </c>
      <c r="AO142">
        <v>498</v>
      </c>
    </row>
    <row r="143" spans="1:41" x14ac:dyDescent="0.35">
      <c r="A143">
        <v>2024</v>
      </c>
      <c r="B143">
        <v>6</v>
      </c>
      <c r="C143">
        <v>25</v>
      </c>
      <c r="D143" s="1">
        <v>45460</v>
      </c>
      <c r="E143" s="2" t="s">
        <v>44</v>
      </c>
      <c r="F143" s="2" t="s">
        <v>47</v>
      </c>
      <c r="G143" s="2" t="s">
        <v>50</v>
      </c>
      <c r="H143" s="3">
        <v>39667</v>
      </c>
      <c r="I143" s="3">
        <v>39667</v>
      </c>
      <c r="J143" s="3">
        <v>0</v>
      </c>
      <c r="K143" s="3">
        <v>459.09999999999968</v>
      </c>
      <c r="L143" s="3">
        <v>459.09999999999968</v>
      </c>
      <c r="M143" s="3">
        <v>0</v>
      </c>
      <c r="N143" s="3">
        <v>1536.0400000000006</v>
      </c>
      <c r="O143" s="3">
        <v>1536.0400000000006</v>
      </c>
      <c r="P143" s="3">
        <v>0</v>
      </c>
      <c r="Q143" s="3">
        <v>-12102.900000000001</v>
      </c>
      <c r="R143" s="3">
        <v>-11566.150000000001</v>
      </c>
      <c r="S143" s="3">
        <v>536.75</v>
      </c>
      <c r="T143" s="3">
        <v>-5.7</v>
      </c>
      <c r="U143" s="3">
        <v>-5.7</v>
      </c>
      <c r="V143" s="3">
        <v>0</v>
      </c>
      <c r="W143" s="3">
        <v>-56.980000000000004</v>
      </c>
      <c r="X143" s="3">
        <v>-56.980000000000004</v>
      </c>
      <c r="Y143" s="3">
        <v>0</v>
      </c>
      <c r="Z143" s="3">
        <v>29496.560000000045</v>
      </c>
      <c r="AA143" s="3">
        <v>30033.310000000049</v>
      </c>
      <c r="AB143" s="3">
        <v>536.75</v>
      </c>
      <c r="AC143" s="3">
        <v>8232.7700000000114</v>
      </c>
      <c r="AD143" s="3">
        <v>3318.2700000000027</v>
      </c>
      <c r="AE143" s="3">
        <v>-4914.5000000000045</v>
      </c>
      <c r="AF143" s="3">
        <v>21263.790000000034</v>
      </c>
      <c r="AG143" s="3">
        <v>26715.040000000052</v>
      </c>
      <c r="AH143" s="3">
        <v>5451.2500000000055</v>
      </c>
      <c r="AI143">
        <v>-1761.9899999999998</v>
      </c>
      <c r="AJ143">
        <v>0</v>
      </c>
      <c r="AK143">
        <v>1761.9899999999998</v>
      </c>
      <c r="AL143">
        <v>23025.780000000017</v>
      </c>
      <c r="AM143">
        <v>26715.040000000052</v>
      </c>
      <c r="AN143">
        <v>3689.2600000000048</v>
      </c>
      <c r="AO143">
        <v>447</v>
      </c>
    </row>
    <row r="144" spans="1:41" x14ac:dyDescent="0.35">
      <c r="A144">
        <v>2024</v>
      </c>
      <c r="B144">
        <v>6</v>
      </c>
      <c r="C144">
        <v>25</v>
      </c>
      <c r="D144" s="1">
        <v>45461</v>
      </c>
      <c r="E144" s="2" t="s">
        <v>44</v>
      </c>
      <c r="F144" s="2" t="s">
        <v>47</v>
      </c>
      <c r="G144" s="2" t="s">
        <v>50</v>
      </c>
      <c r="H144" s="3">
        <v>28728</v>
      </c>
      <c r="I144" s="3">
        <v>28728</v>
      </c>
      <c r="J144" s="3">
        <v>0</v>
      </c>
      <c r="K144" s="3">
        <v>336.34999999999957</v>
      </c>
      <c r="L144" s="3">
        <v>336.34999999999957</v>
      </c>
      <c r="M144" s="3">
        <v>0</v>
      </c>
      <c r="N144" s="3">
        <v>844.48000000000036</v>
      </c>
      <c r="O144" s="3">
        <v>844.48000000000036</v>
      </c>
      <c r="P144" s="3">
        <v>0</v>
      </c>
      <c r="Q144" s="3">
        <v>-8503.1</v>
      </c>
      <c r="R144" s="3">
        <v>-8481.1</v>
      </c>
      <c r="S144" s="3">
        <v>22</v>
      </c>
      <c r="T144" s="3">
        <v>-5</v>
      </c>
      <c r="U144" s="3">
        <v>-5</v>
      </c>
      <c r="V144" s="3">
        <v>0</v>
      </c>
      <c r="W144" s="3">
        <v>-56.980000000000004</v>
      </c>
      <c r="X144" s="3">
        <v>-56.980000000000004</v>
      </c>
      <c r="Y144" s="3">
        <v>0</v>
      </c>
      <c r="Z144" s="3">
        <v>21343.75</v>
      </c>
      <c r="AA144" s="3">
        <v>21365.75</v>
      </c>
      <c r="AB144" s="3">
        <v>22</v>
      </c>
      <c r="AC144" s="3">
        <v>6151.5100000000075</v>
      </c>
      <c r="AD144" s="3">
        <v>3013.510000000002</v>
      </c>
      <c r="AE144" s="3">
        <v>-3138.0000000000027</v>
      </c>
      <c r="AF144" s="3">
        <v>15192.240000000005</v>
      </c>
      <c r="AG144" s="3">
        <v>18352.240000000005</v>
      </c>
      <c r="AH144" s="3">
        <v>3160.0000000000018</v>
      </c>
      <c r="AI144">
        <v>-1554.1800000000003</v>
      </c>
      <c r="AJ144">
        <v>0</v>
      </c>
      <c r="AK144">
        <v>1554.1800000000003</v>
      </c>
      <c r="AL144">
        <v>16746.420000000009</v>
      </c>
      <c r="AM144">
        <v>18352.240000000005</v>
      </c>
      <c r="AN144">
        <v>1605.8199999999997</v>
      </c>
      <c r="AO144">
        <v>328</v>
      </c>
    </row>
    <row r="145" spans="1:41" x14ac:dyDescent="0.35">
      <c r="A145">
        <v>2024</v>
      </c>
      <c r="B145">
        <v>6</v>
      </c>
      <c r="C145">
        <v>25</v>
      </c>
      <c r="D145" s="1">
        <v>45462</v>
      </c>
      <c r="E145" s="2" t="s">
        <v>44</v>
      </c>
      <c r="F145" s="2" t="s">
        <v>47</v>
      </c>
      <c r="G145" s="2" t="s">
        <v>50</v>
      </c>
      <c r="H145" s="3">
        <v>36013</v>
      </c>
      <c r="I145" s="3">
        <v>36013</v>
      </c>
      <c r="J145" s="3">
        <v>0</v>
      </c>
      <c r="K145" s="3">
        <v>613.02999999999975</v>
      </c>
      <c r="L145" s="3">
        <v>613.02999999999975</v>
      </c>
      <c r="M145" s="3">
        <v>0</v>
      </c>
      <c r="N145" s="3">
        <v>1053.3800000000003</v>
      </c>
      <c r="O145" s="3">
        <v>1053.3800000000003</v>
      </c>
      <c r="P145" s="3">
        <v>0</v>
      </c>
      <c r="Q145" s="3">
        <v>-11082.07</v>
      </c>
      <c r="R145" s="3">
        <v>-10378.07</v>
      </c>
      <c r="S145" s="3">
        <v>704</v>
      </c>
      <c r="T145" s="3">
        <v>-45</v>
      </c>
      <c r="U145" s="3">
        <v>-45</v>
      </c>
      <c r="V145" s="3">
        <v>0</v>
      </c>
      <c r="W145" s="3">
        <v>-30</v>
      </c>
      <c r="X145" s="3">
        <v>-30</v>
      </c>
      <c r="Y145" s="3">
        <v>0</v>
      </c>
      <c r="Z145" s="3">
        <v>26522.340000000033</v>
      </c>
      <c r="AA145" s="3">
        <v>27226.340000000037</v>
      </c>
      <c r="AB145" s="3">
        <v>704</v>
      </c>
      <c r="AC145" s="3">
        <v>7308.3700000000081</v>
      </c>
      <c r="AD145" s="3">
        <v>4294.8600000000033</v>
      </c>
      <c r="AE145" s="3">
        <v>-3013.5100000000016</v>
      </c>
      <c r="AF145" s="3">
        <v>19213.970000000027</v>
      </c>
      <c r="AG145" s="3">
        <v>22931.480000000029</v>
      </c>
      <c r="AH145" s="3">
        <v>3717.5100000000025</v>
      </c>
      <c r="AI145">
        <v>-2168.8399999999983</v>
      </c>
      <c r="AJ145">
        <v>0</v>
      </c>
      <c r="AK145">
        <v>2168.8399999999983</v>
      </c>
      <c r="AL145">
        <v>21382.81000000003</v>
      </c>
      <c r="AM145">
        <v>22931.480000000029</v>
      </c>
      <c r="AN145">
        <v>1548.6700000000005</v>
      </c>
      <c r="AO145">
        <v>409</v>
      </c>
    </row>
    <row r="146" spans="1:41" x14ac:dyDescent="0.35">
      <c r="A146">
        <v>2024</v>
      </c>
      <c r="B146">
        <v>6</v>
      </c>
      <c r="C146">
        <v>25</v>
      </c>
      <c r="D146" s="1">
        <v>45463</v>
      </c>
      <c r="E146" s="2" t="s">
        <v>44</v>
      </c>
      <c r="F146" s="2" t="s">
        <v>47</v>
      </c>
      <c r="G146" s="2" t="s">
        <v>50</v>
      </c>
      <c r="H146" s="3">
        <v>37833.050000000003</v>
      </c>
      <c r="I146" s="3">
        <v>37833.050000000003</v>
      </c>
      <c r="J146" s="3">
        <v>0</v>
      </c>
      <c r="K146" s="3">
        <v>645.32000000000016</v>
      </c>
      <c r="L146" s="3">
        <v>645.32000000000016</v>
      </c>
      <c r="M146" s="3">
        <v>0</v>
      </c>
      <c r="N146" s="3">
        <v>1280.2000000000005</v>
      </c>
      <c r="O146" s="3">
        <v>1264.2100000000005</v>
      </c>
      <c r="P146" s="3">
        <v>-15.99</v>
      </c>
      <c r="Q146" s="3">
        <v>-10904.900000000001</v>
      </c>
      <c r="R146" s="3">
        <v>-10541.900000000001</v>
      </c>
      <c r="S146" s="3">
        <v>363</v>
      </c>
      <c r="T146" s="3">
        <v>-35</v>
      </c>
      <c r="U146" s="3">
        <v>-35</v>
      </c>
      <c r="V146" s="3">
        <v>0</v>
      </c>
      <c r="W146" s="3">
        <v>-30.990000000000002</v>
      </c>
      <c r="X146" s="3">
        <v>-30.990000000000002</v>
      </c>
      <c r="Y146" s="3">
        <v>0</v>
      </c>
      <c r="Z146" s="3">
        <v>28787.680000000026</v>
      </c>
      <c r="AA146" s="3">
        <v>29134.690000000028</v>
      </c>
      <c r="AB146" s="3">
        <v>347.01</v>
      </c>
      <c r="AC146" s="3">
        <v>8643.29000000001</v>
      </c>
      <c r="AD146" s="3">
        <v>4526.9400000000032</v>
      </c>
      <c r="AE146" s="3">
        <v>-4116.350000000004</v>
      </c>
      <c r="AF146" s="3">
        <v>20144.390000000021</v>
      </c>
      <c r="AG146" s="3">
        <v>24607.750000000018</v>
      </c>
      <c r="AH146" s="3">
        <v>4463.3600000000042</v>
      </c>
      <c r="AI146">
        <v>-2199.6299999999992</v>
      </c>
      <c r="AJ146">
        <v>0</v>
      </c>
      <c r="AK146">
        <v>2199.6299999999992</v>
      </c>
      <c r="AL146">
        <v>22344.020000000026</v>
      </c>
      <c r="AM146">
        <v>24607.750000000018</v>
      </c>
      <c r="AN146">
        <v>2263.7300000000005</v>
      </c>
      <c r="AO146">
        <v>433</v>
      </c>
    </row>
    <row r="147" spans="1:41" x14ac:dyDescent="0.35">
      <c r="A147">
        <v>2024</v>
      </c>
      <c r="B147">
        <v>6</v>
      </c>
      <c r="C147">
        <v>25</v>
      </c>
      <c r="D147" s="1">
        <v>45464</v>
      </c>
      <c r="E147" s="2" t="s">
        <v>44</v>
      </c>
      <c r="F147" s="2" t="s">
        <v>47</v>
      </c>
      <c r="G147" s="2" t="s">
        <v>50</v>
      </c>
      <c r="H147" s="3">
        <v>37886.1</v>
      </c>
      <c r="I147" s="3">
        <v>37886.1</v>
      </c>
      <c r="J147" s="3">
        <v>0</v>
      </c>
      <c r="K147" s="3">
        <v>584.8399999999998</v>
      </c>
      <c r="L147" s="3">
        <v>584.8399999999998</v>
      </c>
      <c r="M147" s="3">
        <v>0</v>
      </c>
      <c r="N147" s="3">
        <v>1593.9800000000007</v>
      </c>
      <c r="O147" s="3">
        <v>1577.9900000000007</v>
      </c>
      <c r="P147" s="3">
        <v>-15.99</v>
      </c>
      <c r="Q147" s="3">
        <v>-10955.56</v>
      </c>
      <c r="R147" s="3">
        <v>-10670.56</v>
      </c>
      <c r="S147" s="3">
        <v>285</v>
      </c>
      <c r="T147" s="3">
        <v>-20</v>
      </c>
      <c r="U147" s="3">
        <v>-20</v>
      </c>
      <c r="V147" s="3">
        <v>0</v>
      </c>
      <c r="W147" s="3">
        <v>-59.980000000000004</v>
      </c>
      <c r="X147" s="3">
        <v>-59.980000000000004</v>
      </c>
      <c r="Y147" s="3">
        <v>0</v>
      </c>
      <c r="Z147" s="3">
        <v>29029.380000000019</v>
      </c>
      <c r="AA147" s="3">
        <v>29298.390000000021</v>
      </c>
      <c r="AB147" s="3">
        <v>269.01</v>
      </c>
      <c r="AC147" s="3">
        <v>8009.570000000007</v>
      </c>
      <c r="AD147" s="3">
        <v>3595.2700000000027</v>
      </c>
      <c r="AE147" s="3">
        <v>-4414.3000000000038</v>
      </c>
      <c r="AF147" s="3">
        <v>21019.810000000016</v>
      </c>
      <c r="AG147" s="3">
        <v>25703.120000000021</v>
      </c>
      <c r="AH147" s="3">
        <v>4683.310000000004</v>
      </c>
      <c r="AI147">
        <v>-1746.3899999999992</v>
      </c>
      <c r="AJ147">
        <v>0</v>
      </c>
      <c r="AK147">
        <v>1746.3899999999992</v>
      </c>
      <c r="AL147">
        <v>22766.2</v>
      </c>
      <c r="AM147">
        <v>25703.120000000021</v>
      </c>
      <c r="AN147">
        <v>2936.9200000000028</v>
      </c>
      <c r="AO147">
        <v>440</v>
      </c>
    </row>
    <row r="148" spans="1:41" x14ac:dyDescent="0.35">
      <c r="A148">
        <v>2024</v>
      </c>
      <c r="B148">
        <v>6</v>
      </c>
      <c r="C148">
        <v>25</v>
      </c>
      <c r="D148" s="1">
        <v>45465</v>
      </c>
      <c r="E148" s="2" t="s">
        <v>44</v>
      </c>
      <c r="F148" s="2" t="s">
        <v>47</v>
      </c>
      <c r="G148" s="2" t="s">
        <v>50</v>
      </c>
      <c r="H148" s="3">
        <v>39442</v>
      </c>
      <c r="I148" s="3">
        <v>39442</v>
      </c>
      <c r="J148" s="3">
        <v>0</v>
      </c>
      <c r="K148" s="3">
        <v>601.72000000000071</v>
      </c>
      <c r="L148" s="3">
        <v>601.72000000000071</v>
      </c>
      <c r="M148" s="3">
        <v>0</v>
      </c>
      <c r="N148" s="3">
        <v>1459.1100000000006</v>
      </c>
      <c r="O148" s="3">
        <v>1459.1100000000006</v>
      </c>
      <c r="P148" s="3">
        <v>0</v>
      </c>
      <c r="Q148" s="3">
        <v>-12469.14</v>
      </c>
      <c r="R148" s="3">
        <v>-11960.94</v>
      </c>
      <c r="S148" s="3">
        <v>508.19999999999993</v>
      </c>
      <c r="T148" s="3">
        <v>-45</v>
      </c>
      <c r="U148" s="3">
        <v>-45</v>
      </c>
      <c r="V148" s="3">
        <v>0</v>
      </c>
      <c r="W148" s="3">
        <v>-45.99</v>
      </c>
      <c r="X148" s="3">
        <v>-45.99</v>
      </c>
      <c r="Y148" s="3">
        <v>0</v>
      </c>
      <c r="Z148" s="3">
        <v>28942.699999999983</v>
      </c>
      <c r="AA148" s="3">
        <v>29450.899999999987</v>
      </c>
      <c r="AB148" s="3">
        <v>508.19999999999993</v>
      </c>
      <c r="AC148" s="3">
        <v>8006.5500000000084</v>
      </c>
      <c r="AD148" s="3">
        <v>4411.2800000000043</v>
      </c>
      <c r="AE148" s="3">
        <v>-3595.2700000000032</v>
      </c>
      <c r="AF148" s="3">
        <v>20936.150000000016</v>
      </c>
      <c r="AG148" s="3">
        <v>25039.620000000017</v>
      </c>
      <c r="AH148" s="3">
        <v>4103.470000000003</v>
      </c>
      <c r="AI148">
        <v>-2260.3300000000004</v>
      </c>
      <c r="AJ148">
        <v>0</v>
      </c>
      <c r="AK148">
        <v>2260.3300000000004</v>
      </c>
      <c r="AL148">
        <v>23196.48000000001</v>
      </c>
      <c r="AM148">
        <v>25039.620000000017</v>
      </c>
      <c r="AN148">
        <v>1843.1400000000019</v>
      </c>
      <c r="AO148">
        <v>447</v>
      </c>
    </row>
    <row r="149" spans="1:41" x14ac:dyDescent="0.35">
      <c r="A149">
        <v>2024</v>
      </c>
      <c r="B149">
        <v>6</v>
      </c>
      <c r="C149">
        <v>25</v>
      </c>
      <c r="D149" s="1">
        <v>45459</v>
      </c>
      <c r="E149" s="2" t="s">
        <v>44</v>
      </c>
      <c r="F149" s="2" t="s">
        <v>47</v>
      </c>
      <c r="G149" s="2" t="s">
        <v>51</v>
      </c>
      <c r="H149" s="3">
        <v>4401.8500000000004</v>
      </c>
      <c r="I149" s="3">
        <v>4401.8500000000004</v>
      </c>
      <c r="J149" s="3">
        <v>0</v>
      </c>
      <c r="K149" s="3">
        <v>12.5</v>
      </c>
      <c r="L149" s="3">
        <v>12.5</v>
      </c>
      <c r="M149" s="3">
        <v>0</v>
      </c>
      <c r="N149" s="3">
        <v>18.990000000000002</v>
      </c>
      <c r="O149" s="3">
        <v>18.990000000000002</v>
      </c>
      <c r="P149" s="3">
        <v>0</v>
      </c>
      <c r="Q149" s="3">
        <v>-1025.0499999999995</v>
      </c>
      <c r="R149" s="3">
        <v>-1025.0499999999995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3408.29</v>
      </c>
      <c r="AA149" s="3">
        <v>3408.29</v>
      </c>
      <c r="AB149" s="3">
        <v>0</v>
      </c>
      <c r="AC149" s="3">
        <v>82.25</v>
      </c>
      <c r="AD149" s="3">
        <v>47.25</v>
      </c>
      <c r="AE149" s="3">
        <v>-35</v>
      </c>
      <c r="AF149" s="3">
        <v>3326.0400000000004</v>
      </c>
      <c r="AG149" s="3">
        <v>3361.0400000000004</v>
      </c>
      <c r="AH149" s="3">
        <v>35</v>
      </c>
      <c r="AI149">
        <v>804.4899999999999</v>
      </c>
      <c r="AJ149">
        <v>0</v>
      </c>
      <c r="AK149">
        <v>-804.4899999999999</v>
      </c>
      <c r="AL149">
        <v>2521.5499999999997</v>
      </c>
      <c r="AM149">
        <v>3361.0400000000004</v>
      </c>
      <c r="AN149">
        <v>839.4899999999999</v>
      </c>
      <c r="AO149">
        <v>77</v>
      </c>
    </row>
    <row r="150" spans="1:41" x14ac:dyDescent="0.35">
      <c r="A150">
        <v>2024</v>
      </c>
      <c r="B150">
        <v>6</v>
      </c>
      <c r="C150">
        <v>25</v>
      </c>
      <c r="D150" s="1">
        <v>45460</v>
      </c>
      <c r="E150" s="2" t="s">
        <v>44</v>
      </c>
      <c r="F150" s="2" t="s">
        <v>47</v>
      </c>
      <c r="G150" s="2" t="s">
        <v>51</v>
      </c>
      <c r="H150" s="3">
        <v>4477.75</v>
      </c>
      <c r="I150" s="3">
        <v>4477.75</v>
      </c>
      <c r="J150" s="3">
        <v>0</v>
      </c>
      <c r="K150" s="3">
        <v>37.5</v>
      </c>
      <c r="L150" s="3">
        <v>37.5</v>
      </c>
      <c r="M150" s="3">
        <v>0</v>
      </c>
      <c r="N150" s="3">
        <v>18.990000000000002</v>
      </c>
      <c r="O150" s="3">
        <v>18.990000000000002</v>
      </c>
      <c r="P150" s="3">
        <v>0</v>
      </c>
      <c r="Q150" s="3">
        <v>-1167.55</v>
      </c>
      <c r="R150" s="3">
        <v>-1167.55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3366.6899999999996</v>
      </c>
      <c r="AA150" s="3">
        <v>3366.6899999999996</v>
      </c>
      <c r="AB150" s="3">
        <v>0</v>
      </c>
      <c r="AC150" s="3">
        <v>47.25</v>
      </c>
      <c r="AD150" s="3"/>
      <c r="AE150" s="3">
        <v>-47.25</v>
      </c>
      <c r="AF150" s="3">
        <v>3319.4399999999996</v>
      </c>
      <c r="AG150" s="3">
        <v>3366.6899999999996</v>
      </c>
      <c r="AH150" s="3">
        <v>47.25</v>
      </c>
      <c r="AI150">
        <v>1051.329999999999</v>
      </c>
      <c r="AJ150">
        <v>0</v>
      </c>
      <c r="AK150">
        <v>-1051.329999999999</v>
      </c>
      <c r="AL150">
        <v>2268.1099999999997</v>
      </c>
      <c r="AM150">
        <v>3366.6899999999996</v>
      </c>
      <c r="AN150">
        <v>1098.579999999999</v>
      </c>
      <c r="AO150">
        <v>86</v>
      </c>
    </row>
    <row r="151" spans="1:41" x14ac:dyDescent="0.35">
      <c r="A151">
        <v>2024</v>
      </c>
      <c r="B151">
        <v>6</v>
      </c>
      <c r="C151">
        <v>25</v>
      </c>
      <c r="D151" s="1">
        <v>45461</v>
      </c>
      <c r="E151" s="2" t="s">
        <v>44</v>
      </c>
      <c r="F151" s="2" t="s">
        <v>47</v>
      </c>
      <c r="G151" s="2" t="s">
        <v>51</v>
      </c>
      <c r="H151" s="3">
        <v>249</v>
      </c>
      <c r="I151" s="3">
        <v>249</v>
      </c>
      <c r="J151" s="3">
        <v>0</v>
      </c>
      <c r="K151" s="3">
        <v>0.95000000000000007</v>
      </c>
      <c r="L151" s="3">
        <v>0.95000000000000007</v>
      </c>
      <c r="M151" s="3">
        <v>0</v>
      </c>
      <c r="N151" s="3">
        <v>8.99</v>
      </c>
      <c r="O151" s="3">
        <v>8.99</v>
      </c>
      <c r="P151" s="3">
        <v>0</v>
      </c>
      <c r="Q151" s="3">
        <v>-40.5</v>
      </c>
      <c r="R151" s="3">
        <v>-40.5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218.44</v>
      </c>
      <c r="AA151" s="3">
        <v>218.44</v>
      </c>
      <c r="AB151" s="3">
        <v>0</v>
      </c>
      <c r="AC151" s="3">
        <v>71.38</v>
      </c>
      <c r="AD151" s="3">
        <v>71.38</v>
      </c>
      <c r="AE151" s="3">
        <v>0</v>
      </c>
      <c r="AF151" s="3">
        <v>147.06</v>
      </c>
      <c r="AG151" s="3">
        <v>147.06</v>
      </c>
      <c r="AH151" s="3">
        <v>0</v>
      </c>
      <c r="AI151">
        <v>-32.21</v>
      </c>
      <c r="AJ151">
        <v>0</v>
      </c>
      <c r="AK151">
        <v>32.21</v>
      </c>
      <c r="AL151">
        <v>179.27</v>
      </c>
      <c r="AM151">
        <v>147.06</v>
      </c>
      <c r="AN151">
        <v>-32.210000000000008</v>
      </c>
      <c r="AO151">
        <v>4</v>
      </c>
    </row>
    <row r="152" spans="1:41" x14ac:dyDescent="0.35">
      <c r="A152">
        <v>2024</v>
      </c>
      <c r="B152">
        <v>6</v>
      </c>
      <c r="C152">
        <v>25</v>
      </c>
      <c r="D152" s="1">
        <v>45462</v>
      </c>
      <c r="E152" s="2" t="s">
        <v>44</v>
      </c>
      <c r="F152" s="2" t="s">
        <v>47</v>
      </c>
      <c r="G152" s="2" t="s">
        <v>51</v>
      </c>
      <c r="H152" s="3">
        <v>4019.5</v>
      </c>
      <c r="I152" s="3">
        <v>4019.5</v>
      </c>
      <c r="J152" s="3">
        <v>0</v>
      </c>
      <c r="K152" s="3">
        <v>30.95</v>
      </c>
      <c r="L152" s="3">
        <v>30.95</v>
      </c>
      <c r="M152" s="3">
        <v>0</v>
      </c>
      <c r="N152" s="3">
        <v>8.99</v>
      </c>
      <c r="O152" s="3">
        <v>8.99</v>
      </c>
      <c r="P152" s="3">
        <v>0</v>
      </c>
      <c r="Q152" s="3">
        <v>-1635.1999999999989</v>
      </c>
      <c r="R152" s="3">
        <v>-1635.1999999999989</v>
      </c>
      <c r="S152" s="3">
        <v>0</v>
      </c>
      <c r="T152" s="3">
        <v>-12</v>
      </c>
      <c r="U152" s="3">
        <v>-12</v>
      </c>
      <c r="V152" s="3">
        <v>0</v>
      </c>
      <c r="W152" s="3">
        <v>0</v>
      </c>
      <c r="X152" s="3">
        <v>0</v>
      </c>
      <c r="Y152" s="3">
        <v>0</v>
      </c>
      <c r="Z152" s="3">
        <v>2412.2399999999984</v>
      </c>
      <c r="AA152" s="3">
        <v>2412.2399999999984</v>
      </c>
      <c r="AB152" s="3">
        <v>0</v>
      </c>
      <c r="AC152" s="3">
        <v>71.38</v>
      </c>
      <c r="AD152" s="3"/>
      <c r="AE152" s="3">
        <v>-71.38</v>
      </c>
      <c r="AF152" s="3">
        <v>2340.8599999999992</v>
      </c>
      <c r="AG152" s="3">
        <v>2412.2399999999984</v>
      </c>
      <c r="AH152" s="3">
        <v>71.38</v>
      </c>
      <c r="AI152">
        <v>798.70999999999958</v>
      </c>
      <c r="AJ152">
        <v>0</v>
      </c>
      <c r="AK152">
        <v>-798.70999999999958</v>
      </c>
      <c r="AL152">
        <v>1542.1499999999985</v>
      </c>
      <c r="AM152">
        <v>2412.2399999999984</v>
      </c>
      <c r="AN152">
        <v>870.08999999999958</v>
      </c>
      <c r="AO152">
        <v>62</v>
      </c>
    </row>
    <row r="153" spans="1:41" x14ac:dyDescent="0.35">
      <c r="A153">
        <v>2024</v>
      </c>
      <c r="B153">
        <v>6</v>
      </c>
      <c r="C153">
        <v>25</v>
      </c>
      <c r="D153" s="1">
        <v>45463</v>
      </c>
      <c r="E153" s="2" t="s">
        <v>44</v>
      </c>
      <c r="F153" s="2" t="s">
        <v>47</v>
      </c>
      <c r="G153" s="2" t="s">
        <v>51</v>
      </c>
      <c r="H153" s="3">
        <v>10887.35</v>
      </c>
      <c r="I153" s="3">
        <v>10887.35</v>
      </c>
      <c r="J153" s="3">
        <v>0</v>
      </c>
      <c r="K153" s="3">
        <v>71.400000000000006</v>
      </c>
      <c r="L153" s="3">
        <v>71.400000000000006</v>
      </c>
      <c r="M153" s="3">
        <v>0</v>
      </c>
      <c r="N153" s="3">
        <v>0</v>
      </c>
      <c r="O153" s="3">
        <v>0</v>
      </c>
      <c r="P153" s="3">
        <v>0</v>
      </c>
      <c r="Q153" s="3">
        <v>-1803.7000000000003</v>
      </c>
      <c r="R153" s="3">
        <v>-1803.7000000000003</v>
      </c>
      <c r="S153" s="3">
        <v>0</v>
      </c>
      <c r="T153" s="3">
        <v>-4</v>
      </c>
      <c r="U153" s="3">
        <v>-4</v>
      </c>
      <c r="V153" s="3">
        <v>0</v>
      </c>
      <c r="W153" s="3">
        <v>0</v>
      </c>
      <c r="X153" s="3">
        <v>0</v>
      </c>
      <c r="Y153" s="3">
        <v>0</v>
      </c>
      <c r="Z153" s="3">
        <v>9151.0499999999993</v>
      </c>
      <c r="AA153" s="3">
        <v>9151.0499999999993</v>
      </c>
      <c r="AB153" s="3">
        <v>0</v>
      </c>
      <c r="AC153" s="3">
        <v>68.33</v>
      </c>
      <c r="AD153" s="3">
        <v>68.33</v>
      </c>
      <c r="AE153" s="3">
        <v>0</v>
      </c>
      <c r="AF153" s="3">
        <v>9082.7200000000012</v>
      </c>
      <c r="AG153" s="3">
        <v>9082.7200000000012</v>
      </c>
      <c r="AH153" s="3">
        <v>0</v>
      </c>
      <c r="AI153">
        <v>3953.4000000000042</v>
      </c>
      <c r="AJ153">
        <v>0</v>
      </c>
      <c r="AK153">
        <v>-3953.4000000000042</v>
      </c>
      <c r="AL153">
        <v>5129.3199999999961</v>
      </c>
      <c r="AM153">
        <v>9082.7200000000012</v>
      </c>
      <c r="AN153">
        <v>3953.4000000000042</v>
      </c>
      <c r="AO153">
        <v>215</v>
      </c>
    </row>
    <row r="154" spans="1:41" x14ac:dyDescent="0.35">
      <c r="A154">
        <v>2024</v>
      </c>
      <c r="B154">
        <v>6</v>
      </c>
      <c r="C154">
        <v>25</v>
      </c>
      <c r="D154" s="1">
        <v>45464</v>
      </c>
      <c r="E154" s="2" t="s">
        <v>44</v>
      </c>
      <c r="F154" s="2" t="s">
        <v>47</v>
      </c>
      <c r="G154" s="2" t="s">
        <v>51</v>
      </c>
      <c r="H154" s="3">
        <v>4624.8000000000011</v>
      </c>
      <c r="I154" s="3">
        <v>4624.8000000000011</v>
      </c>
      <c r="J154" s="3">
        <v>0</v>
      </c>
      <c r="K154" s="3">
        <v>60</v>
      </c>
      <c r="L154" s="3">
        <v>60</v>
      </c>
      <c r="M154" s="3">
        <v>0</v>
      </c>
      <c r="N154" s="3">
        <v>0</v>
      </c>
      <c r="O154" s="3">
        <v>0</v>
      </c>
      <c r="P154" s="3">
        <v>0</v>
      </c>
      <c r="Q154" s="3">
        <v>-845.59999999999991</v>
      </c>
      <c r="R154" s="3">
        <v>-845.59999999999991</v>
      </c>
      <c r="S154" s="3">
        <v>0</v>
      </c>
      <c r="T154" s="3">
        <v>-24</v>
      </c>
      <c r="U154" s="3">
        <v>-24</v>
      </c>
      <c r="V154" s="3">
        <v>0</v>
      </c>
      <c r="W154" s="3">
        <v>0</v>
      </c>
      <c r="X154" s="3">
        <v>0</v>
      </c>
      <c r="Y154" s="3">
        <v>0</v>
      </c>
      <c r="Z154" s="3">
        <v>3815.2000000000012</v>
      </c>
      <c r="AA154" s="3">
        <v>3815.2000000000012</v>
      </c>
      <c r="AB154" s="3">
        <v>0</v>
      </c>
      <c r="AC154" s="3">
        <v>86.66</v>
      </c>
      <c r="AD154" s="3">
        <v>38.33</v>
      </c>
      <c r="AE154" s="3">
        <v>-48.33</v>
      </c>
      <c r="AF154" s="3">
        <v>3728.5400000000013</v>
      </c>
      <c r="AG154" s="3">
        <v>3776.8700000000013</v>
      </c>
      <c r="AH154" s="3">
        <v>48.33</v>
      </c>
      <c r="AI154">
        <v>945.19000000000028</v>
      </c>
      <c r="AJ154">
        <v>0</v>
      </c>
      <c r="AK154">
        <v>-945.19000000000028</v>
      </c>
      <c r="AL154">
        <v>2783.3500000000017</v>
      </c>
      <c r="AM154">
        <v>3776.8700000000013</v>
      </c>
      <c r="AN154">
        <v>993.52000000000032</v>
      </c>
      <c r="AO154">
        <v>86</v>
      </c>
    </row>
    <row r="155" spans="1:41" x14ac:dyDescent="0.35">
      <c r="A155">
        <v>2024</v>
      </c>
      <c r="B155">
        <v>6</v>
      </c>
      <c r="C155">
        <v>25</v>
      </c>
      <c r="D155" s="1">
        <v>45465</v>
      </c>
      <c r="E155" s="2" t="s">
        <v>44</v>
      </c>
      <c r="F155" s="2" t="s">
        <v>47</v>
      </c>
      <c r="G155" s="2" t="s">
        <v>51</v>
      </c>
      <c r="H155" s="3">
        <v>12762.550000000001</v>
      </c>
      <c r="I155" s="3">
        <v>12762.550000000001</v>
      </c>
      <c r="J155" s="3">
        <v>0</v>
      </c>
      <c r="K155" s="3">
        <v>177.35999999999999</v>
      </c>
      <c r="L155" s="3">
        <v>177.35999999999999</v>
      </c>
      <c r="M155" s="3">
        <v>0</v>
      </c>
      <c r="N155" s="3">
        <v>0</v>
      </c>
      <c r="O155" s="3">
        <v>0</v>
      </c>
      <c r="P155" s="3">
        <v>0</v>
      </c>
      <c r="Q155" s="3">
        <v>-3867.2499999999991</v>
      </c>
      <c r="R155" s="3">
        <v>-3867.2499999999991</v>
      </c>
      <c r="S155" s="3">
        <v>0</v>
      </c>
      <c r="T155" s="3">
        <v>-34.5</v>
      </c>
      <c r="U155" s="3">
        <v>-34.5</v>
      </c>
      <c r="V155" s="3">
        <v>0</v>
      </c>
      <c r="W155" s="3">
        <v>0</v>
      </c>
      <c r="X155" s="3">
        <v>0</v>
      </c>
      <c r="Y155" s="3">
        <v>0</v>
      </c>
      <c r="Z155" s="3">
        <v>9038.159999999998</v>
      </c>
      <c r="AA155" s="3">
        <v>9038.159999999998</v>
      </c>
      <c r="AB155" s="3">
        <v>0</v>
      </c>
      <c r="AC155" s="3">
        <v>465.70999999999981</v>
      </c>
      <c r="AD155" s="3">
        <v>57.5</v>
      </c>
      <c r="AE155" s="3">
        <v>-408.20999999999987</v>
      </c>
      <c r="AF155" s="3">
        <v>8572.4500000000007</v>
      </c>
      <c r="AG155" s="3">
        <v>8980.659999999998</v>
      </c>
      <c r="AH155" s="3">
        <v>408.20999999999964</v>
      </c>
      <c r="AI155">
        <v>1810.1800000000055</v>
      </c>
      <c r="AJ155">
        <v>177.24999999999991</v>
      </c>
      <c r="AK155">
        <v>-1632.9300000000037</v>
      </c>
      <c r="AL155">
        <v>6762.2700000000114</v>
      </c>
      <c r="AM155">
        <v>8803.4099999999908</v>
      </c>
      <c r="AN155">
        <v>2041.1400000000046</v>
      </c>
      <c r="AO155">
        <v>206</v>
      </c>
    </row>
    <row r="156" spans="1:41" x14ac:dyDescent="0.35">
      <c r="A156">
        <v>2024</v>
      </c>
      <c r="B156">
        <v>6</v>
      </c>
      <c r="C156">
        <v>26</v>
      </c>
      <c r="D156" s="1">
        <v>45466</v>
      </c>
      <c r="E156" s="2" t="s">
        <v>41</v>
      </c>
      <c r="F156" s="2" t="s">
        <v>42</v>
      </c>
      <c r="G156" s="2" t="s">
        <v>43</v>
      </c>
      <c r="H156" s="3">
        <v>148664.75</v>
      </c>
      <c r="I156" s="3">
        <v>148664.75</v>
      </c>
      <c r="J156" s="3">
        <v>0</v>
      </c>
      <c r="K156" s="3">
        <v>1585.9900000000248</v>
      </c>
      <c r="L156" s="3">
        <v>1592.9900000000248</v>
      </c>
      <c r="M156" s="3">
        <v>7</v>
      </c>
      <c r="N156" s="3">
        <v>2958.9499999999866</v>
      </c>
      <c r="O156" s="3">
        <v>2958.9499999999866</v>
      </c>
      <c r="P156" s="3">
        <v>0</v>
      </c>
      <c r="Q156" s="3">
        <v>-13716.35</v>
      </c>
      <c r="R156" s="3">
        <v>-12547.35</v>
      </c>
      <c r="S156" s="3">
        <v>1169</v>
      </c>
      <c r="T156" s="3">
        <v>-15.390000000000002</v>
      </c>
      <c r="U156" s="3">
        <v>-15.390000000000002</v>
      </c>
      <c r="V156" s="3">
        <v>0</v>
      </c>
      <c r="W156" s="3">
        <v>-113.47999999999999</v>
      </c>
      <c r="X156" s="3">
        <v>-113.47999999999999</v>
      </c>
      <c r="Y156" s="3">
        <v>0</v>
      </c>
      <c r="Z156" s="3">
        <v>139364.47000000099</v>
      </c>
      <c r="AA156" s="3">
        <v>140540.4700000009</v>
      </c>
      <c r="AB156" s="3">
        <v>1176</v>
      </c>
      <c r="AC156" s="3">
        <v>59353.460000000072</v>
      </c>
      <c r="AD156" s="3">
        <v>27536.549999999839</v>
      </c>
      <c r="AE156" s="3">
        <v>-31816.909999999742</v>
      </c>
      <c r="AF156" s="3">
        <v>80011.010000000024</v>
      </c>
      <c r="AG156" s="3">
        <v>113003.92000000116</v>
      </c>
      <c r="AH156" s="3">
        <v>32992.909999999742</v>
      </c>
      <c r="AI156">
        <v>-13072.549999999996</v>
      </c>
      <c r="AJ156">
        <v>0</v>
      </c>
      <c r="AK156">
        <v>13072.549999999996</v>
      </c>
      <c r="AL156">
        <v>93083.560000000332</v>
      </c>
      <c r="AM156">
        <v>113003.92000000116</v>
      </c>
      <c r="AN156">
        <v>19920.359999999939</v>
      </c>
      <c r="AO156">
        <v>2582</v>
      </c>
    </row>
    <row r="157" spans="1:41" x14ac:dyDescent="0.35">
      <c r="A157">
        <v>2024</v>
      </c>
      <c r="B157">
        <v>6</v>
      </c>
      <c r="C157">
        <v>26</v>
      </c>
      <c r="D157" s="1">
        <v>45467</v>
      </c>
      <c r="E157" s="2" t="s">
        <v>41</v>
      </c>
      <c r="F157" s="2" t="s">
        <v>42</v>
      </c>
      <c r="G157" s="2" t="s">
        <v>43</v>
      </c>
      <c r="H157" s="3">
        <v>133899.25</v>
      </c>
      <c r="I157" s="3">
        <v>133899.25</v>
      </c>
      <c r="J157" s="3">
        <v>0</v>
      </c>
      <c r="K157" s="3">
        <v>1385.6900000000151</v>
      </c>
      <c r="L157" s="3">
        <v>1392.6900000000151</v>
      </c>
      <c r="M157" s="3">
        <v>7</v>
      </c>
      <c r="N157" s="3">
        <v>2852.9899999999889</v>
      </c>
      <c r="O157" s="3">
        <v>2852.9899999999889</v>
      </c>
      <c r="P157" s="3">
        <v>0</v>
      </c>
      <c r="Q157" s="3">
        <v>-12362.95</v>
      </c>
      <c r="R157" s="3">
        <v>-10988.95</v>
      </c>
      <c r="S157" s="3">
        <v>1374</v>
      </c>
      <c r="T157" s="3">
        <v>-7.9700000000000006</v>
      </c>
      <c r="U157" s="3">
        <v>-7.9700000000000006</v>
      </c>
      <c r="V157" s="3">
        <v>0</v>
      </c>
      <c r="W157" s="3">
        <v>-70.990000000000009</v>
      </c>
      <c r="X157" s="3">
        <v>-70.990000000000009</v>
      </c>
      <c r="Y157" s="3">
        <v>0</v>
      </c>
      <c r="Z157" s="3">
        <v>125696.02000000131</v>
      </c>
      <c r="AA157" s="3">
        <v>127077.02000000131</v>
      </c>
      <c r="AB157" s="3">
        <v>1381</v>
      </c>
      <c r="AC157" s="3">
        <v>50982.6</v>
      </c>
      <c r="AD157" s="3">
        <v>23780.449999999844</v>
      </c>
      <c r="AE157" s="3">
        <v>-27202.149999999838</v>
      </c>
      <c r="AF157" s="3">
        <v>74713.419999999955</v>
      </c>
      <c r="AG157" s="3">
        <v>103296.57000000062</v>
      </c>
      <c r="AH157" s="3">
        <v>28583.149999999834</v>
      </c>
      <c r="AI157">
        <v>-11331.28000000001</v>
      </c>
      <c r="AJ157">
        <v>0</v>
      </c>
      <c r="AK157">
        <v>11331.28000000001</v>
      </c>
      <c r="AL157">
        <v>86044.700000000012</v>
      </c>
      <c r="AM157">
        <v>103296.57000000062</v>
      </c>
      <c r="AN157">
        <v>17251.86999999993</v>
      </c>
      <c r="AO157">
        <v>2308</v>
      </c>
    </row>
    <row r="158" spans="1:41" x14ac:dyDescent="0.35">
      <c r="A158">
        <v>2024</v>
      </c>
      <c r="B158">
        <v>6</v>
      </c>
      <c r="C158">
        <v>26</v>
      </c>
      <c r="D158" s="1">
        <v>45468</v>
      </c>
      <c r="E158" s="2" t="s">
        <v>41</v>
      </c>
      <c r="F158" s="2" t="s">
        <v>42</v>
      </c>
      <c r="G158" s="2" t="s">
        <v>43</v>
      </c>
      <c r="H158" s="3">
        <v>128340.75</v>
      </c>
      <c r="I158" s="3">
        <v>128340.75</v>
      </c>
      <c r="J158" s="3">
        <v>0</v>
      </c>
      <c r="K158" s="3">
        <v>1300.4000000000185</v>
      </c>
      <c r="L158" s="3">
        <v>1307.4000000000187</v>
      </c>
      <c r="M158" s="3">
        <v>7</v>
      </c>
      <c r="N158" s="3">
        <v>2573.1599999999926</v>
      </c>
      <c r="O158" s="3">
        <v>2564.1699999999928</v>
      </c>
      <c r="P158" s="3">
        <v>-8.99</v>
      </c>
      <c r="Q158" s="3">
        <v>-11845.7</v>
      </c>
      <c r="R158" s="3">
        <v>-10303.700000000001</v>
      </c>
      <c r="S158" s="3">
        <v>1542</v>
      </c>
      <c r="T158" s="3">
        <v>-7.9100000000000019</v>
      </c>
      <c r="U158" s="3">
        <v>-7.9100000000000019</v>
      </c>
      <c r="V158" s="3">
        <v>0</v>
      </c>
      <c r="W158" s="3">
        <v>-74.98</v>
      </c>
      <c r="X158" s="3">
        <v>-74.98</v>
      </c>
      <c r="Y158" s="3">
        <v>0</v>
      </c>
      <c r="Z158" s="3">
        <v>120285.72000000114</v>
      </c>
      <c r="AA158" s="3">
        <v>121825.73000000115</v>
      </c>
      <c r="AB158" s="3">
        <v>1540.01</v>
      </c>
      <c r="AC158" s="3">
        <v>48390.819999999992</v>
      </c>
      <c r="AD158" s="3">
        <v>24867.449999999815</v>
      </c>
      <c r="AE158" s="3">
        <v>-23523.369999999832</v>
      </c>
      <c r="AF158" s="3">
        <v>71894.899999999805</v>
      </c>
      <c r="AG158" s="3">
        <v>96958.280000000421</v>
      </c>
      <c r="AH158" s="3">
        <v>25063.379999999826</v>
      </c>
      <c r="AI158">
        <v>-12088.199999999999</v>
      </c>
      <c r="AJ158">
        <v>0</v>
      </c>
      <c r="AK158">
        <v>12088.199999999999</v>
      </c>
      <c r="AL158">
        <v>83983.100000000268</v>
      </c>
      <c r="AM158">
        <v>96958.280000000421</v>
      </c>
      <c r="AN158">
        <v>12975.179999999995</v>
      </c>
      <c r="AO158">
        <v>2236</v>
      </c>
    </row>
    <row r="159" spans="1:41" x14ac:dyDescent="0.35">
      <c r="A159">
        <v>2024</v>
      </c>
      <c r="B159">
        <v>6</v>
      </c>
      <c r="C159">
        <v>26</v>
      </c>
      <c r="D159" s="1">
        <v>45469</v>
      </c>
      <c r="E159" s="2" t="s">
        <v>41</v>
      </c>
      <c r="F159" s="2" t="s">
        <v>42</v>
      </c>
      <c r="G159" s="2" t="s">
        <v>43</v>
      </c>
      <c r="H159" s="3">
        <v>148770.5</v>
      </c>
      <c r="I159" s="3">
        <v>148770.5</v>
      </c>
      <c r="J159" s="3">
        <v>0</v>
      </c>
      <c r="K159" s="3">
        <v>1486.1000000000215</v>
      </c>
      <c r="L159" s="3">
        <v>1500.1000000000222</v>
      </c>
      <c r="M159" s="3">
        <v>14</v>
      </c>
      <c r="N159" s="3">
        <v>3077.7799999999847</v>
      </c>
      <c r="O159" s="3">
        <v>3077.7799999999847</v>
      </c>
      <c r="P159" s="3">
        <v>0</v>
      </c>
      <c r="Q159" s="3">
        <v>-13525.5</v>
      </c>
      <c r="R159" s="3">
        <v>-11917.5</v>
      </c>
      <c r="S159" s="3">
        <v>1608</v>
      </c>
      <c r="T159" s="3">
        <v>-5.73</v>
      </c>
      <c r="U159" s="3">
        <v>-6.19</v>
      </c>
      <c r="V159" s="3">
        <v>-0.46</v>
      </c>
      <c r="W159" s="3">
        <v>-49.5</v>
      </c>
      <c r="X159" s="3">
        <v>-49.5</v>
      </c>
      <c r="Y159" s="3">
        <v>0</v>
      </c>
      <c r="Z159" s="3">
        <v>139753.65000000122</v>
      </c>
      <c r="AA159" s="3">
        <v>141375.19000000111</v>
      </c>
      <c r="AB159" s="3">
        <v>1621.54</v>
      </c>
      <c r="AC159" s="3">
        <v>57108.87999999991</v>
      </c>
      <c r="AD159" s="3">
        <v>32691.849999999762</v>
      </c>
      <c r="AE159" s="3">
        <v>-24417.029999999853</v>
      </c>
      <c r="AF159" s="3">
        <v>82644.770000000164</v>
      </c>
      <c r="AG159" s="3">
        <v>108683.34000000086</v>
      </c>
      <c r="AH159" s="3">
        <v>26038.569999999829</v>
      </c>
      <c r="AI159">
        <v>-15498.100000000002</v>
      </c>
      <c r="AJ159">
        <v>0</v>
      </c>
      <c r="AK159">
        <v>15498.100000000002</v>
      </c>
      <c r="AL159">
        <v>98142.870000000155</v>
      </c>
      <c r="AM159">
        <v>108683.34000000086</v>
      </c>
      <c r="AN159">
        <v>10540.47000000001</v>
      </c>
      <c r="AO159">
        <v>2576</v>
      </c>
    </row>
    <row r="160" spans="1:41" x14ac:dyDescent="0.35">
      <c r="A160">
        <v>2024</v>
      </c>
      <c r="B160">
        <v>6</v>
      </c>
      <c r="C160">
        <v>26</v>
      </c>
      <c r="D160" s="1">
        <v>45470</v>
      </c>
      <c r="E160" s="2" t="s">
        <v>41</v>
      </c>
      <c r="F160" s="2" t="s">
        <v>42</v>
      </c>
      <c r="G160" s="2" t="s">
        <v>43</v>
      </c>
      <c r="H160" s="3">
        <v>160971.75</v>
      </c>
      <c r="I160" s="3">
        <v>160971.75</v>
      </c>
      <c r="J160" s="3">
        <v>0</v>
      </c>
      <c r="K160" s="3">
        <v>1899.3600000000324</v>
      </c>
      <c r="L160" s="3">
        <v>1899.3600000000324</v>
      </c>
      <c r="M160" s="3">
        <v>0</v>
      </c>
      <c r="N160" s="3">
        <v>3510.469999999978</v>
      </c>
      <c r="O160" s="3">
        <v>3510.469999999978</v>
      </c>
      <c r="P160" s="3">
        <v>0</v>
      </c>
      <c r="Q160" s="3">
        <v>-15177</v>
      </c>
      <c r="R160" s="3">
        <v>-13345</v>
      </c>
      <c r="S160" s="3">
        <v>1832</v>
      </c>
      <c r="T160" s="3">
        <v>-4.82</v>
      </c>
      <c r="U160" s="3">
        <v>-5.28</v>
      </c>
      <c r="V160" s="3">
        <v>-0.46</v>
      </c>
      <c r="W160" s="3">
        <v>-83.490000000000009</v>
      </c>
      <c r="X160" s="3">
        <v>-83.490000000000009</v>
      </c>
      <c r="Y160" s="3">
        <v>0</v>
      </c>
      <c r="Z160" s="3">
        <v>151116.27000000075</v>
      </c>
      <c r="AA160" s="3">
        <v>152947.81000000067</v>
      </c>
      <c r="AB160" s="3">
        <v>1831.54</v>
      </c>
      <c r="AC160" s="3">
        <v>61794.360000000044</v>
      </c>
      <c r="AD160" s="3">
        <v>29545.439999999777</v>
      </c>
      <c r="AE160" s="3">
        <v>-32248.919999999722</v>
      </c>
      <c r="AF160" s="3">
        <v>89321.910000000396</v>
      </c>
      <c r="AG160" s="3">
        <v>123402.37000000094</v>
      </c>
      <c r="AH160" s="3">
        <v>34080.459999999752</v>
      </c>
      <c r="AI160">
        <v>-13652.720000000025</v>
      </c>
      <c r="AJ160">
        <v>0</v>
      </c>
      <c r="AK160">
        <v>13652.720000000025</v>
      </c>
      <c r="AL160">
        <v>102974.63000000057</v>
      </c>
      <c r="AM160">
        <v>123402.37000000094</v>
      </c>
      <c r="AN160">
        <v>20427.739999999889</v>
      </c>
      <c r="AO160">
        <v>2802</v>
      </c>
    </row>
    <row r="161" spans="1:41" x14ac:dyDescent="0.35">
      <c r="A161">
        <v>2024</v>
      </c>
      <c r="B161">
        <v>6</v>
      </c>
      <c r="C161">
        <v>26</v>
      </c>
      <c r="D161" s="1">
        <v>45471</v>
      </c>
      <c r="E161" s="2" t="s">
        <v>41</v>
      </c>
      <c r="F161" s="2" t="s">
        <v>42</v>
      </c>
      <c r="G161" s="2" t="s">
        <v>43</v>
      </c>
      <c r="H161" s="3">
        <v>159266.75</v>
      </c>
      <c r="I161" s="3">
        <v>159266.75</v>
      </c>
      <c r="J161" s="3">
        <v>0</v>
      </c>
      <c r="K161" s="3">
        <v>2006.6200000000297</v>
      </c>
      <c r="L161" s="3">
        <v>1999.6200000000294</v>
      </c>
      <c r="M161" s="3">
        <v>-7</v>
      </c>
      <c r="N161" s="3">
        <v>3110.8299999999854</v>
      </c>
      <c r="O161" s="3">
        <v>3110.8299999999854</v>
      </c>
      <c r="P161" s="3">
        <v>0</v>
      </c>
      <c r="Q161" s="3">
        <v>-15583.5</v>
      </c>
      <c r="R161" s="3">
        <v>-14933.5</v>
      </c>
      <c r="S161" s="3">
        <v>650</v>
      </c>
      <c r="T161" s="3">
        <v>-9.8800000000000026</v>
      </c>
      <c r="U161" s="3">
        <v>-9.8800000000000026</v>
      </c>
      <c r="V161" s="3">
        <v>0</v>
      </c>
      <c r="W161" s="3">
        <v>-86.990000000000009</v>
      </c>
      <c r="X161" s="3">
        <v>-86.990000000000009</v>
      </c>
      <c r="Y161" s="3">
        <v>0</v>
      </c>
      <c r="Z161" s="3">
        <v>148703.83000000141</v>
      </c>
      <c r="AA161" s="3">
        <v>149346.83000000136</v>
      </c>
      <c r="AB161" s="3">
        <v>643</v>
      </c>
      <c r="AC161" s="3">
        <v>61545.069999999942</v>
      </c>
      <c r="AD161" s="3">
        <v>32270.889999999756</v>
      </c>
      <c r="AE161" s="3">
        <v>-29274.179999999789</v>
      </c>
      <c r="AF161" s="3">
        <v>87158.760000000024</v>
      </c>
      <c r="AG161" s="3">
        <v>117075.94000000099</v>
      </c>
      <c r="AH161" s="3">
        <v>29917.179999999793</v>
      </c>
      <c r="AI161">
        <v>-15222.729999999994</v>
      </c>
      <c r="AJ161">
        <v>0</v>
      </c>
      <c r="AK161">
        <v>15222.729999999994</v>
      </c>
      <c r="AL161">
        <v>102381.49000000019</v>
      </c>
      <c r="AM161">
        <v>117075.94000000099</v>
      </c>
      <c r="AN161">
        <v>14694.449999999964</v>
      </c>
      <c r="AO161">
        <v>2781</v>
      </c>
    </row>
    <row r="162" spans="1:41" x14ac:dyDescent="0.35">
      <c r="A162">
        <v>2024</v>
      </c>
      <c r="B162">
        <v>6</v>
      </c>
      <c r="C162">
        <v>26</v>
      </c>
      <c r="D162" s="1">
        <v>45472</v>
      </c>
      <c r="E162" s="2" t="s">
        <v>41</v>
      </c>
      <c r="F162" s="2" t="s">
        <v>42</v>
      </c>
      <c r="G162" s="2" t="s">
        <v>43</v>
      </c>
      <c r="H162" s="3">
        <v>165081</v>
      </c>
      <c r="I162" s="3">
        <v>165081</v>
      </c>
      <c r="J162" s="3">
        <v>0</v>
      </c>
      <c r="K162" s="3">
        <v>1965.7300000000319</v>
      </c>
      <c r="L162" s="3">
        <v>1965.7300000000319</v>
      </c>
      <c r="M162" s="3">
        <v>0</v>
      </c>
      <c r="N162" s="3">
        <v>3160.8099999999845</v>
      </c>
      <c r="O162" s="3">
        <v>3160.8099999999845</v>
      </c>
      <c r="P162" s="3">
        <v>0</v>
      </c>
      <c r="Q162" s="3">
        <v>-16629.48</v>
      </c>
      <c r="R162" s="3">
        <v>-13425.48</v>
      </c>
      <c r="S162" s="3">
        <v>3204</v>
      </c>
      <c r="T162" s="3">
        <v>-8.0400000000000009</v>
      </c>
      <c r="U162" s="3">
        <v>-8.0400000000000009</v>
      </c>
      <c r="V162" s="3">
        <v>0</v>
      </c>
      <c r="W162" s="3">
        <v>-73</v>
      </c>
      <c r="X162" s="3">
        <v>-73</v>
      </c>
      <c r="Y162" s="3">
        <v>0</v>
      </c>
      <c r="Z162" s="3">
        <v>153497.02000000075</v>
      </c>
      <c r="AA162" s="3">
        <v>156701.02000000063</v>
      </c>
      <c r="AB162" s="3">
        <v>3204</v>
      </c>
      <c r="AC162" s="3">
        <v>64901.410000000105</v>
      </c>
      <c r="AD162" s="3">
        <v>32798.839999999698</v>
      </c>
      <c r="AE162" s="3">
        <v>-32102.56999999972</v>
      </c>
      <c r="AF162" s="3">
        <v>88595.610000000102</v>
      </c>
      <c r="AG162" s="3">
        <v>123902.1800000012</v>
      </c>
      <c r="AH162" s="3">
        <v>35306.56999999976</v>
      </c>
      <c r="AI162">
        <v>-15483.050000000014</v>
      </c>
      <c r="AJ162">
        <v>0</v>
      </c>
      <c r="AK162">
        <v>15483.050000000014</v>
      </c>
      <c r="AL162">
        <v>104078.66000000025</v>
      </c>
      <c r="AM162">
        <v>123902.1800000012</v>
      </c>
      <c r="AN162">
        <v>19823.519999999891</v>
      </c>
      <c r="AO162">
        <v>2904</v>
      </c>
    </row>
    <row r="163" spans="1:41" x14ac:dyDescent="0.35">
      <c r="A163">
        <v>2024</v>
      </c>
      <c r="B163">
        <v>6</v>
      </c>
      <c r="C163">
        <v>26</v>
      </c>
      <c r="D163" s="1">
        <v>45466</v>
      </c>
      <c r="E163" s="2" t="s">
        <v>44</v>
      </c>
      <c r="F163" s="2" t="s">
        <v>42</v>
      </c>
      <c r="G163" s="2" t="s">
        <v>45</v>
      </c>
      <c r="H163" s="3">
        <v>184817</v>
      </c>
      <c r="I163" s="3">
        <v>184817</v>
      </c>
      <c r="J163" s="3">
        <v>0</v>
      </c>
      <c r="K163" s="3">
        <v>1424.6400000000142</v>
      </c>
      <c r="L163" s="3">
        <v>1424.6400000000142</v>
      </c>
      <c r="M163" s="3">
        <v>0</v>
      </c>
      <c r="N163" s="3">
        <v>7739.0399999999217</v>
      </c>
      <c r="O163" s="3">
        <v>7723.049999999922</v>
      </c>
      <c r="P163" s="3">
        <v>-15.99</v>
      </c>
      <c r="Q163" s="3">
        <v>-31412.25</v>
      </c>
      <c r="R163" s="3">
        <v>-30504.25</v>
      </c>
      <c r="S163" s="3">
        <v>908</v>
      </c>
      <c r="T163" s="3">
        <v>-16.11</v>
      </c>
      <c r="U163" s="3">
        <v>-16.11</v>
      </c>
      <c r="V163" s="3">
        <v>0</v>
      </c>
      <c r="W163" s="3">
        <v>-172.08999999999997</v>
      </c>
      <c r="X163" s="3">
        <v>-172.08999999999997</v>
      </c>
      <c r="Y163" s="3">
        <v>0</v>
      </c>
      <c r="Z163" s="3">
        <v>162380.23000000033</v>
      </c>
      <c r="AA163" s="3">
        <v>163272.24000000028</v>
      </c>
      <c r="AB163" s="3">
        <v>892.01</v>
      </c>
      <c r="AC163" s="3">
        <v>48948.669999999765</v>
      </c>
      <c r="AD163" s="3">
        <v>28118.399999999929</v>
      </c>
      <c r="AE163" s="3">
        <v>-20830.269999999935</v>
      </c>
      <c r="AF163" s="3">
        <v>113431.56000000046</v>
      </c>
      <c r="AG163" s="3">
        <v>135153.84000000058</v>
      </c>
      <c r="AH163" s="3">
        <v>21722.279999999937</v>
      </c>
      <c r="AI163">
        <v>-13458.740000000047</v>
      </c>
      <c r="AJ163">
        <v>0</v>
      </c>
      <c r="AK163">
        <v>13458.740000000047</v>
      </c>
      <c r="AL163">
        <v>126890.29999999986</v>
      </c>
      <c r="AM163">
        <v>135153.84000000058</v>
      </c>
      <c r="AN163">
        <v>8263.5400000000227</v>
      </c>
      <c r="AO163">
        <v>2351</v>
      </c>
    </row>
    <row r="164" spans="1:41" x14ac:dyDescent="0.35">
      <c r="A164">
        <v>2024</v>
      </c>
      <c r="B164">
        <v>6</v>
      </c>
      <c r="C164">
        <v>26</v>
      </c>
      <c r="D164" s="1">
        <v>45467</v>
      </c>
      <c r="E164" s="2" t="s">
        <v>44</v>
      </c>
      <c r="F164" s="2" t="s">
        <v>42</v>
      </c>
      <c r="G164" s="2" t="s">
        <v>45</v>
      </c>
      <c r="H164" s="3">
        <v>178049</v>
      </c>
      <c r="I164" s="3">
        <v>178049</v>
      </c>
      <c r="J164" s="3">
        <v>0</v>
      </c>
      <c r="K164" s="3">
        <v>1129.1600000000112</v>
      </c>
      <c r="L164" s="3">
        <v>1129.1600000000112</v>
      </c>
      <c r="M164" s="3">
        <v>0</v>
      </c>
      <c r="N164" s="3">
        <v>7761.0199999999204</v>
      </c>
      <c r="O164" s="3">
        <v>7726.0399999999208</v>
      </c>
      <c r="P164" s="3">
        <v>-34.980000000000004</v>
      </c>
      <c r="Q164" s="3">
        <v>-30032.25</v>
      </c>
      <c r="R164" s="3">
        <v>-29094.75</v>
      </c>
      <c r="S164" s="3">
        <v>937.5</v>
      </c>
      <c r="T164" s="3">
        <v>-21.910000000000004</v>
      </c>
      <c r="U164" s="3">
        <v>-21.910000000000004</v>
      </c>
      <c r="V164" s="3">
        <v>0</v>
      </c>
      <c r="W164" s="3">
        <v>-190.69</v>
      </c>
      <c r="X164" s="3">
        <v>-190.69</v>
      </c>
      <c r="Y164" s="3">
        <v>0</v>
      </c>
      <c r="Z164" s="3">
        <v>156694.33000000071</v>
      </c>
      <c r="AA164" s="3">
        <v>157596.85000000068</v>
      </c>
      <c r="AB164" s="3">
        <v>902.52</v>
      </c>
      <c r="AC164" s="3">
        <v>47214.009999999784</v>
      </c>
      <c r="AD164" s="3">
        <v>19792.199999999943</v>
      </c>
      <c r="AE164" s="3">
        <v>-27421.809999999954</v>
      </c>
      <c r="AF164" s="3">
        <v>109480.32000000046</v>
      </c>
      <c r="AG164" s="3">
        <v>137804.65000000078</v>
      </c>
      <c r="AH164" s="3">
        <v>28324.329999999958</v>
      </c>
      <c r="AI164">
        <v>-9512.8399999999911</v>
      </c>
      <c r="AJ164">
        <v>0</v>
      </c>
      <c r="AK164">
        <v>9512.8399999999911</v>
      </c>
      <c r="AL164">
        <v>118993.15999999996</v>
      </c>
      <c r="AM164">
        <v>137804.65000000078</v>
      </c>
      <c r="AN164">
        <v>18811.489999999903</v>
      </c>
      <c r="AO164">
        <v>2249</v>
      </c>
    </row>
    <row r="165" spans="1:41" x14ac:dyDescent="0.35">
      <c r="A165">
        <v>2024</v>
      </c>
      <c r="B165">
        <v>6</v>
      </c>
      <c r="C165">
        <v>26</v>
      </c>
      <c r="D165" s="1">
        <v>45468</v>
      </c>
      <c r="E165" s="2" t="s">
        <v>44</v>
      </c>
      <c r="F165" s="2" t="s">
        <v>42</v>
      </c>
      <c r="G165" s="2" t="s">
        <v>45</v>
      </c>
      <c r="H165" s="3">
        <v>141825</v>
      </c>
      <c r="I165" s="3">
        <v>141825</v>
      </c>
      <c r="J165" s="3">
        <v>0</v>
      </c>
      <c r="K165" s="3">
        <v>873.55000000000155</v>
      </c>
      <c r="L165" s="3">
        <v>873.55000000000155</v>
      </c>
      <c r="M165" s="3">
        <v>0</v>
      </c>
      <c r="N165" s="3">
        <v>5716.2999999999502</v>
      </c>
      <c r="O165" s="3">
        <v>5716.2999999999502</v>
      </c>
      <c r="P165" s="3">
        <v>0</v>
      </c>
      <c r="Q165" s="3">
        <v>-23660.92</v>
      </c>
      <c r="R165" s="3">
        <v>-22797.17</v>
      </c>
      <c r="S165" s="3">
        <v>863.75</v>
      </c>
      <c r="T165" s="3">
        <v>-12.21</v>
      </c>
      <c r="U165" s="3">
        <v>-12.21</v>
      </c>
      <c r="V165" s="3">
        <v>0</v>
      </c>
      <c r="W165" s="3">
        <v>-120.7</v>
      </c>
      <c r="X165" s="3">
        <v>-125.5</v>
      </c>
      <c r="Y165" s="3">
        <v>-4.8</v>
      </c>
      <c r="Z165" s="3">
        <v>124621.02000000073</v>
      </c>
      <c r="AA165" s="3">
        <v>125479.97000000073</v>
      </c>
      <c r="AB165" s="3">
        <v>858.95</v>
      </c>
      <c r="AC165" s="3">
        <v>35741.749999999862</v>
      </c>
      <c r="AD165" s="3">
        <v>16568.449999999964</v>
      </c>
      <c r="AE165" s="3">
        <v>-19173.299999999948</v>
      </c>
      <c r="AF165" s="3">
        <v>88879.270000000222</v>
      </c>
      <c r="AG165" s="3">
        <v>108911.52000000053</v>
      </c>
      <c r="AH165" s="3">
        <v>20032.249999999953</v>
      </c>
      <c r="AI165">
        <v>-7957.030000000007</v>
      </c>
      <c r="AJ165">
        <v>0</v>
      </c>
      <c r="AK165">
        <v>7957.030000000007</v>
      </c>
      <c r="AL165">
        <v>96836.300000000119</v>
      </c>
      <c r="AM165">
        <v>108911.52000000053</v>
      </c>
      <c r="AN165">
        <v>12075.219999999941</v>
      </c>
      <c r="AO165">
        <v>1803</v>
      </c>
    </row>
    <row r="166" spans="1:41" x14ac:dyDescent="0.35">
      <c r="A166">
        <v>2024</v>
      </c>
      <c r="B166">
        <v>6</v>
      </c>
      <c r="C166">
        <v>26</v>
      </c>
      <c r="D166" s="1">
        <v>45469</v>
      </c>
      <c r="E166" s="2" t="s">
        <v>44</v>
      </c>
      <c r="F166" s="2" t="s">
        <v>42</v>
      </c>
      <c r="G166" s="2" t="s">
        <v>45</v>
      </c>
      <c r="H166" s="3">
        <v>166275</v>
      </c>
      <c r="I166" s="3">
        <v>166275</v>
      </c>
      <c r="J166" s="3">
        <v>0</v>
      </c>
      <c r="K166" s="3">
        <v>1197.3600000000117</v>
      </c>
      <c r="L166" s="3">
        <v>1197.3600000000117</v>
      </c>
      <c r="M166" s="3">
        <v>0</v>
      </c>
      <c r="N166" s="3">
        <v>6368.9499999999416</v>
      </c>
      <c r="O166" s="3">
        <v>6352.9599999999418</v>
      </c>
      <c r="P166" s="3">
        <v>-15.99</v>
      </c>
      <c r="Q166" s="3">
        <v>-28031.919999999998</v>
      </c>
      <c r="R166" s="3">
        <v>-26902.92</v>
      </c>
      <c r="S166" s="3">
        <v>1129</v>
      </c>
      <c r="T166" s="3">
        <v>-11.63</v>
      </c>
      <c r="U166" s="3">
        <v>-11.63</v>
      </c>
      <c r="V166" s="3">
        <v>0</v>
      </c>
      <c r="W166" s="3">
        <v>-125.37</v>
      </c>
      <c r="X166" s="3">
        <v>-125.37</v>
      </c>
      <c r="Y166" s="3">
        <v>0</v>
      </c>
      <c r="Z166" s="3">
        <v>145672.39000000092</v>
      </c>
      <c r="AA166" s="3">
        <v>146785.40000000087</v>
      </c>
      <c r="AB166" s="3">
        <v>1113.01</v>
      </c>
      <c r="AC166" s="3">
        <v>42374.319999999803</v>
      </c>
      <c r="AD166" s="3">
        <v>26167.639999999948</v>
      </c>
      <c r="AE166" s="3">
        <v>-16206.679999999951</v>
      </c>
      <c r="AF166" s="3">
        <v>103298.0700000005</v>
      </c>
      <c r="AG166" s="3">
        <v>120617.76000000078</v>
      </c>
      <c r="AH166" s="3">
        <v>17319.689999999948</v>
      </c>
      <c r="AI166">
        <v>-12375.150000000029</v>
      </c>
      <c r="AJ166">
        <v>0</v>
      </c>
      <c r="AK166">
        <v>12375.150000000029</v>
      </c>
      <c r="AL166">
        <v>115673.2200000001</v>
      </c>
      <c r="AM166">
        <v>120617.76000000078</v>
      </c>
      <c r="AN166">
        <v>4944.5400000000172</v>
      </c>
      <c r="AO166">
        <v>2115</v>
      </c>
    </row>
    <row r="167" spans="1:41" x14ac:dyDescent="0.35">
      <c r="A167">
        <v>2024</v>
      </c>
      <c r="B167">
        <v>6</v>
      </c>
      <c r="C167">
        <v>26</v>
      </c>
      <c r="D167" s="1">
        <v>45470</v>
      </c>
      <c r="E167" s="2" t="s">
        <v>44</v>
      </c>
      <c r="F167" s="2" t="s">
        <v>42</v>
      </c>
      <c r="G167" s="2" t="s">
        <v>45</v>
      </c>
      <c r="H167" s="3">
        <v>188008</v>
      </c>
      <c r="I167" s="3">
        <v>188008</v>
      </c>
      <c r="J167" s="3">
        <v>0</v>
      </c>
      <c r="K167" s="3">
        <v>1398.5400000000113</v>
      </c>
      <c r="L167" s="3">
        <v>1398.5400000000113</v>
      </c>
      <c r="M167" s="3">
        <v>0</v>
      </c>
      <c r="N167" s="3">
        <v>7143.4099999999298</v>
      </c>
      <c r="O167" s="3">
        <v>7143.4099999999298</v>
      </c>
      <c r="P167" s="3">
        <v>0</v>
      </c>
      <c r="Q167" s="3">
        <v>-30402.5</v>
      </c>
      <c r="R167" s="3">
        <v>-29639.25</v>
      </c>
      <c r="S167" s="3">
        <v>763.25</v>
      </c>
      <c r="T167" s="3">
        <v>-20.450000000000003</v>
      </c>
      <c r="U167" s="3">
        <v>-20.450000000000003</v>
      </c>
      <c r="V167" s="3">
        <v>0</v>
      </c>
      <c r="W167" s="3">
        <v>-164.17</v>
      </c>
      <c r="X167" s="3">
        <v>-164.17</v>
      </c>
      <c r="Y167" s="3">
        <v>0</v>
      </c>
      <c r="Z167" s="3">
        <v>165962.83000000016</v>
      </c>
      <c r="AA167" s="3">
        <v>166726.08000000016</v>
      </c>
      <c r="AB167" s="3">
        <v>763.25</v>
      </c>
      <c r="AC167" s="3">
        <v>48536.78999999979</v>
      </c>
      <c r="AD167" s="3">
        <v>23012.529999999937</v>
      </c>
      <c r="AE167" s="3">
        <v>-25524.25999999994</v>
      </c>
      <c r="AF167" s="3">
        <v>117426.04000000053</v>
      </c>
      <c r="AG167" s="3">
        <v>143713.55000000042</v>
      </c>
      <c r="AH167" s="3">
        <v>26287.509999999937</v>
      </c>
      <c r="AI167">
        <v>-10974.970000000028</v>
      </c>
      <c r="AJ167">
        <v>-11.870000000000001</v>
      </c>
      <c r="AK167">
        <v>10963.100000000029</v>
      </c>
      <c r="AL167">
        <v>128401.00999999992</v>
      </c>
      <c r="AM167">
        <v>143725.42000000045</v>
      </c>
      <c r="AN167">
        <v>15324.409999999889</v>
      </c>
      <c r="AO167">
        <v>2428</v>
      </c>
    </row>
    <row r="168" spans="1:41" x14ac:dyDescent="0.35">
      <c r="A168">
        <v>2024</v>
      </c>
      <c r="B168">
        <v>6</v>
      </c>
      <c r="C168">
        <v>26</v>
      </c>
      <c r="D168" s="1">
        <v>45471</v>
      </c>
      <c r="E168" s="2" t="s">
        <v>44</v>
      </c>
      <c r="F168" s="2" t="s">
        <v>42</v>
      </c>
      <c r="G168" s="2" t="s">
        <v>45</v>
      </c>
      <c r="H168" s="3">
        <v>181258</v>
      </c>
      <c r="I168" s="3">
        <v>181258</v>
      </c>
      <c r="J168" s="3">
        <v>0</v>
      </c>
      <c r="K168" s="3">
        <v>1239.8600000000106</v>
      </c>
      <c r="L168" s="3">
        <v>1239.8600000000106</v>
      </c>
      <c r="M168" s="3">
        <v>0</v>
      </c>
      <c r="N168" s="3">
        <v>6900.5299999999324</v>
      </c>
      <c r="O168" s="3">
        <v>6827.5699999999333</v>
      </c>
      <c r="P168" s="3">
        <v>-72.960000000000008</v>
      </c>
      <c r="Q168" s="3">
        <v>-30007</v>
      </c>
      <c r="R168" s="3">
        <v>-29735.75</v>
      </c>
      <c r="S168" s="3">
        <v>271.25</v>
      </c>
      <c r="T168" s="3">
        <v>-19.91</v>
      </c>
      <c r="U168" s="3">
        <v>-19.91</v>
      </c>
      <c r="V168" s="3">
        <v>0</v>
      </c>
      <c r="W168" s="3">
        <v>-185.28999999999996</v>
      </c>
      <c r="X168" s="3">
        <v>-180.48999999999998</v>
      </c>
      <c r="Y168" s="3">
        <v>4.8</v>
      </c>
      <c r="Z168" s="3">
        <v>159186.19000000061</v>
      </c>
      <c r="AA168" s="3">
        <v>159389.28000000058</v>
      </c>
      <c r="AB168" s="3">
        <v>203.09000000000003</v>
      </c>
      <c r="AC168" s="3">
        <v>45691.489999999823</v>
      </c>
      <c r="AD168" s="3">
        <v>23448.839999999942</v>
      </c>
      <c r="AE168" s="3">
        <v>-22242.649999999925</v>
      </c>
      <c r="AF168" s="3">
        <v>113494.70000000049</v>
      </c>
      <c r="AG168" s="3">
        <v>135940.44000000067</v>
      </c>
      <c r="AH168" s="3">
        <v>22445.739999999922</v>
      </c>
      <c r="AI168">
        <v>-11189.42000000002</v>
      </c>
      <c r="AJ168">
        <v>0</v>
      </c>
      <c r="AK168">
        <v>11189.42000000002</v>
      </c>
      <c r="AL168">
        <v>124684.11999999992</v>
      </c>
      <c r="AM168">
        <v>135940.44000000067</v>
      </c>
      <c r="AN168">
        <v>11256.319999999969</v>
      </c>
      <c r="AO168">
        <v>2334</v>
      </c>
    </row>
    <row r="169" spans="1:41" x14ac:dyDescent="0.35">
      <c r="A169">
        <v>2024</v>
      </c>
      <c r="B169">
        <v>6</v>
      </c>
      <c r="C169">
        <v>26</v>
      </c>
      <c r="D169" s="1">
        <v>45472</v>
      </c>
      <c r="E169" s="2" t="s">
        <v>44</v>
      </c>
      <c r="F169" s="2" t="s">
        <v>42</v>
      </c>
      <c r="G169" s="2" t="s">
        <v>45</v>
      </c>
      <c r="H169" s="3">
        <v>172963</v>
      </c>
      <c r="I169" s="3">
        <v>172963</v>
      </c>
      <c r="J169" s="3">
        <v>0</v>
      </c>
      <c r="K169" s="3">
        <v>1285.5900000000129</v>
      </c>
      <c r="L169" s="3">
        <v>1285.5900000000129</v>
      </c>
      <c r="M169" s="3">
        <v>0</v>
      </c>
      <c r="N169" s="3">
        <v>6023.0699999999451</v>
      </c>
      <c r="O169" s="3">
        <v>6023.0699999999451</v>
      </c>
      <c r="P169" s="3">
        <v>0</v>
      </c>
      <c r="Q169" s="3">
        <v>-29367.05</v>
      </c>
      <c r="R169" s="3">
        <v>-26764.05</v>
      </c>
      <c r="S169" s="3">
        <v>2603</v>
      </c>
      <c r="T169" s="3">
        <v>-16.740000000000006</v>
      </c>
      <c r="U169" s="3">
        <v>-16.740000000000006</v>
      </c>
      <c r="V169" s="3">
        <v>0</v>
      </c>
      <c r="W169" s="3">
        <v>-133.18</v>
      </c>
      <c r="X169" s="3">
        <v>-133.18</v>
      </c>
      <c r="Y169" s="3">
        <v>0</v>
      </c>
      <c r="Z169" s="3">
        <v>150754.6900000007</v>
      </c>
      <c r="AA169" s="3">
        <v>153357.6900000007</v>
      </c>
      <c r="AB169" s="3">
        <v>2603</v>
      </c>
      <c r="AC169" s="3">
        <v>44291.199999999852</v>
      </c>
      <c r="AD169" s="3">
        <v>21192.419999999936</v>
      </c>
      <c r="AE169" s="3">
        <v>-23098.779999999915</v>
      </c>
      <c r="AF169" s="3">
        <v>106463.49000000037</v>
      </c>
      <c r="AG169" s="3">
        <v>132165.2700000008</v>
      </c>
      <c r="AH169" s="3">
        <v>25701.779999999897</v>
      </c>
      <c r="AI169">
        <v>-10193.910000000005</v>
      </c>
      <c r="AJ169">
        <v>0</v>
      </c>
      <c r="AK169">
        <v>10193.910000000005</v>
      </c>
      <c r="AL169">
        <v>116657.39999999995</v>
      </c>
      <c r="AM169">
        <v>132165.2700000008</v>
      </c>
      <c r="AN169">
        <v>15507.869999999926</v>
      </c>
      <c r="AO169">
        <v>2230</v>
      </c>
    </row>
    <row r="170" spans="1:41" x14ac:dyDescent="0.35">
      <c r="A170">
        <v>2024</v>
      </c>
      <c r="B170">
        <v>6</v>
      </c>
      <c r="C170">
        <v>26</v>
      </c>
      <c r="D170" s="1">
        <v>45466</v>
      </c>
      <c r="E170" s="2" t="s">
        <v>44</v>
      </c>
      <c r="F170" s="2" t="s">
        <v>42</v>
      </c>
      <c r="G170" s="2" t="s">
        <v>46</v>
      </c>
      <c r="H170" s="3">
        <v>73311.449999999983</v>
      </c>
      <c r="I170" s="3">
        <v>73311.449999999983</v>
      </c>
      <c r="J170" s="3">
        <v>0</v>
      </c>
      <c r="K170" s="3">
        <v>446.59999999999917</v>
      </c>
      <c r="L170" s="3">
        <v>446.59999999999917</v>
      </c>
      <c r="M170" s="3">
        <v>0</v>
      </c>
      <c r="N170" s="3">
        <v>1881.8400000000008</v>
      </c>
      <c r="O170" s="3">
        <v>1862.8500000000008</v>
      </c>
      <c r="P170" s="3">
        <v>-18.990000000000002</v>
      </c>
      <c r="Q170" s="3">
        <v>-25858.870000000003</v>
      </c>
      <c r="R170" s="3">
        <v>-25366.450000000004</v>
      </c>
      <c r="S170" s="3">
        <v>492.41999999999996</v>
      </c>
      <c r="T170" s="3">
        <v>-1.4100000000000001</v>
      </c>
      <c r="U170" s="3">
        <v>-1.4100000000000001</v>
      </c>
      <c r="V170" s="3">
        <v>0</v>
      </c>
      <c r="W170" s="3">
        <v>-20</v>
      </c>
      <c r="X170" s="3">
        <v>-20</v>
      </c>
      <c r="Y170" s="3">
        <v>0</v>
      </c>
      <c r="Z170" s="3">
        <v>49759.609999999855</v>
      </c>
      <c r="AA170" s="3">
        <v>50233.039999999855</v>
      </c>
      <c r="AB170" s="3">
        <v>473.43</v>
      </c>
      <c r="AC170" s="3">
        <v>19602.01999999995</v>
      </c>
      <c r="AD170" s="3">
        <v>9828.8899999999976</v>
      </c>
      <c r="AE170" s="3">
        <v>-9773.130000000001</v>
      </c>
      <c r="AF170" s="3">
        <v>30157.590000000069</v>
      </c>
      <c r="AG170" s="3">
        <v>40404.149999999994</v>
      </c>
      <c r="AH170" s="3">
        <v>10246.559999999996</v>
      </c>
      <c r="AI170">
        <v>-3425.3299999999972</v>
      </c>
      <c r="AJ170">
        <v>0</v>
      </c>
      <c r="AK170">
        <v>3425.3299999999972</v>
      </c>
      <c r="AL170">
        <v>33582.92000000002</v>
      </c>
      <c r="AM170">
        <v>40404.149999999994</v>
      </c>
      <c r="AN170">
        <v>6821.2300000000041</v>
      </c>
      <c r="AO170">
        <v>822</v>
      </c>
    </row>
    <row r="171" spans="1:41" x14ac:dyDescent="0.35">
      <c r="A171">
        <v>2024</v>
      </c>
      <c r="B171">
        <v>6</v>
      </c>
      <c r="C171">
        <v>26</v>
      </c>
      <c r="D171" s="1">
        <v>45467</v>
      </c>
      <c r="E171" s="2" t="s">
        <v>44</v>
      </c>
      <c r="F171" s="2" t="s">
        <v>42</v>
      </c>
      <c r="G171" s="2" t="s">
        <v>46</v>
      </c>
      <c r="H171" s="3">
        <v>62117.22</v>
      </c>
      <c r="I171" s="3">
        <v>62117.22</v>
      </c>
      <c r="J171" s="3">
        <v>0</v>
      </c>
      <c r="K171" s="3">
        <v>313.42999999999972</v>
      </c>
      <c r="L171" s="3">
        <v>313.42999999999972</v>
      </c>
      <c r="M171" s="3">
        <v>0</v>
      </c>
      <c r="N171" s="3">
        <v>1788.9000000000008</v>
      </c>
      <c r="O171" s="3">
        <v>1788.9000000000008</v>
      </c>
      <c r="P171" s="3">
        <v>0</v>
      </c>
      <c r="Q171" s="3">
        <v>-21998.79</v>
      </c>
      <c r="R171" s="3">
        <v>-21589.79</v>
      </c>
      <c r="S171" s="3">
        <v>409</v>
      </c>
      <c r="T171" s="3">
        <v>-4.45</v>
      </c>
      <c r="U171" s="3">
        <v>-4.45</v>
      </c>
      <c r="V171" s="3">
        <v>0</v>
      </c>
      <c r="W171" s="3">
        <v>-15</v>
      </c>
      <c r="X171" s="3">
        <v>-15</v>
      </c>
      <c r="Y171" s="3">
        <v>0</v>
      </c>
      <c r="Z171" s="3">
        <v>42201.309999999947</v>
      </c>
      <c r="AA171" s="3">
        <v>42610.309999999939</v>
      </c>
      <c r="AB171" s="3">
        <v>409</v>
      </c>
      <c r="AC171" s="3">
        <v>16232.149999999956</v>
      </c>
      <c r="AD171" s="3">
        <v>7109.9300000000067</v>
      </c>
      <c r="AE171" s="3">
        <v>-9122.2200000000012</v>
      </c>
      <c r="AF171" s="3">
        <v>25969.160000000058</v>
      </c>
      <c r="AG171" s="3">
        <v>35500.380000000019</v>
      </c>
      <c r="AH171" s="3">
        <v>9531.2199999999993</v>
      </c>
      <c r="AI171">
        <v>-2703.0199999999995</v>
      </c>
      <c r="AJ171">
        <v>0</v>
      </c>
      <c r="AK171">
        <v>2703.0199999999995</v>
      </c>
      <c r="AL171">
        <v>28672.180000000018</v>
      </c>
      <c r="AM171">
        <v>35500.380000000019</v>
      </c>
      <c r="AN171">
        <v>6828.2000000000053</v>
      </c>
      <c r="AO171">
        <v>687</v>
      </c>
    </row>
    <row r="172" spans="1:41" x14ac:dyDescent="0.35">
      <c r="A172">
        <v>2024</v>
      </c>
      <c r="B172">
        <v>6</v>
      </c>
      <c r="C172">
        <v>26</v>
      </c>
      <c r="D172" s="1">
        <v>45468</v>
      </c>
      <c r="E172" s="2" t="s">
        <v>44</v>
      </c>
      <c r="F172" s="2" t="s">
        <v>42</v>
      </c>
      <c r="G172" s="2" t="s">
        <v>46</v>
      </c>
      <c r="H172" s="3">
        <v>46992.12</v>
      </c>
      <c r="I172" s="3">
        <v>46992.12</v>
      </c>
      <c r="J172" s="3">
        <v>0</v>
      </c>
      <c r="K172" s="3">
        <v>236.8599999999999</v>
      </c>
      <c r="L172" s="3">
        <v>236.8599999999999</v>
      </c>
      <c r="M172" s="3">
        <v>0</v>
      </c>
      <c r="N172" s="3">
        <v>1493.0500000000006</v>
      </c>
      <c r="O172" s="3">
        <v>1477.0600000000006</v>
      </c>
      <c r="P172" s="3">
        <v>-15.99</v>
      </c>
      <c r="Q172" s="3">
        <v>-16607.140000000003</v>
      </c>
      <c r="R172" s="3">
        <v>-16365.140000000003</v>
      </c>
      <c r="S172" s="3">
        <v>242</v>
      </c>
      <c r="T172" s="3">
        <v>-3.5</v>
      </c>
      <c r="U172" s="3">
        <v>-3.5</v>
      </c>
      <c r="V172" s="3">
        <v>0</v>
      </c>
      <c r="W172" s="3">
        <v>-10</v>
      </c>
      <c r="X172" s="3">
        <v>-10</v>
      </c>
      <c r="Y172" s="3">
        <v>0</v>
      </c>
      <c r="Z172" s="3">
        <v>32101.390000000032</v>
      </c>
      <c r="AA172" s="3">
        <v>32327.400000000031</v>
      </c>
      <c r="AB172" s="3">
        <v>226.01</v>
      </c>
      <c r="AC172" s="3">
        <v>11549.979999999985</v>
      </c>
      <c r="AD172" s="3">
        <v>4647.5300000000034</v>
      </c>
      <c r="AE172" s="3">
        <v>-6902.4500000000071</v>
      </c>
      <c r="AF172" s="3">
        <v>20551.410000000025</v>
      </c>
      <c r="AG172" s="3">
        <v>27679.870000000028</v>
      </c>
      <c r="AH172" s="3">
        <v>7128.4600000000064</v>
      </c>
      <c r="AI172">
        <v>-1730.5500000000004</v>
      </c>
      <c r="AJ172">
        <v>0</v>
      </c>
      <c r="AK172">
        <v>1730.5500000000004</v>
      </c>
      <c r="AL172">
        <v>22281.960000000046</v>
      </c>
      <c r="AM172">
        <v>27679.870000000028</v>
      </c>
      <c r="AN172">
        <v>5397.9100000000044</v>
      </c>
      <c r="AO172">
        <v>517</v>
      </c>
    </row>
    <row r="173" spans="1:41" x14ac:dyDescent="0.35">
      <c r="A173">
        <v>2024</v>
      </c>
      <c r="B173">
        <v>6</v>
      </c>
      <c r="C173">
        <v>26</v>
      </c>
      <c r="D173" s="1">
        <v>45469</v>
      </c>
      <c r="E173" s="2" t="s">
        <v>44</v>
      </c>
      <c r="F173" s="2" t="s">
        <v>42</v>
      </c>
      <c r="G173" s="2" t="s">
        <v>46</v>
      </c>
      <c r="H173" s="3">
        <v>57843.090000000004</v>
      </c>
      <c r="I173" s="3">
        <v>57843.090000000004</v>
      </c>
      <c r="J173" s="3">
        <v>0</v>
      </c>
      <c r="K173" s="3">
        <v>348.29999999999967</v>
      </c>
      <c r="L173" s="3">
        <v>348.29999999999967</v>
      </c>
      <c r="M173" s="3">
        <v>0</v>
      </c>
      <c r="N173" s="3">
        <v>1575.0000000000007</v>
      </c>
      <c r="O173" s="3">
        <v>1556.0100000000007</v>
      </c>
      <c r="P173" s="3">
        <v>-18.990000000000002</v>
      </c>
      <c r="Q173" s="3">
        <v>-20214.740000000002</v>
      </c>
      <c r="R173" s="3">
        <v>-19728.740000000002</v>
      </c>
      <c r="S173" s="3">
        <v>486</v>
      </c>
      <c r="T173" s="3">
        <v>-5</v>
      </c>
      <c r="U173" s="3">
        <v>-5</v>
      </c>
      <c r="V173" s="3">
        <v>0</v>
      </c>
      <c r="W173" s="3">
        <v>-15</v>
      </c>
      <c r="X173" s="3">
        <v>-15</v>
      </c>
      <c r="Y173" s="3">
        <v>0</v>
      </c>
      <c r="Z173" s="3">
        <v>39531.649999999936</v>
      </c>
      <c r="AA173" s="3">
        <v>39998.659999999931</v>
      </c>
      <c r="AB173" s="3">
        <v>467.01</v>
      </c>
      <c r="AC173" s="3">
        <v>14537.589999999969</v>
      </c>
      <c r="AD173" s="3">
        <v>10070.109999999999</v>
      </c>
      <c r="AE173" s="3">
        <v>-4467.4800000000014</v>
      </c>
      <c r="AF173" s="3">
        <v>24994.060000000052</v>
      </c>
      <c r="AG173" s="3">
        <v>29928.550000000057</v>
      </c>
      <c r="AH173" s="3">
        <v>4934.4900000000016</v>
      </c>
      <c r="AI173">
        <v>-3652.7899999999995</v>
      </c>
      <c r="AJ173">
        <v>0</v>
      </c>
      <c r="AK173">
        <v>3652.7899999999995</v>
      </c>
      <c r="AL173">
        <v>28646.850000000024</v>
      </c>
      <c r="AM173">
        <v>29928.550000000057</v>
      </c>
      <c r="AN173">
        <v>1281.7000000000003</v>
      </c>
      <c r="AO173">
        <v>657</v>
      </c>
    </row>
    <row r="174" spans="1:41" x14ac:dyDescent="0.35">
      <c r="A174">
        <v>2024</v>
      </c>
      <c r="B174">
        <v>6</v>
      </c>
      <c r="C174">
        <v>26</v>
      </c>
      <c r="D174" s="1">
        <v>45470</v>
      </c>
      <c r="E174" s="2" t="s">
        <v>44</v>
      </c>
      <c r="F174" s="2" t="s">
        <v>42</v>
      </c>
      <c r="G174" s="2" t="s">
        <v>46</v>
      </c>
      <c r="H174" s="3">
        <v>79069.700000000012</v>
      </c>
      <c r="I174" s="3">
        <v>79069.700000000012</v>
      </c>
      <c r="J174" s="3">
        <v>0</v>
      </c>
      <c r="K174" s="3">
        <v>338.1799999999991</v>
      </c>
      <c r="L174" s="3">
        <v>338.1799999999991</v>
      </c>
      <c r="M174" s="3">
        <v>0</v>
      </c>
      <c r="N174" s="3">
        <v>1912.8000000000009</v>
      </c>
      <c r="O174" s="3">
        <v>1912.8000000000009</v>
      </c>
      <c r="P174" s="3">
        <v>0</v>
      </c>
      <c r="Q174" s="3">
        <v>-27250.75</v>
      </c>
      <c r="R174" s="3">
        <v>-26696.85</v>
      </c>
      <c r="S174" s="3">
        <v>553.9</v>
      </c>
      <c r="T174" s="3">
        <v>-5.23</v>
      </c>
      <c r="U174" s="3">
        <v>-5.23</v>
      </c>
      <c r="V174" s="3">
        <v>0</v>
      </c>
      <c r="W174" s="3">
        <v>-15</v>
      </c>
      <c r="X174" s="3">
        <v>-15</v>
      </c>
      <c r="Y174" s="3">
        <v>0</v>
      </c>
      <c r="Z174" s="3">
        <v>54049.69999999983</v>
      </c>
      <c r="AA174" s="3">
        <v>54603.599999999831</v>
      </c>
      <c r="AB174" s="3">
        <v>553.9</v>
      </c>
      <c r="AC174" s="3">
        <v>20267.369999999937</v>
      </c>
      <c r="AD174" s="3">
        <v>10416.640000000003</v>
      </c>
      <c r="AE174" s="3">
        <v>-9850.7300000000032</v>
      </c>
      <c r="AF174" s="3">
        <v>33782.330000000075</v>
      </c>
      <c r="AG174" s="3">
        <v>44186.959999999934</v>
      </c>
      <c r="AH174" s="3">
        <v>10404.630000000001</v>
      </c>
      <c r="AI174">
        <v>-3397.019999999995</v>
      </c>
      <c r="AJ174">
        <v>0</v>
      </c>
      <c r="AK174">
        <v>3397.019999999995</v>
      </c>
      <c r="AL174">
        <v>37179.350000000042</v>
      </c>
      <c r="AM174">
        <v>44186.959999999934</v>
      </c>
      <c r="AN174">
        <v>7007.6100000000079</v>
      </c>
      <c r="AO174">
        <v>906</v>
      </c>
    </row>
    <row r="175" spans="1:41" x14ac:dyDescent="0.35">
      <c r="A175">
        <v>2024</v>
      </c>
      <c r="B175">
        <v>6</v>
      </c>
      <c r="C175">
        <v>26</v>
      </c>
      <c r="D175" s="1">
        <v>45471</v>
      </c>
      <c r="E175" s="2" t="s">
        <v>44</v>
      </c>
      <c r="F175" s="2" t="s">
        <v>42</v>
      </c>
      <c r="G175" s="2" t="s">
        <v>46</v>
      </c>
      <c r="H175" s="3">
        <v>77176.009999999951</v>
      </c>
      <c r="I175" s="3">
        <v>77176.009999999951</v>
      </c>
      <c r="J175" s="3">
        <v>0</v>
      </c>
      <c r="K175" s="3">
        <v>367.97999999999928</v>
      </c>
      <c r="L175" s="3">
        <v>367.97999999999928</v>
      </c>
      <c r="M175" s="3">
        <v>0</v>
      </c>
      <c r="N175" s="3">
        <v>1781.8800000000008</v>
      </c>
      <c r="O175" s="3">
        <v>1781.8800000000008</v>
      </c>
      <c r="P175" s="3">
        <v>0</v>
      </c>
      <c r="Q175" s="3">
        <v>-27259.11</v>
      </c>
      <c r="R175" s="3">
        <v>-27259.11</v>
      </c>
      <c r="S175" s="3">
        <v>0</v>
      </c>
      <c r="T175" s="3">
        <v>-0.46</v>
      </c>
      <c r="U175" s="3">
        <v>-0.46</v>
      </c>
      <c r="V175" s="3">
        <v>0</v>
      </c>
      <c r="W175" s="3">
        <v>-30.2</v>
      </c>
      <c r="X175" s="3">
        <v>-30.2</v>
      </c>
      <c r="Y175" s="3">
        <v>0</v>
      </c>
      <c r="Z175" s="3">
        <v>52036.099999999875</v>
      </c>
      <c r="AA175" s="3">
        <v>52036.099999999875</v>
      </c>
      <c r="AB175" s="3">
        <v>0</v>
      </c>
      <c r="AC175" s="3">
        <v>19981.819999999952</v>
      </c>
      <c r="AD175" s="3">
        <v>9801.7300000000032</v>
      </c>
      <c r="AE175" s="3">
        <v>-10180.089999999995</v>
      </c>
      <c r="AF175" s="3">
        <v>32054.280000000083</v>
      </c>
      <c r="AG175" s="3">
        <v>42234.369999999988</v>
      </c>
      <c r="AH175" s="3">
        <v>10180.089999999995</v>
      </c>
      <c r="AI175">
        <v>-3455.0799999999986</v>
      </c>
      <c r="AJ175">
        <v>0</v>
      </c>
      <c r="AK175">
        <v>3455.0799999999986</v>
      </c>
      <c r="AL175">
        <v>35509.360000000037</v>
      </c>
      <c r="AM175">
        <v>42234.369999999988</v>
      </c>
      <c r="AN175">
        <v>6725.0100000000093</v>
      </c>
      <c r="AO175">
        <v>859</v>
      </c>
    </row>
    <row r="176" spans="1:41" x14ac:dyDescent="0.35">
      <c r="A176">
        <v>2024</v>
      </c>
      <c r="B176">
        <v>6</v>
      </c>
      <c r="C176">
        <v>26</v>
      </c>
      <c r="D176" s="1">
        <v>45472</v>
      </c>
      <c r="E176" s="2" t="s">
        <v>44</v>
      </c>
      <c r="F176" s="2" t="s">
        <v>42</v>
      </c>
      <c r="G176" s="2" t="s">
        <v>46</v>
      </c>
      <c r="H176" s="3">
        <v>69119.78</v>
      </c>
      <c r="I176" s="3">
        <v>69119.78</v>
      </c>
      <c r="J176" s="3">
        <v>0</v>
      </c>
      <c r="K176" s="3">
        <v>351.4399999999996</v>
      </c>
      <c r="L176" s="3">
        <v>351.4399999999996</v>
      </c>
      <c r="M176" s="3">
        <v>0</v>
      </c>
      <c r="N176" s="3">
        <v>1462.0800000000006</v>
      </c>
      <c r="O176" s="3">
        <v>1462.0800000000006</v>
      </c>
      <c r="P176" s="3">
        <v>0</v>
      </c>
      <c r="Q176" s="3">
        <v>-25176.530000000002</v>
      </c>
      <c r="R176" s="3">
        <v>-24200.530000000002</v>
      </c>
      <c r="S176" s="3">
        <v>976</v>
      </c>
      <c r="T176" s="3">
        <v>-0.72</v>
      </c>
      <c r="U176" s="3">
        <v>-0.72</v>
      </c>
      <c r="V176" s="3">
        <v>0</v>
      </c>
      <c r="W176" s="3">
        <v>-29.5</v>
      </c>
      <c r="X176" s="3">
        <v>-29.5</v>
      </c>
      <c r="Y176" s="3">
        <v>0</v>
      </c>
      <c r="Z176" s="3">
        <v>45726.549999999901</v>
      </c>
      <c r="AA176" s="3">
        <v>46702.549999999908</v>
      </c>
      <c r="AB176" s="3">
        <v>976</v>
      </c>
      <c r="AC176" s="3">
        <v>17435.089999999949</v>
      </c>
      <c r="AD176" s="3">
        <v>7849.9100000000071</v>
      </c>
      <c r="AE176" s="3">
        <v>-9585.1799999999985</v>
      </c>
      <c r="AF176" s="3">
        <v>28291.460000000032</v>
      </c>
      <c r="AG176" s="3">
        <v>38852.63999999997</v>
      </c>
      <c r="AH176" s="3">
        <v>10561.179999999993</v>
      </c>
      <c r="AI176">
        <v>-2772.1099999999983</v>
      </c>
      <c r="AJ176">
        <v>0</v>
      </c>
      <c r="AK176">
        <v>2772.1099999999983</v>
      </c>
      <c r="AL176">
        <v>31063.57000000004</v>
      </c>
      <c r="AM176">
        <v>38852.63999999997</v>
      </c>
      <c r="AN176">
        <v>7789.0700000000106</v>
      </c>
      <c r="AO176">
        <v>768</v>
      </c>
    </row>
    <row r="177" spans="1:41" x14ac:dyDescent="0.35">
      <c r="A177">
        <v>2024</v>
      </c>
      <c r="B177">
        <v>6</v>
      </c>
      <c r="C177">
        <v>26</v>
      </c>
      <c r="D177" s="1">
        <v>45466</v>
      </c>
      <c r="E177" s="2" t="s">
        <v>44</v>
      </c>
      <c r="F177" s="2" t="s">
        <v>47</v>
      </c>
      <c r="G177" s="2" t="s">
        <v>48</v>
      </c>
      <c r="H177" s="3">
        <v>16932.249999999993</v>
      </c>
      <c r="I177" s="3">
        <v>16932.249999999993</v>
      </c>
      <c r="J177" s="3">
        <v>0</v>
      </c>
      <c r="K177" s="3">
        <v>538.9799999999999</v>
      </c>
      <c r="L177" s="3">
        <v>538.9799999999999</v>
      </c>
      <c r="M177" s="3">
        <v>0</v>
      </c>
      <c r="N177" s="3">
        <v>15.99</v>
      </c>
      <c r="O177" s="3">
        <v>15.99</v>
      </c>
      <c r="P177" s="3">
        <v>0</v>
      </c>
      <c r="Q177" s="3">
        <v>-3963.650000000001</v>
      </c>
      <c r="R177" s="3">
        <v>-3963.650000000001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13523.570000000002</v>
      </c>
      <c r="AA177" s="3">
        <v>13523.570000000002</v>
      </c>
      <c r="AB177" s="3">
        <v>0</v>
      </c>
      <c r="AC177" s="3">
        <v>143.38</v>
      </c>
      <c r="AD177" s="3">
        <v>37.630000000000003</v>
      </c>
      <c r="AE177" s="3">
        <v>-105.75</v>
      </c>
      <c r="AF177" s="3">
        <v>13380.190000000004</v>
      </c>
      <c r="AG177" s="3">
        <v>13485.940000000002</v>
      </c>
      <c r="AH177" s="3">
        <v>105.75000000000003</v>
      </c>
      <c r="AI177">
        <v>4277.1999999999962</v>
      </c>
      <c r="AJ177">
        <v>0</v>
      </c>
      <c r="AK177">
        <v>-4277.1999999999962</v>
      </c>
      <c r="AL177">
        <v>9102.99</v>
      </c>
      <c r="AM177">
        <v>13485.940000000002</v>
      </c>
      <c r="AN177">
        <v>4382.9499999999953</v>
      </c>
      <c r="AO177">
        <v>375</v>
      </c>
    </row>
    <row r="178" spans="1:41" x14ac:dyDescent="0.35">
      <c r="A178">
        <v>2024</v>
      </c>
      <c r="B178">
        <v>6</v>
      </c>
      <c r="C178">
        <v>26</v>
      </c>
      <c r="D178" s="1">
        <v>45467</v>
      </c>
      <c r="E178" s="2" t="s">
        <v>44</v>
      </c>
      <c r="F178" s="2" t="s">
        <v>47</v>
      </c>
      <c r="G178" s="2" t="s">
        <v>48</v>
      </c>
      <c r="H178" s="3">
        <v>16018.599999999982</v>
      </c>
      <c r="I178" s="3">
        <v>16018.599999999982</v>
      </c>
      <c r="J178" s="3">
        <v>0</v>
      </c>
      <c r="K178" s="3">
        <v>20.46</v>
      </c>
      <c r="L178" s="3">
        <v>20.46</v>
      </c>
      <c r="M178" s="3">
        <v>0</v>
      </c>
      <c r="N178" s="3">
        <v>0</v>
      </c>
      <c r="O178" s="3">
        <v>0</v>
      </c>
      <c r="P178" s="3">
        <v>0</v>
      </c>
      <c r="Q178" s="3">
        <v>-5397.8000000000102</v>
      </c>
      <c r="R178" s="3">
        <v>-5397.8000000000102</v>
      </c>
      <c r="S178" s="3">
        <v>0</v>
      </c>
      <c r="T178" s="3">
        <v>-8.75</v>
      </c>
      <c r="U178" s="3">
        <v>-8.75</v>
      </c>
      <c r="V178" s="3">
        <v>0</v>
      </c>
      <c r="W178" s="3">
        <v>0</v>
      </c>
      <c r="X178" s="3">
        <v>0</v>
      </c>
      <c r="Y178" s="3">
        <v>0</v>
      </c>
      <c r="Z178" s="3">
        <v>10632.509999999969</v>
      </c>
      <c r="AA178" s="3">
        <v>10632.509999999969</v>
      </c>
      <c r="AB178" s="3">
        <v>0</v>
      </c>
      <c r="AC178" s="3">
        <v>52.63</v>
      </c>
      <c r="AD178" s="3">
        <v>15</v>
      </c>
      <c r="AE178" s="3">
        <v>-37.630000000000003</v>
      </c>
      <c r="AF178" s="3">
        <v>10579.87999999997</v>
      </c>
      <c r="AG178" s="3">
        <v>10617.509999999969</v>
      </c>
      <c r="AH178" s="3">
        <v>37.630000000000003</v>
      </c>
      <c r="AI178">
        <v>2020.170000000003</v>
      </c>
      <c r="AJ178">
        <v>0</v>
      </c>
      <c r="AK178">
        <v>-2020.170000000003</v>
      </c>
      <c r="AL178">
        <v>8559.7099999999809</v>
      </c>
      <c r="AM178">
        <v>10617.509999999969</v>
      </c>
      <c r="AN178">
        <v>2057.8000000000029</v>
      </c>
      <c r="AO178">
        <v>295</v>
      </c>
    </row>
    <row r="179" spans="1:41" x14ac:dyDescent="0.35">
      <c r="A179">
        <v>2024</v>
      </c>
      <c r="B179">
        <v>6</v>
      </c>
      <c r="C179">
        <v>26</v>
      </c>
      <c r="D179" s="1">
        <v>45468</v>
      </c>
      <c r="E179" s="2" t="s">
        <v>44</v>
      </c>
      <c r="F179" s="2" t="s">
        <v>47</v>
      </c>
      <c r="G179" s="2" t="s">
        <v>48</v>
      </c>
      <c r="H179" s="3">
        <v>303</v>
      </c>
      <c r="I179" s="3">
        <v>303</v>
      </c>
      <c r="J179" s="3">
        <v>0</v>
      </c>
      <c r="K179" s="3">
        <v>10.46</v>
      </c>
      <c r="L179" s="3">
        <v>10.46</v>
      </c>
      <c r="M179" s="3">
        <v>0</v>
      </c>
      <c r="N179" s="3">
        <v>0</v>
      </c>
      <c r="O179" s="3">
        <v>0</v>
      </c>
      <c r="P179" s="3">
        <v>0</v>
      </c>
      <c r="Q179" s="3">
        <v>-118</v>
      </c>
      <c r="R179" s="3">
        <v>-118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195.46</v>
      </c>
      <c r="AA179" s="3">
        <v>195.46</v>
      </c>
      <c r="AB179" s="3">
        <v>0</v>
      </c>
      <c r="AC179" s="3">
        <v>45</v>
      </c>
      <c r="AD179" s="3">
        <v>30</v>
      </c>
      <c r="AE179" s="3">
        <v>-15</v>
      </c>
      <c r="AF179" s="3">
        <v>150.46</v>
      </c>
      <c r="AG179" s="3">
        <v>165.46</v>
      </c>
      <c r="AH179" s="3">
        <v>15</v>
      </c>
      <c r="AI179">
        <v>-11.120000000000001</v>
      </c>
      <c r="AJ179">
        <v>0</v>
      </c>
      <c r="AK179">
        <v>11.120000000000001</v>
      </c>
      <c r="AL179">
        <v>161.58000000000001</v>
      </c>
      <c r="AM179">
        <v>165.46</v>
      </c>
      <c r="AN179">
        <v>3.8799999999999955</v>
      </c>
      <c r="AO179">
        <v>3</v>
      </c>
    </row>
    <row r="180" spans="1:41" x14ac:dyDescent="0.35">
      <c r="A180">
        <v>2024</v>
      </c>
      <c r="B180">
        <v>6</v>
      </c>
      <c r="C180">
        <v>26</v>
      </c>
      <c r="D180" s="1">
        <v>45469</v>
      </c>
      <c r="E180" s="2" t="s">
        <v>44</v>
      </c>
      <c r="F180" s="2" t="s">
        <v>47</v>
      </c>
      <c r="G180" s="2" t="s">
        <v>48</v>
      </c>
      <c r="H180" s="3">
        <v>3866.9500000000094</v>
      </c>
      <c r="I180" s="3">
        <v>3866.9500000000094</v>
      </c>
      <c r="J180" s="3">
        <v>0</v>
      </c>
      <c r="K180" s="3">
        <v>649.05000000000007</v>
      </c>
      <c r="L180" s="3">
        <v>649.05000000000007</v>
      </c>
      <c r="M180" s="3">
        <v>0</v>
      </c>
      <c r="N180" s="3">
        <v>56.96</v>
      </c>
      <c r="O180" s="3">
        <v>56.96</v>
      </c>
      <c r="P180" s="3">
        <v>0</v>
      </c>
      <c r="Q180" s="3">
        <v>-440.1</v>
      </c>
      <c r="R180" s="3">
        <v>-468.6</v>
      </c>
      <c r="S180" s="3">
        <v>-28.5</v>
      </c>
      <c r="T180" s="3">
        <v>-10</v>
      </c>
      <c r="U180" s="3">
        <v>-10</v>
      </c>
      <c r="V180" s="3">
        <v>0</v>
      </c>
      <c r="W180" s="3">
        <v>-5</v>
      </c>
      <c r="X180" s="3">
        <v>-5</v>
      </c>
      <c r="Y180" s="3">
        <v>0</v>
      </c>
      <c r="Z180" s="3">
        <v>4117.8600000000079</v>
      </c>
      <c r="AA180" s="3">
        <v>4089.3600000000074</v>
      </c>
      <c r="AB180" s="3">
        <v>-28.5</v>
      </c>
      <c r="AC180" s="3">
        <v>172.72</v>
      </c>
      <c r="AD180" s="3">
        <v>142.72</v>
      </c>
      <c r="AE180" s="3">
        <v>-30</v>
      </c>
      <c r="AF180" s="3">
        <v>3945.1400000000067</v>
      </c>
      <c r="AG180" s="3">
        <v>3946.6400000000067</v>
      </c>
      <c r="AH180" s="3">
        <v>1.5</v>
      </c>
      <c r="AI180">
        <v>1284.6500000000003</v>
      </c>
      <c r="AJ180">
        <v>0</v>
      </c>
      <c r="AK180">
        <v>-1284.6500000000003</v>
      </c>
      <c r="AL180">
        <v>2660.4899999999993</v>
      </c>
      <c r="AM180">
        <v>3946.6400000000067</v>
      </c>
      <c r="AN180">
        <v>1286.1500000000003</v>
      </c>
      <c r="AO180">
        <v>151</v>
      </c>
    </row>
    <row r="181" spans="1:41" x14ac:dyDescent="0.35">
      <c r="A181">
        <v>2024</v>
      </c>
      <c r="B181">
        <v>6</v>
      </c>
      <c r="C181">
        <v>26</v>
      </c>
      <c r="D181" s="1">
        <v>45470</v>
      </c>
      <c r="E181" s="2" t="s">
        <v>44</v>
      </c>
      <c r="F181" s="2" t="s">
        <v>47</v>
      </c>
      <c r="G181" s="2" t="s">
        <v>48</v>
      </c>
      <c r="H181" s="3">
        <v>17620.599999999995</v>
      </c>
      <c r="I181" s="3">
        <v>17620.599999999995</v>
      </c>
      <c r="J181" s="3">
        <v>0</v>
      </c>
      <c r="K181" s="3">
        <v>1028.1000000000006</v>
      </c>
      <c r="L181" s="3">
        <v>1028.1000000000006</v>
      </c>
      <c r="M181" s="3">
        <v>0</v>
      </c>
      <c r="N181" s="3">
        <v>31.98</v>
      </c>
      <c r="O181" s="3">
        <v>31.98</v>
      </c>
      <c r="P181" s="3">
        <v>0</v>
      </c>
      <c r="Q181" s="3">
        <v>-3430.7999999999993</v>
      </c>
      <c r="R181" s="3">
        <v>-3430.7999999999993</v>
      </c>
      <c r="S181" s="3">
        <v>0</v>
      </c>
      <c r="T181" s="3">
        <v>-10</v>
      </c>
      <c r="U181" s="3">
        <v>-10</v>
      </c>
      <c r="V181" s="3">
        <v>0</v>
      </c>
      <c r="W181" s="3">
        <v>0</v>
      </c>
      <c r="X181" s="3">
        <v>0</v>
      </c>
      <c r="Y181" s="3">
        <v>0</v>
      </c>
      <c r="Z181" s="3">
        <v>15239.879999999983</v>
      </c>
      <c r="AA181" s="3">
        <v>15239.879999999983</v>
      </c>
      <c r="AB181" s="3">
        <v>0</v>
      </c>
      <c r="AC181" s="3">
        <v>157.72</v>
      </c>
      <c r="AD181" s="3">
        <v>15</v>
      </c>
      <c r="AE181" s="3">
        <v>-142.72</v>
      </c>
      <c r="AF181" s="3">
        <v>15082.159999999985</v>
      </c>
      <c r="AG181" s="3">
        <v>15224.879999999983</v>
      </c>
      <c r="AH181" s="3">
        <v>142.72</v>
      </c>
      <c r="AI181">
        <v>5513.4400000000014</v>
      </c>
      <c r="AJ181">
        <v>0</v>
      </c>
      <c r="AK181">
        <v>-5513.4400000000014</v>
      </c>
      <c r="AL181">
        <v>9568.7199999999921</v>
      </c>
      <c r="AM181">
        <v>15224.879999999983</v>
      </c>
      <c r="AN181">
        <v>5656.1600000000035</v>
      </c>
      <c r="AO181">
        <v>485</v>
      </c>
    </row>
    <row r="182" spans="1:41" x14ac:dyDescent="0.35">
      <c r="A182">
        <v>2024</v>
      </c>
      <c r="B182">
        <v>6</v>
      </c>
      <c r="C182">
        <v>26</v>
      </c>
      <c r="D182" s="1">
        <v>45471</v>
      </c>
      <c r="E182" s="2" t="s">
        <v>44</v>
      </c>
      <c r="F182" s="2" t="s">
        <v>47</v>
      </c>
      <c r="G182" s="2" t="s">
        <v>48</v>
      </c>
      <c r="H182" s="3">
        <v>9189.1999999999935</v>
      </c>
      <c r="I182" s="3">
        <v>9189.1999999999935</v>
      </c>
      <c r="J182" s="3">
        <v>0</v>
      </c>
      <c r="K182" s="3">
        <v>608.25000000000011</v>
      </c>
      <c r="L182" s="3">
        <v>608.25000000000011</v>
      </c>
      <c r="M182" s="3">
        <v>0</v>
      </c>
      <c r="N182" s="3">
        <v>15.99</v>
      </c>
      <c r="O182" s="3">
        <v>15.99</v>
      </c>
      <c r="P182" s="3">
        <v>0</v>
      </c>
      <c r="Q182" s="3">
        <v>-941.45000000000027</v>
      </c>
      <c r="R182" s="3">
        <v>-941.45000000000027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8871.9900000000143</v>
      </c>
      <c r="AA182" s="3">
        <v>8871.9900000000143</v>
      </c>
      <c r="AB182" s="3">
        <v>0</v>
      </c>
      <c r="AC182" s="3">
        <v>57.63</v>
      </c>
      <c r="AD182" s="3">
        <v>42.63</v>
      </c>
      <c r="AE182" s="3">
        <v>-15</v>
      </c>
      <c r="AF182" s="3">
        <v>8814.3600000000151</v>
      </c>
      <c r="AG182" s="3">
        <v>8829.3600000000151</v>
      </c>
      <c r="AH182" s="3">
        <v>15</v>
      </c>
      <c r="AI182">
        <v>2805.6899999999914</v>
      </c>
      <c r="AJ182">
        <v>0</v>
      </c>
      <c r="AK182">
        <v>-2805.6899999999914</v>
      </c>
      <c r="AL182">
        <v>6008.6700000000073</v>
      </c>
      <c r="AM182">
        <v>8829.3600000000151</v>
      </c>
      <c r="AN182">
        <v>2820.6899999999914</v>
      </c>
      <c r="AO182">
        <v>253</v>
      </c>
    </row>
    <row r="183" spans="1:41" x14ac:dyDescent="0.35">
      <c r="A183">
        <v>2024</v>
      </c>
      <c r="B183">
        <v>6</v>
      </c>
      <c r="C183">
        <v>26</v>
      </c>
      <c r="D183" s="1">
        <v>45472</v>
      </c>
      <c r="E183" s="2" t="s">
        <v>44</v>
      </c>
      <c r="F183" s="2" t="s">
        <v>47</v>
      </c>
      <c r="G183" s="2" t="s">
        <v>48</v>
      </c>
      <c r="H183" s="3">
        <v>26929.000000000084</v>
      </c>
      <c r="I183" s="3">
        <v>26929.000000000084</v>
      </c>
      <c r="J183" s="3">
        <v>0</v>
      </c>
      <c r="K183" s="3">
        <v>693.7</v>
      </c>
      <c r="L183" s="3">
        <v>693.7</v>
      </c>
      <c r="M183" s="3">
        <v>0</v>
      </c>
      <c r="N183" s="3">
        <v>0</v>
      </c>
      <c r="O183" s="3">
        <v>0</v>
      </c>
      <c r="P183" s="3">
        <v>0</v>
      </c>
      <c r="Q183" s="3">
        <v>-4139.5999999999985</v>
      </c>
      <c r="R183" s="3">
        <v>-4139.5999999999985</v>
      </c>
      <c r="S183" s="3">
        <v>0</v>
      </c>
      <c r="T183" s="3">
        <v>-2</v>
      </c>
      <c r="U183" s="3">
        <v>-2</v>
      </c>
      <c r="V183" s="3">
        <v>0</v>
      </c>
      <c r="W183" s="3">
        <v>0</v>
      </c>
      <c r="X183" s="3">
        <v>0</v>
      </c>
      <c r="Y183" s="3">
        <v>0</v>
      </c>
      <c r="Z183" s="3">
        <v>23481.100000000097</v>
      </c>
      <c r="AA183" s="3">
        <v>23481.100000000097</v>
      </c>
      <c r="AB183" s="3">
        <v>0</v>
      </c>
      <c r="AC183" s="3">
        <v>42.63</v>
      </c>
      <c r="AD183" s="3"/>
      <c r="AE183" s="3">
        <v>-42.63</v>
      </c>
      <c r="AF183" s="3">
        <v>23438.470000000099</v>
      </c>
      <c r="AG183" s="3">
        <v>23481.100000000097</v>
      </c>
      <c r="AH183" s="3">
        <v>42.629999999999995</v>
      </c>
      <c r="AI183">
        <v>7855.9900000000707</v>
      </c>
      <c r="AJ183">
        <v>0</v>
      </c>
      <c r="AK183">
        <v>-7855.9900000000707</v>
      </c>
      <c r="AL183">
        <v>15582.480000000061</v>
      </c>
      <c r="AM183">
        <v>23481.100000000097</v>
      </c>
      <c r="AN183">
        <v>7898.6200000000736</v>
      </c>
      <c r="AO183">
        <v>591</v>
      </c>
    </row>
    <row r="184" spans="1:41" x14ac:dyDescent="0.35">
      <c r="A184">
        <v>2024</v>
      </c>
      <c r="B184">
        <v>6</v>
      </c>
      <c r="C184">
        <v>26</v>
      </c>
      <c r="D184" s="1">
        <v>45466</v>
      </c>
      <c r="E184" s="2" t="s">
        <v>44</v>
      </c>
      <c r="F184" s="2" t="s">
        <v>47</v>
      </c>
      <c r="G184" s="2" t="s">
        <v>49</v>
      </c>
      <c r="H184" s="3">
        <v>12824.449999999993</v>
      </c>
      <c r="I184" s="3">
        <v>12824.449999999993</v>
      </c>
      <c r="J184" s="3">
        <v>0</v>
      </c>
      <c r="K184" s="3">
        <v>185.85</v>
      </c>
      <c r="L184" s="3">
        <v>185.85</v>
      </c>
      <c r="M184" s="3">
        <v>0</v>
      </c>
      <c r="N184" s="3">
        <v>225.86000000000007</v>
      </c>
      <c r="O184" s="3">
        <v>225.86000000000007</v>
      </c>
      <c r="P184" s="3">
        <v>0</v>
      </c>
      <c r="Q184" s="3">
        <v>-4657.2499999999991</v>
      </c>
      <c r="R184" s="3">
        <v>-4646.2499999999991</v>
      </c>
      <c r="S184" s="3">
        <v>11</v>
      </c>
      <c r="T184" s="3">
        <v>-5</v>
      </c>
      <c r="U184" s="3">
        <v>-5</v>
      </c>
      <c r="V184" s="3">
        <v>0</v>
      </c>
      <c r="W184" s="3">
        <v>-25.990000000000002</v>
      </c>
      <c r="X184" s="3">
        <v>-25.990000000000002</v>
      </c>
      <c r="Y184" s="3">
        <v>0</v>
      </c>
      <c r="Z184" s="3">
        <v>8547.9200000000037</v>
      </c>
      <c r="AA184" s="3">
        <v>8558.9200000000037</v>
      </c>
      <c r="AB184" s="3">
        <v>11</v>
      </c>
      <c r="AC184" s="3">
        <v>1037.97</v>
      </c>
      <c r="AD184" s="3">
        <v>612.12</v>
      </c>
      <c r="AE184" s="3">
        <v>-425.85</v>
      </c>
      <c r="AF184" s="3">
        <v>7509.9500000000053</v>
      </c>
      <c r="AG184" s="3">
        <v>7946.8000000000056</v>
      </c>
      <c r="AH184" s="3">
        <v>436.85</v>
      </c>
      <c r="AI184">
        <v>1177.1499999999999</v>
      </c>
      <c r="AJ184">
        <v>0</v>
      </c>
      <c r="AK184">
        <v>-1177.1499999999999</v>
      </c>
      <c r="AL184">
        <v>6332.8000000000011</v>
      </c>
      <c r="AM184">
        <v>7946.8000000000056</v>
      </c>
      <c r="AN184">
        <v>1613.9999999999995</v>
      </c>
      <c r="AO184">
        <v>160</v>
      </c>
    </row>
    <row r="185" spans="1:41" x14ac:dyDescent="0.35">
      <c r="A185">
        <v>2024</v>
      </c>
      <c r="B185">
        <v>6</v>
      </c>
      <c r="C185">
        <v>26</v>
      </c>
      <c r="D185" s="1">
        <v>45467</v>
      </c>
      <c r="E185" s="2" t="s">
        <v>44</v>
      </c>
      <c r="F185" s="2" t="s">
        <v>47</v>
      </c>
      <c r="G185" s="2" t="s">
        <v>49</v>
      </c>
      <c r="H185" s="3">
        <v>10825</v>
      </c>
      <c r="I185" s="3">
        <v>10825</v>
      </c>
      <c r="J185" s="3">
        <v>0</v>
      </c>
      <c r="K185" s="3">
        <v>139.62</v>
      </c>
      <c r="L185" s="3">
        <v>139.62</v>
      </c>
      <c r="M185" s="3">
        <v>0</v>
      </c>
      <c r="N185" s="3">
        <v>187.89000000000004</v>
      </c>
      <c r="O185" s="3">
        <v>187.89000000000004</v>
      </c>
      <c r="P185" s="3">
        <v>0</v>
      </c>
      <c r="Q185" s="3">
        <v>-3843.699999999998</v>
      </c>
      <c r="R185" s="3">
        <v>-3843.699999999998</v>
      </c>
      <c r="S185" s="3">
        <v>0</v>
      </c>
      <c r="T185" s="3">
        <v>-14.4</v>
      </c>
      <c r="U185" s="3">
        <v>-14.4</v>
      </c>
      <c r="V185" s="3">
        <v>0</v>
      </c>
      <c r="W185" s="3">
        <v>-20.990000000000002</v>
      </c>
      <c r="X185" s="3">
        <v>-20.990000000000002</v>
      </c>
      <c r="Y185" s="3">
        <v>0</v>
      </c>
      <c r="Z185" s="3">
        <v>7273.420000000001</v>
      </c>
      <c r="AA185" s="3">
        <v>7273.420000000001</v>
      </c>
      <c r="AB185" s="3">
        <v>0</v>
      </c>
      <c r="AC185" s="3">
        <v>636.82000000000005</v>
      </c>
      <c r="AD185" s="3">
        <v>93.08</v>
      </c>
      <c r="AE185" s="3">
        <v>-543.74</v>
      </c>
      <c r="AF185" s="3">
        <v>6636.6000000000013</v>
      </c>
      <c r="AG185" s="3">
        <v>7180.3400000000011</v>
      </c>
      <c r="AH185" s="3">
        <v>543.74</v>
      </c>
      <c r="AI185">
        <v>1312.2299999999998</v>
      </c>
      <c r="AJ185">
        <v>0</v>
      </c>
      <c r="AK185">
        <v>-1312.2299999999998</v>
      </c>
      <c r="AL185">
        <v>5324.369999999999</v>
      </c>
      <c r="AM185">
        <v>7180.3400000000011</v>
      </c>
      <c r="AN185">
        <v>1855.9699999999993</v>
      </c>
      <c r="AO185">
        <v>134</v>
      </c>
    </row>
    <row r="186" spans="1:41" x14ac:dyDescent="0.35">
      <c r="A186">
        <v>2024</v>
      </c>
      <c r="B186">
        <v>6</v>
      </c>
      <c r="C186">
        <v>26</v>
      </c>
      <c r="D186" s="1">
        <v>45468</v>
      </c>
      <c r="E186" s="2" t="s">
        <v>44</v>
      </c>
      <c r="F186" s="2" t="s">
        <v>47</v>
      </c>
      <c r="G186" s="2" t="s">
        <v>49</v>
      </c>
      <c r="H186" s="3">
        <v>1647</v>
      </c>
      <c r="I186" s="3">
        <v>1647</v>
      </c>
      <c r="J186" s="3">
        <v>0</v>
      </c>
      <c r="K186" s="3">
        <v>45.45</v>
      </c>
      <c r="L186" s="3">
        <v>45.45</v>
      </c>
      <c r="M186" s="3">
        <v>0</v>
      </c>
      <c r="N186" s="3">
        <v>117.93</v>
      </c>
      <c r="O186" s="3">
        <v>117.93</v>
      </c>
      <c r="P186" s="3">
        <v>0</v>
      </c>
      <c r="Q186" s="3">
        <v>-533.25</v>
      </c>
      <c r="R186" s="3">
        <v>-533.25</v>
      </c>
      <c r="S186" s="3">
        <v>0</v>
      </c>
      <c r="T186" s="3">
        <v>-5</v>
      </c>
      <c r="U186" s="3">
        <v>-5</v>
      </c>
      <c r="V186" s="3">
        <v>0</v>
      </c>
      <c r="W186" s="3">
        <v>-10</v>
      </c>
      <c r="X186" s="3">
        <v>-10</v>
      </c>
      <c r="Y186" s="3">
        <v>0</v>
      </c>
      <c r="Z186" s="3">
        <v>1262.1300000000001</v>
      </c>
      <c r="AA186" s="3">
        <v>1262.1300000000001</v>
      </c>
      <c r="AB186" s="3">
        <v>0</v>
      </c>
      <c r="AC186" s="3">
        <v>315.64</v>
      </c>
      <c r="AD186" s="3">
        <v>222.56</v>
      </c>
      <c r="AE186" s="3">
        <v>-93.08</v>
      </c>
      <c r="AF186" s="3">
        <v>946.49000000000012</v>
      </c>
      <c r="AG186" s="3">
        <v>1039.5700000000002</v>
      </c>
      <c r="AH186" s="3">
        <v>93.079999999999984</v>
      </c>
      <c r="AI186">
        <v>-52.940000000000005</v>
      </c>
      <c r="AJ186">
        <v>0</v>
      </c>
      <c r="AK186">
        <v>52.940000000000005</v>
      </c>
      <c r="AL186">
        <v>999.43</v>
      </c>
      <c r="AM186">
        <v>1039.5700000000002</v>
      </c>
      <c r="AN186">
        <v>40.139999999999958</v>
      </c>
      <c r="AO186">
        <v>18</v>
      </c>
    </row>
    <row r="187" spans="1:41" x14ac:dyDescent="0.35">
      <c r="A187">
        <v>2024</v>
      </c>
      <c r="B187">
        <v>6</v>
      </c>
      <c r="C187">
        <v>26</v>
      </c>
      <c r="D187" s="1">
        <v>45469</v>
      </c>
      <c r="E187" s="2" t="s">
        <v>44</v>
      </c>
      <c r="F187" s="2" t="s">
        <v>47</v>
      </c>
      <c r="G187" s="2" t="s">
        <v>49</v>
      </c>
      <c r="H187" s="3">
        <v>5844.2000000000007</v>
      </c>
      <c r="I187" s="3">
        <v>5844.2000000000007</v>
      </c>
      <c r="J187" s="3">
        <v>0</v>
      </c>
      <c r="K187" s="3">
        <v>100.8</v>
      </c>
      <c r="L187" s="3">
        <v>100.8</v>
      </c>
      <c r="M187" s="3">
        <v>0</v>
      </c>
      <c r="N187" s="3">
        <v>145.91</v>
      </c>
      <c r="O187" s="3">
        <v>145.91</v>
      </c>
      <c r="P187" s="3">
        <v>0</v>
      </c>
      <c r="Q187" s="3">
        <v>-2292.6000000000004</v>
      </c>
      <c r="R187" s="3">
        <v>-2259.6000000000004</v>
      </c>
      <c r="S187" s="3">
        <v>33</v>
      </c>
      <c r="T187" s="3">
        <v>-10</v>
      </c>
      <c r="U187" s="3">
        <v>-10</v>
      </c>
      <c r="V187" s="3">
        <v>0</v>
      </c>
      <c r="W187" s="3">
        <v>-10</v>
      </c>
      <c r="X187" s="3">
        <v>-10</v>
      </c>
      <c r="Y187" s="3">
        <v>0</v>
      </c>
      <c r="Z187" s="3">
        <v>3778.309999999999</v>
      </c>
      <c r="AA187" s="3">
        <v>3811.309999999999</v>
      </c>
      <c r="AB187" s="3">
        <v>33</v>
      </c>
      <c r="AC187" s="3">
        <v>650.25</v>
      </c>
      <c r="AD187" s="3">
        <v>427.68999999999994</v>
      </c>
      <c r="AE187" s="3">
        <v>-222.56</v>
      </c>
      <c r="AF187" s="3">
        <v>3128.0599999999981</v>
      </c>
      <c r="AG187" s="3">
        <v>3383.6199999999985</v>
      </c>
      <c r="AH187" s="3">
        <v>255.56000000000003</v>
      </c>
      <c r="AI187">
        <v>263.81000000000006</v>
      </c>
      <c r="AJ187">
        <v>0</v>
      </c>
      <c r="AK187">
        <v>-263.81000000000006</v>
      </c>
      <c r="AL187">
        <v>2864.2499999999991</v>
      </c>
      <c r="AM187">
        <v>3383.6199999999985</v>
      </c>
      <c r="AN187">
        <v>519.36999999999989</v>
      </c>
      <c r="AO187">
        <v>68</v>
      </c>
    </row>
    <row r="188" spans="1:41" x14ac:dyDescent="0.35">
      <c r="A188">
        <v>2024</v>
      </c>
      <c r="B188">
        <v>6</v>
      </c>
      <c r="C188">
        <v>26</v>
      </c>
      <c r="D188" s="1">
        <v>45470</v>
      </c>
      <c r="E188" s="2" t="s">
        <v>44</v>
      </c>
      <c r="F188" s="2" t="s">
        <v>47</v>
      </c>
      <c r="G188" s="2" t="s">
        <v>49</v>
      </c>
      <c r="H188" s="3">
        <v>13397.299999999996</v>
      </c>
      <c r="I188" s="3">
        <v>13397.299999999996</v>
      </c>
      <c r="J188" s="3">
        <v>0</v>
      </c>
      <c r="K188" s="3">
        <v>209.29999999999998</v>
      </c>
      <c r="L188" s="3">
        <v>209.29999999999998</v>
      </c>
      <c r="M188" s="3">
        <v>0</v>
      </c>
      <c r="N188" s="3">
        <v>158.9</v>
      </c>
      <c r="O188" s="3">
        <v>158.9</v>
      </c>
      <c r="P188" s="3">
        <v>0</v>
      </c>
      <c r="Q188" s="3">
        <v>-4571.1299999999965</v>
      </c>
      <c r="R188" s="3">
        <v>-4550.1299999999965</v>
      </c>
      <c r="S188" s="3">
        <v>21</v>
      </c>
      <c r="T188" s="3">
        <v>-15.5</v>
      </c>
      <c r="U188" s="3">
        <v>-15.5</v>
      </c>
      <c r="V188" s="3">
        <v>0</v>
      </c>
      <c r="W188" s="3">
        <v>-5</v>
      </c>
      <c r="X188" s="3">
        <v>-5</v>
      </c>
      <c r="Y188" s="3">
        <v>0</v>
      </c>
      <c r="Z188" s="3">
        <v>9173.8699999999953</v>
      </c>
      <c r="AA188" s="3">
        <v>9194.8699999999953</v>
      </c>
      <c r="AB188" s="3">
        <v>21</v>
      </c>
      <c r="AC188" s="3">
        <v>905.41000000000008</v>
      </c>
      <c r="AD188" s="3">
        <v>477.71999999999986</v>
      </c>
      <c r="AE188" s="3">
        <v>-427.69</v>
      </c>
      <c r="AF188" s="3">
        <v>8268.4599999999955</v>
      </c>
      <c r="AG188" s="3">
        <v>8717.1499999999978</v>
      </c>
      <c r="AH188" s="3">
        <v>448.69</v>
      </c>
      <c r="AI188">
        <v>1473.34</v>
      </c>
      <c r="AJ188">
        <v>0</v>
      </c>
      <c r="AK188">
        <v>-1473.34</v>
      </c>
      <c r="AL188">
        <v>6795.119999999999</v>
      </c>
      <c r="AM188">
        <v>8717.1499999999978</v>
      </c>
      <c r="AN188">
        <v>1922.0300000000002</v>
      </c>
      <c r="AO188">
        <v>169</v>
      </c>
    </row>
    <row r="189" spans="1:41" x14ac:dyDescent="0.35">
      <c r="A189">
        <v>2024</v>
      </c>
      <c r="B189">
        <v>6</v>
      </c>
      <c r="C189">
        <v>26</v>
      </c>
      <c r="D189" s="1">
        <v>45471</v>
      </c>
      <c r="E189" s="2" t="s">
        <v>44</v>
      </c>
      <c r="F189" s="2" t="s">
        <v>47</v>
      </c>
      <c r="G189" s="2" t="s">
        <v>49</v>
      </c>
      <c r="H189" s="3">
        <v>14781</v>
      </c>
      <c r="I189" s="3">
        <v>14781</v>
      </c>
      <c r="J189" s="3">
        <v>0</v>
      </c>
      <c r="K189" s="3">
        <v>266.64999999999998</v>
      </c>
      <c r="L189" s="3">
        <v>266.64999999999998</v>
      </c>
      <c r="M189" s="3">
        <v>0</v>
      </c>
      <c r="N189" s="3">
        <v>204.88000000000002</v>
      </c>
      <c r="O189" s="3">
        <v>204.88000000000002</v>
      </c>
      <c r="P189" s="3">
        <v>0</v>
      </c>
      <c r="Q189" s="3">
        <v>-5050.7300000000005</v>
      </c>
      <c r="R189" s="3">
        <v>-5040.7300000000005</v>
      </c>
      <c r="S189" s="3">
        <v>10</v>
      </c>
      <c r="T189" s="3">
        <v>-65.900000000000006</v>
      </c>
      <c r="U189" s="3">
        <v>-65.900000000000006</v>
      </c>
      <c r="V189" s="3">
        <v>0</v>
      </c>
      <c r="W189" s="3">
        <v>0</v>
      </c>
      <c r="X189" s="3">
        <v>0</v>
      </c>
      <c r="Y189" s="3">
        <v>0</v>
      </c>
      <c r="Z189" s="3">
        <v>10135.899999999998</v>
      </c>
      <c r="AA189" s="3">
        <v>10145.899999999998</v>
      </c>
      <c r="AB189" s="3">
        <v>10</v>
      </c>
      <c r="AC189" s="3">
        <v>907.16000000000008</v>
      </c>
      <c r="AD189" s="3">
        <v>426.09999999999997</v>
      </c>
      <c r="AE189" s="3">
        <v>-481.06000000000006</v>
      </c>
      <c r="AF189" s="3">
        <v>9228.739999999998</v>
      </c>
      <c r="AG189" s="3">
        <v>9719.7999999999975</v>
      </c>
      <c r="AH189" s="3">
        <v>491.06000000000006</v>
      </c>
      <c r="AI189">
        <v>1754.3299999999992</v>
      </c>
      <c r="AJ189">
        <v>0</v>
      </c>
      <c r="AK189">
        <v>-1754.3299999999992</v>
      </c>
      <c r="AL189">
        <v>7474.409999999998</v>
      </c>
      <c r="AM189">
        <v>9719.7999999999975</v>
      </c>
      <c r="AN189">
        <v>2245.3900000000017</v>
      </c>
      <c r="AO189">
        <v>202</v>
      </c>
    </row>
    <row r="190" spans="1:41" x14ac:dyDescent="0.35">
      <c r="A190">
        <v>2024</v>
      </c>
      <c r="B190">
        <v>6</v>
      </c>
      <c r="C190">
        <v>26</v>
      </c>
      <c r="D190" s="1">
        <v>45472</v>
      </c>
      <c r="E190" s="2" t="s">
        <v>44</v>
      </c>
      <c r="F190" s="2" t="s">
        <v>47</v>
      </c>
      <c r="G190" s="2" t="s">
        <v>49</v>
      </c>
      <c r="H190" s="3">
        <v>18191.05</v>
      </c>
      <c r="I190" s="3">
        <v>18191.05</v>
      </c>
      <c r="J190" s="3">
        <v>0</v>
      </c>
      <c r="K190" s="3">
        <v>156.74</v>
      </c>
      <c r="L190" s="3">
        <v>156.74</v>
      </c>
      <c r="M190" s="3">
        <v>0</v>
      </c>
      <c r="N190" s="3">
        <v>270.84000000000003</v>
      </c>
      <c r="O190" s="3">
        <v>270.84000000000003</v>
      </c>
      <c r="P190" s="3">
        <v>0</v>
      </c>
      <c r="Q190" s="3">
        <v>-6072.9999999999991</v>
      </c>
      <c r="R190" s="3">
        <v>-6076.7499999999991</v>
      </c>
      <c r="S190" s="3">
        <v>-3.75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12545.630000000034</v>
      </c>
      <c r="AA190" s="3">
        <v>12541.880000000034</v>
      </c>
      <c r="AB190" s="3">
        <v>-3.75</v>
      </c>
      <c r="AC190" s="3">
        <v>822.52999999999986</v>
      </c>
      <c r="AD190" s="3">
        <v>396.43</v>
      </c>
      <c r="AE190" s="3">
        <v>-426.1</v>
      </c>
      <c r="AF190" s="3">
        <v>11723.100000000037</v>
      </c>
      <c r="AG190" s="3">
        <v>12145.450000000035</v>
      </c>
      <c r="AH190" s="3">
        <v>422.35</v>
      </c>
      <c r="AI190">
        <v>2218.6200000000022</v>
      </c>
      <c r="AJ190">
        <v>0</v>
      </c>
      <c r="AK190">
        <v>-2218.6200000000022</v>
      </c>
      <c r="AL190">
        <v>9504.4799999999941</v>
      </c>
      <c r="AM190">
        <v>12145.450000000035</v>
      </c>
      <c r="AN190">
        <v>2640.970000000003</v>
      </c>
      <c r="AO190">
        <v>235</v>
      </c>
    </row>
    <row r="191" spans="1:41" x14ac:dyDescent="0.35">
      <c r="A191">
        <v>2024</v>
      </c>
      <c r="B191">
        <v>6</v>
      </c>
      <c r="C191">
        <v>26</v>
      </c>
      <c r="D191" s="1">
        <v>45466</v>
      </c>
      <c r="E191" s="2" t="s">
        <v>44</v>
      </c>
      <c r="F191" s="2" t="s">
        <v>47</v>
      </c>
      <c r="G191" s="2" t="s">
        <v>50</v>
      </c>
      <c r="H191" s="3">
        <v>40543</v>
      </c>
      <c r="I191" s="3">
        <v>40543</v>
      </c>
      <c r="J191" s="3">
        <v>0</v>
      </c>
      <c r="K191" s="3">
        <v>518.09999999999968</v>
      </c>
      <c r="L191" s="3">
        <v>518.09999999999968</v>
      </c>
      <c r="M191" s="3">
        <v>0</v>
      </c>
      <c r="N191" s="3">
        <v>1426.1800000000005</v>
      </c>
      <c r="O191" s="3">
        <v>1426.1800000000005</v>
      </c>
      <c r="P191" s="3">
        <v>0</v>
      </c>
      <c r="Q191" s="3">
        <v>-12269.13</v>
      </c>
      <c r="R191" s="3">
        <v>-11894.71</v>
      </c>
      <c r="S191" s="3">
        <v>374.42</v>
      </c>
      <c r="T191" s="3">
        <v>-35</v>
      </c>
      <c r="U191" s="3">
        <v>-35</v>
      </c>
      <c r="V191" s="3">
        <v>0</v>
      </c>
      <c r="W191" s="3">
        <v>-65.990000000000009</v>
      </c>
      <c r="X191" s="3">
        <v>-65.990000000000009</v>
      </c>
      <c r="Y191" s="3">
        <v>0</v>
      </c>
      <c r="Z191" s="3">
        <v>30117.160000000033</v>
      </c>
      <c r="AA191" s="3">
        <v>30491.580000000027</v>
      </c>
      <c r="AB191" s="3">
        <v>374.41999999999996</v>
      </c>
      <c r="AC191" s="3">
        <v>8433.6100000000079</v>
      </c>
      <c r="AD191" s="3">
        <v>4064.9600000000032</v>
      </c>
      <c r="AE191" s="3">
        <v>-4368.6500000000024</v>
      </c>
      <c r="AF191" s="3">
        <v>21683.550000000032</v>
      </c>
      <c r="AG191" s="3">
        <v>26426.620000000043</v>
      </c>
      <c r="AH191" s="3">
        <v>4743.0700000000024</v>
      </c>
      <c r="AI191">
        <v>-2125.7599999999998</v>
      </c>
      <c r="AJ191">
        <v>0</v>
      </c>
      <c r="AK191">
        <v>2125.7599999999998</v>
      </c>
      <c r="AL191">
        <v>23809.310000000027</v>
      </c>
      <c r="AM191">
        <v>26426.620000000043</v>
      </c>
      <c r="AN191">
        <v>2617.3100000000009</v>
      </c>
      <c r="AO191">
        <v>457</v>
      </c>
    </row>
    <row r="192" spans="1:41" x14ac:dyDescent="0.35">
      <c r="A192">
        <v>2024</v>
      </c>
      <c r="B192">
        <v>6</v>
      </c>
      <c r="C192">
        <v>26</v>
      </c>
      <c r="D192" s="1">
        <v>45467</v>
      </c>
      <c r="E192" s="2" t="s">
        <v>44</v>
      </c>
      <c r="F192" s="2" t="s">
        <v>47</v>
      </c>
      <c r="G192" s="2" t="s">
        <v>50</v>
      </c>
      <c r="H192" s="3">
        <v>34569</v>
      </c>
      <c r="I192" s="3">
        <v>34569</v>
      </c>
      <c r="J192" s="3">
        <v>0</v>
      </c>
      <c r="K192" s="3">
        <v>444.39999999999907</v>
      </c>
      <c r="L192" s="3">
        <v>444.39999999999907</v>
      </c>
      <c r="M192" s="3">
        <v>0</v>
      </c>
      <c r="N192" s="3">
        <v>1075.3500000000004</v>
      </c>
      <c r="O192" s="3">
        <v>1075.3500000000004</v>
      </c>
      <c r="P192" s="3">
        <v>0</v>
      </c>
      <c r="Q192" s="3">
        <v>-9994.68</v>
      </c>
      <c r="R192" s="3">
        <v>-9492.98</v>
      </c>
      <c r="S192" s="3">
        <v>501.7</v>
      </c>
      <c r="T192" s="3">
        <v>-5</v>
      </c>
      <c r="U192" s="3">
        <v>-5</v>
      </c>
      <c r="V192" s="3">
        <v>0</v>
      </c>
      <c r="W192" s="3">
        <v>-51.980000000000004</v>
      </c>
      <c r="X192" s="3">
        <v>-51.980000000000004</v>
      </c>
      <c r="Y192" s="3">
        <v>0</v>
      </c>
      <c r="Z192" s="3">
        <v>26037.090000000018</v>
      </c>
      <c r="AA192" s="3">
        <v>26538.790000000019</v>
      </c>
      <c r="AB192" s="3">
        <v>501.7</v>
      </c>
      <c r="AC192" s="3">
        <v>7889.1200000000072</v>
      </c>
      <c r="AD192" s="3">
        <v>3910.7500000000027</v>
      </c>
      <c r="AE192" s="3">
        <v>-3978.3700000000022</v>
      </c>
      <c r="AF192" s="3">
        <v>18147.970000000023</v>
      </c>
      <c r="AG192" s="3">
        <v>22628.040000000034</v>
      </c>
      <c r="AH192" s="3">
        <v>4480.0700000000024</v>
      </c>
      <c r="AI192">
        <v>-2055.0899999999992</v>
      </c>
      <c r="AJ192">
        <v>0</v>
      </c>
      <c r="AK192">
        <v>2055.0899999999992</v>
      </c>
      <c r="AL192">
        <v>20203.060000000023</v>
      </c>
      <c r="AM192">
        <v>22628.040000000034</v>
      </c>
      <c r="AN192">
        <v>2424.9800000000023</v>
      </c>
      <c r="AO192">
        <v>402</v>
      </c>
    </row>
    <row r="193" spans="1:41" x14ac:dyDescent="0.35">
      <c r="A193">
        <v>2024</v>
      </c>
      <c r="B193">
        <v>6</v>
      </c>
      <c r="C193">
        <v>26</v>
      </c>
      <c r="D193" s="1">
        <v>45468</v>
      </c>
      <c r="E193" s="2" t="s">
        <v>44</v>
      </c>
      <c r="F193" s="2" t="s">
        <v>47</v>
      </c>
      <c r="G193" s="2" t="s">
        <v>50</v>
      </c>
      <c r="H193" s="3">
        <v>30410</v>
      </c>
      <c r="I193" s="3">
        <v>30410</v>
      </c>
      <c r="J193" s="3">
        <v>0</v>
      </c>
      <c r="K193" s="3">
        <v>365.17999999999995</v>
      </c>
      <c r="L193" s="3">
        <v>377.67999999999995</v>
      </c>
      <c r="M193" s="3">
        <v>12.5</v>
      </c>
      <c r="N193" s="3">
        <v>829.50000000000034</v>
      </c>
      <c r="O193" s="3">
        <v>829.50000000000034</v>
      </c>
      <c r="P193" s="3">
        <v>0</v>
      </c>
      <c r="Q193" s="3">
        <v>-8775.4</v>
      </c>
      <c r="R193" s="3">
        <v>-8269.5</v>
      </c>
      <c r="S193" s="3">
        <v>505.9</v>
      </c>
      <c r="T193" s="3">
        <v>-5</v>
      </c>
      <c r="U193" s="3">
        <v>-5</v>
      </c>
      <c r="V193" s="3">
        <v>0</v>
      </c>
      <c r="W193" s="3">
        <v>-41.980000000000004</v>
      </c>
      <c r="X193" s="3">
        <v>-41.980000000000004</v>
      </c>
      <c r="Y193" s="3">
        <v>0</v>
      </c>
      <c r="Z193" s="3">
        <v>22782.3</v>
      </c>
      <c r="AA193" s="3">
        <v>23300.7</v>
      </c>
      <c r="AB193" s="3">
        <v>518.4</v>
      </c>
      <c r="AC193" s="3">
        <v>6771.4700000000075</v>
      </c>
      <c r="AD193" s="3">
        <v>2977.6900000000019</v>
      </c>
      <c r="AE193" s="3">
        <v>-3793.7800000000043</v>
      </c>
      <c r="AF193" s="3">
        <v>16010.830000000007</v>
      </c>
      <c r="AG193" s="3">
        <v>20323.009999999995</v>
      </c>
      <c r="AH193" s="3">
        <v>4312.1800000000039</v>
      </c>
      <c r="AI193">
        <v>-1543.9599999999998</v>
      </c>
      <c r="AJ193">
        <v>0</v>
      </c>
      <c r="AK193">
        <v>1543.9599999999998</v>
      </c>
      <c r="AL193">
        <v>17554.790000000015</v>
      </c>
      <c r="AM193">
        <v>20323.009999999995</v>
      </c>
      <c r="AN193">
        <v>2768.2200000000034</v>
      </c>
      <c r="AO193">
        <v>352</v>
      </c>
    </row>
    <row r="194" spans="1:41" x14ac:dyDescent="0.35">
      <c r="A194">
        <v>2024</v>
      </c>
      <c r="B194">
        <v>6</v>
      </c>
      <c r="C194">
        <v>26</v>
      </c>
      <c r="D194" s="1">
        <v>45469</v>
      </c>
      <c r="E194" s="2" t="s">
        <v>44</v>
      </c>
      <c r="F194" s="2" t="s">
        <v>47</v>
      </c>
      <c r="G194" s="2" t="s">
        <v>50</v>
      </c>
      <c r="H194" s="3">
        <v>37554.149999999994</v>
      </c>
      <c r="I194" s="3">
        <v>37554.149999999994</v>
      </c>
      <c r="J194" s="3">
        <v>0</v>
      </c>
      <c r="K194" s="3">
        <v>461.69999999999953</v>
      </c>
      <c r="L194" s="3">
        <v>461.69999999999953</v>
      </c>
      <c r="M194" s="3">
        <v>0</v>
      </c>
      <c r="N194" s="3">
        <v>1386.1400000000006</v>
      </c>
      <c r="O194" s="3">
        <v>1386.1400000000006</v>
      </c>
      <c r="P194" s="3">
        <v>0</v>
      </c>
      <c r="Q194" s="3">
        <v>-11055.74</v>
      </c>
      <c r="R194" s="3">
        <v>-10461.74</v>
      </c>
      <c r="S194" s="3">
        <v>594</v>
      </c>
      <c r="T194" s="3">
        <v>0</v>
      </c>
      <c r="U194" s="3">
        <v>0</v>
      </c>
      <c r="V194" s="3">
        <v>0</v>
      </c>
      <c r="W194" s="3">
        <v>-30</v>
      </c>
      <c r="X194" s="3">
        <v>-30</v>
      </c>
      <c r="Y194" s="3">
        <v>0</v>
      </c>
      <c r="Z194" s="3">
        <v>28316.250000000025</v>
      </c>
      <c r="AA194" s="3">
        <v>28910.250000000025</v>
      </c>
      <c r="AB194" s="3">
        <v>594</v>
      </c>
      <c r="AC194" s="3">
        <v>7575.3500000000067</v>
      </c>
      <c r="AD194" s="3">
        <v>4665.2900000000036</v>
      </c>
      <c r="AE194" s="3">
        <v>-2910.0600000000013</v>
      </c>
      <c r="AF194" s="3">
        <v>20740.90000000002</v>
      </c>
      <c r="AG194" s="3">
        <v>24244.960000000032</v>
      </c>
      <c r="AH194" s="3">
        <v>3504.0600000000013</v>
      </c>
      <c r="AI194">
        <v>-2321.2099999999996</v>
      </c>
      <c r="AJ194">
        <v>0</v>
      </c>
      <c r="AK194">
        <v>2321.2099999999996</v>
      </c>
      <c r="AL194">
        <v>23062.110000000004</v>
      </c>
      <c r="AM194">
        <v>24244.960000000032</v>
      </c>
      <c r="AN194">
        <v>1182.8499999999995</v>
      </c>
      <c r="AO194">
        <v>423</v>
      </c>
    </row>
    <row r="195" spans="1:41" x14ac:dyDescent="0.35">
      <c r="A195">
        <v>2024</v>
      </c>
      <c r="B195">
        <v>6</v>
      </c>
      <c r="C195">
        <v>26</v>
      </c>
      <c r="D195" s="1">
        <v>45470</v>
      </c>
      <c r="E195" s="2" t="s">
        <v>44</v>
      </c>
      <c r="F195" s="2" t="s">
        <v>47</v>
      </c>
      <c r="G195" s="2" t="s">
        <v>50</v>
      </c>
      <c r="H195" s="3">
        <v>47463.1</v>
      </c>
      <c r="I195" s="3">
        <v>47463.1</v>
      </c>
      <c r="J195" s="3">
        <v>0</v>
      </c>
      <c r="K195" s="3">
        <v>645.59999999999945</v>
      </c>
      <c r="L195" s="3">
        <v>645.59999999999945</v>
      </c>
      <c r="M195" s="3">
        <v>0</v>
      </c>
      <c r="N195" s="3">
        <v>2096.6800000000003</v>
      </c>
      <c r="O195" s="3">
        <v>2096.6800000000003</v>
      </c>
      <c r="P195" s="3">
        <v>0</v>
      </c>
      <c r="Q195" s="3">
        <v>-14279.84</v>
      </c>
      <c r="R195" s="3">
        <v>-13543.09</v>
      </c>
      <c r="S195" s="3">
        <v>736.75</v>
      </c>
      <c r="T195" s="3">
        <v>-25</v>
      </c>
      <c r="U195" s="3">
        <v>-25</v>
      </c>
      <c r="V195" s="3">
        <v>0</v>
      </c>
      <c r="W195" s="3">
        <v>-76.98</v>
      </c>
      <c r="X195" s="3">
        <v>-76.98</v>
      </c>
      <c r="Y195" s="3">
        <v>0</v>
      </c>
      <c r="Z195" s="3">
        <v>35823.560000000012</v>
      </c>
      <c r="AA195" s="3">
        <v>36560.310000000012</v>
      </c>
      <c r="AB195" s="3">
        <v>736.75</v>
      </c>
      <c r="AC195" s="3">
        <v>9966.0499999999956</v>
      </c>
      <c r="AD195" s="3">
        <v>5337.4700000000048</v>
      </c>
      <c r="AE195" s="3">
        <v>-4628.5800000000036</v>
      </c>
      <c r="AF195" s="3">
        <v>25857.51000000006</v>
      </c>
      <c r="AG195" s="3">
        <v>31222.840000000058</v>
      </c>
      <c r="AH195" s="3">
        <v>5365.3300000000036</v>
      </c>
      <c r="AI195">
        <v>-2624.5599999999968</v>
      </c>
      <c r="AJ195">
        <v>0</v>
      </c>
      <c r="AK195">
        <v>2624.5599999999968</v>
      </c>
      <c r="AL195">
        <v>28482.07000000004</v>
      </c>
      <c r="AM195">
        <v>31222.840000000058</v>
      </c>
      <c r="AN195">
        <v>2740.7700000000036</v>
      </c>
      <c r="AO195">
        <v>530</v>
      </c>
    </row>
    <row r="196" spans="1:41" x14ac:dyDescent="0.35">
      <c r="A196">
        <v>2024</v>
      </c>
      <c r="B196">
        <v>6</v>
      </c>
      <c r="C196">
        <v>26</v>
      </c>
      <c r="D196" s="1">
        <v>45471</v>
      </c>
      <c r="E196" s="2" t="s">
        <v>44</v>
      </c>
      <c r="F196" s="2" t="s">
        <v>47</v>
      </c>
      <c r="G196" s="2" t="s">
        <v>50</v>
      </c>
      <c r="H196" s="3">
        <v>47557.150000000009</v>
      </c>
      <c r="I196" s="3">
        <v>47557.150000000009</v>
      </c>
      <c r="J196" s="3">
        <v>0</v>
      </c>
      <c r="K196" s="3">
        <v>735.57999999999993</v>
      </c>
      <c r="L196" s="3">
        <v>735.57999999999993</v>
      </c>
      <c r="M196" s="3">
        <v>0</v>
      </c>
      <c r="N196" s="3">
        <v>2191.6499999999987</v>
      </c>
      <c r="O196" s="3">
        <v>2191.6499999999987</v>
      </c>
      <c r="P196" s="3">
        <v>0</v>
      </c>
      <c r="Q196" s="3">
        <v>-14115.84</v>
      </c>
      <c r="R196" s="3">
        <v>-14053.34</v>
      </c>
      <c r="S196" s="3">
        <v>62.5</v>
      </c>
      <c r="T196" s="3">
        <v>-45</v>
      </c>
      <c r="U196" s="3">
        <v>-45</v>
      </c>
      <c r="V196" s="3">
        <v>0</v>
      </c>
      <c r="W196" s="3">
        <v>-89.97</v>
      </c>
      <c r="X196" s="3">
        <v>-89.97</v>
      </c>
      <c r="Y196" s="3">
        <v>0</v>
      </c>
      <c r="Z196" s="3">
        <v>36233.569999999985</v>
      </c>
      <c r="AA196" s="3">
        <v>36296.069999999985</v>
      </c>
      <c r="AB196" s="3">
        <v>62.5</v>
      </c>
      <c r="AC196" s="3">
        <v>9863.3799999999974</v>
      </c>
      <c r="AD196" s="3">
        <v>4744.3700000000035</v>
      </c>
      <c r="AE196" s="3">
        <v>-5119.0100000000048</v>
      </c>
      <c r="AF196" s="3">
        <v>26370.190000000053</v>
      </c>
      <c r="AG196" s="3">
        <v>31551.700000000055</v>
      </c>
      <c r="AH196" s="3">
        <v>5181.5100000000039</v>
      </c>
      <c r="AI196">
        <v>-2411.3599999999992</v>
      </c>
      <c r="AJ196">
        <v>0</v>
      </c>
      <c r="AK196">
        <v>2411.3599999999992</v>
      </c>
      <c r="AL196">
        <v>28781.550000000028</v>
      </c>
      <c r="AM196">
        <v>31551.700000000055</v>
      </c>
      <c r="AN196">
        <v>2770.1500000000024</v>
      </c>
      <c r="AO196">
        <v>536</v>
      </c>
    </row>
    <row r="197" spans="1:41" x14ac:dyDescent="0.35">
      <c r="A197">
        <v>2024</v>
      </c>
      <c r="B197">
        <v>6</v>
      </c>
      <c r="C197">
        <v>26</v>
      </c>
      <c r="D197" s="1">
        <v>45472</v>
      </c>
      <c r="E197" s="2" t="s">
        <v>44</v>
      </c>
      <c r="F197" s="2" t="s">
        <v>47</v>
      </c>
      <c r="G197" s="2" t="s">
        <v>50</v>
      </c>
      <c r="H197" s="3">
        <v>45550.149999999994</v>
      </c>
      <c r="I197" s="3">
        <v>45550.149999999994</v>
      </c>
      <c r="J197" s="3">
        <v>0</v>
      </c>
      <c r="K197" s="3">
        <v>738.41999999999985</v>
      </c>
      <c r="L197" s="3">
        <v>738.41999999999985</v>
      </c>
      <c r="M197" s="3">
        <v>0</v>
      </c>
      <c r="N197" s="3">
        <v>1567.0300000000007</v>
      </c>
      <c r="O197" s="3">
        <v>1567.0300000000007</v>
      </c>
      <c r="P197" s="3">
        <v>0</v>
      </c>
      <c r="Q197" s="3">
        <v>-13772.65</v>
      </c>
      <c r="R197" s="3">
        <v>-12518.4</v>
      </c>
      <c r="S197" s="3">
        <v>1254.25</v>
      </c>
      <c r="T197" s="3">
        <v>-30</v>
      </c>
      <c r="U197" s="3">
        <v>-30</v>
      </c>
      <c r="V197" s="3">
        <v>0</v>
      </c>
      <c r="W197" s="3">
        <v>-72.97</v>
      </c>
      <c r="X197" s="3">
        <v>-72.97</v>
      </c>
      <c r="Y197" s="3">
        <v>0</v>
      </c>
      <c r="Z197" s="3">
        <v>33979.979999999989</v>
      </c>
      <c r="AA197" s="3">
        <v>35234.229999999974</v>
      </c>
      <c r="AB197" s="3">
        <v>1254.25</v>
      </c>
      <c r="AC197" s="3">
        <v>9886.3699999999953</v>
      </c>
      <c r="AD197" s="3">
        <v>5240.3800000000047</v>
      </c>
      <c r="AE197" s="3">
        <v>-4645.9900000000052</v>
      </c>
      <c r="AF197" s="3">
        <v>24093.610000000022</v>
      </c>
      <c r="AG197" s="3">
        <v>29993.850000000013</v>
      </c>
      <c r="AH197" s="3">
        <v>5900.2400000000052</v>
      </c>
      <c r="AI197">
        <v>-2764.8599999999979</v>
      </c>
      <c r="AJ197">
        <v>0</v>
      </c>
      <c r="AK197">
        <v>2764.8599999999979</v>
      </c>
      <c r="AL197">
        <v>26858.470000000016</v>
      </c>
      <c r="AM197">
        <v>29993.850000000013</v>
      </c>
      <c r="AN197">
        <v>3135.380000000006</v>
      </c>
      <c r="AO197">
        <v>523</v>
      </c>
    </row>
    <row r="198" spans="1:41" x14ac:dyDescent="0.35">
      <c r="A198">
        <v>2024</v>
      </c>
      <c r="B198">
        <v>6</v>
      </c>
      <c r="C198">
        <v>26</v>
      </c>
      <c r="D198" s="1">
        <v>45466</v>
      </c>
      <c r="E198" s="2" t="s">
        <v>44</v>
      </c>
      <c r="F198" s="2" t="s">
        <v>47</v>
      </c>
      <c r="G198" s="2" t="s">
        <v>51</v>
      </c>
      <c r="H198" s="3">
        <v>3865.6000000000004</v>
      </c>
      <c r="I198" s="3">
        <v>3865.6000000000004</v>
      </c>
      <c r="J198" s="3">
        <v>0</v>
      </c>
      <c r="K198" s="3">
        <v>30.7</v>
      </c>
      <c r="L198" s="3">
        <v>30.7</v>
      </c>
      <c r="M198" s="3">
        <v>0</v>
      </c>
      <c r="N198" s="3">
        <v>0</v>
      </c>
      <c r="O198" s="3">
        <v>0</v>
      </c>
      <c r="P198" s="3">
        <v>0</v>
      </c>
      <c r="Q198" s="3">
        <v>-1123.4499999999998</v>
      </c>
      <c r="R198" s="3">
        <v>-1123.4499999999998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2772.8500000000004</v>
      </c>
      <c r="AA198" s="3">
        <v>2772.8500000000004</v>
      </c>
      <c r="AB198" s="3">
        <v>0</v>
      </c>
      <c r="AC198" s="3">
        <v>208.02000000000007</v>
      </c>
      <c r="AD198" s="3">
        <v>92.210000000000008</v>
      </c>
      <c r="AE198" s="3">
        <v>-115.80999999999999</v>
      </c>
      <c r="AF198" s="3">
        <v>2564.8300000000008</v>
      </c>
      <c r="AG198" s="3">
        <v>2680.6400000000003</v>
      </c>
      <c r="AH198" s="3">
        <v>115.80999999999999</v>
      </c>
      <c r="AI198">
        <v>718.52999999999986</v>
      </c>
      <c r="AJ198">
        <v>40.120000000000005</v>
      </c>
      <c r="AK198">
        <v>-678.40999999999974</v>
      </c>
      <c r="AL198">
        <v>1846.2999999999993</v>
      </c>
      <c r="AM198">
        <v>2640.5200000000009</v>
      </c>
      <c r="AN198">
        <v>794.2199999999998</v>
      </c>
      <c r="AO198">
        <v>62</v>
      </c>
    </row>
    <row r="199" spans="1:41" x14ac:dyDescent="0.35">
      <c r="A199">
        <v>2024</v>
      </c>
      <c r="B199">
        <v>6</v>
      </c>
      <c r="C199">
        <v>26</v>
      </c>
      <c r="D199" s="1">
        <v>45467</v>
      </c>
      <c r="E199" s="2" t="s">
        <v>44</v>
      </c>
      <c r="F199" s="2" t="s">
        <v>47</v>
      </c>
      <c r="G199" s="2" t="s">
        <v>51</v>
      </c>
      <c r="H199" s="3">
        <v>2699.75</v>
      </c>
      <c r="I199" s="3">
        <v>2699.75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-875.24999999999989</v>
      </c>
      <c r="R199" s="3">
        <v>-875.24999999999989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1824.4999999999995</v>
      </c>
      <c r="AA199" s="3">
        <v>1824.4999999999995</v>
      </c>
      <c r="AB199" s="3">
        <v>0</v>
      </c>
      <c r="AC199" s="3">
        <v>92.210000000000008</v>
      </c>
      <c r="AD199" s="3"/>
      <c r="AE199" s="3">
        <v>-92.210000000000008</v>
      </c>
      <c r="AF199" s="3">
        <v>1732.2899999999997</v>
      </c>
      <c r="AG199" s="3">
        <v>1824.4999999999995</v>
      </c>
      <c r="AH199" s="3">
        <v>92.21</v>
      </c>
      <c r="AI199">
        <v>455.14000000000004</v>
      </c>
      <c r="AJ199">
        <v>0</v>
      </c>
      <c r="AK199">
        <v>-455.14000000000004</v>
      </c>
      <c r="AL199">
        <v>1277.1500000000001</v>
      </c>
      <c r="AM199">
        <v>1824.4999999999995</v>
      </c>
      <c r="AN199">
        <v>547.35000000000014</v>
      </c>
      <c r="AO199">
        <v>38</v>
      </c>
    </row>
    <row r="200" spans="1:41" x14ac:dyDescent="0.35">
      <c r="A200">
        <v>2024</v>
      </c>
      <c r="B200">
        <v>6</v>
      </c>
      <c r="C200">
        <v>26</v>
      </c>
      <c r="D200" s="1">
        <v>45468</v>
      </c>
      <c r="E200" s="2" t="s">
        <v>44</v>
      </c>
      <c r="F200" s="2" t="s">
        <v>47</v>
      </c>
      <c r="G200" s="2" t="s">
        <v>51</v>
      </c>
      <c r="H200" s="3">
        <v>135</v>
      </c>
      <c r="I200" s="3">
        <v>135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-29.000000000000004</v>
      </c>
      <c r="R200" s="3">
        <v>-29.000000000000004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106</v>
      </c>
      <c r="AA200" s="3">
        <v>106</v>
      </c>
      <c r="AB200" s="3">
        <v>0</v>
      </c>
      <c r="AC200" s="3"/>
      <c r="AD200" s="3"/>
      <c r="AE200" s="3">
        <v>0</v>
      </c>
      <c r="AF200" s="3">
        <v>106</v>
      </c>
      <c r="AG200" s="3">
        <v>106</v>
      </c>
      <c r="AH200" s="3">
        <v>0</v>
      </c>
      <c r="AI200">
        <v>30.24</v>
      </c>
      <c r="AJ200">
        <v>0</v>
      </c>
      <c r="AK200">
        <v>-30.24</v>
      </c>
      <c r="AL200">
        <v>75.759999999999991</v>
      </c>
      <c r="AM200">
        <v>106</v>
      </c>
      <c r="AN200">
        <v>30.240000000000002</v>
      </c>
      <c r="AO200">
        <v>2</v>
      </c>
    </row>
    <row r="201" spans="1:41" x14ac:dyDescent="0.35">
      <c r="A201">
        <v>2024</v>
      </c>
      <c r="B201">
        <v>6</v>
      </c>
      <c r="C201">
        <v>26</v>
      </c>
      <c r="D201" s="1">
        <v>45469</v>
      </c>
      <c r="E201" s="2" t="s">
        <v>44</v>
      </c>
      <c r="F201" s="2" t="s">
        <v>47</v>
      </c>
      <c r="G201" s="2" t="s">
        <v>51</v>
      </c>
      <c r="H201" s="3">
        <v>777.8</v>
      </c>
      <c r="I201" s="3">
        <v>777.8</v>
      </c>
      <c r="J201" s="3">
        <v>0</v>
      </c>
      <c r="K201" s="3">
        <v>50</v>
      </c>
      <c r="L201" s="3">
        <v>50</v>
      </c>
      <c r="M201" s="3">
        <v>0</v>
      </c>
      <c r="N201" s="3">
        <v>0</v>
      </c>
      <c r="O201" s="3">
        <v>0</v>
      </c>
      <c r="P201" s="3">
        <v>0</v>
      </c>
      <c r="Q201" s="3">
        <v>-70.550000000000011</v>
      </c>
      <c r="R201" s="3">
        <v>-70.550000000000011</v>
      </c>
      <c r="S201" s="3">
        <v>0</v>
      </c>
      <c r="T201" s="3">
        <v>-20</v>
      </c>
      <c r="U201" s="3">
        <v>-20</v>
      </c>
      <c r="V201" s="3">
        <v>0</v>
      </c>
      <c r="W201" s="3">
        <v>0</v>
      </c>
      <c r="X201" s="3">
        <v>0</v>
      </c>
      <c r="Y201" s="3">
        <v>0</v>
      </c>
      <c r="Z201" s="3">
        <v>737.25</v>
      </c>
      <c r="AA201" s="3">
        <v>737.25</v>
      </c>
      <c r="AB201" s="3">
        <v>0</v>
      </c>
      <c r="AC201" s="3"/>
      <c r="AD201" s="3"/>
      <c r="AE201" s="3">
        <v>0</v>
      </c>
      <c r="AF201" s="3">
        <v>737.25</v>
      </c>
      <c r="AG201" s="3">
        <v>737.25</v>
      </c>
      <c r="AH201" s="3">
        <v>0</v>
      </c>
      <c r="AI201">
        <v>151.77000000000001</v>
      </c>
      <c r="AJ201">
        <v>0</v>
      </c>
      <c r="AK201">
        <v>-151.77000000000001</v>
      </c>
      <c r="AL201">
        <v>585.48000000000013</v>
      </c>
      <c r="AM201">
        <v>737.25</v>
      </c>
      <c r="AN201">
        <v>151.77000000000001</v>
      </c>
      <c r="AO201">
        <v>17</v>
      </c>
    </row>
    <row r="202" spans="1:41" x14ac:dyDescent="0.35">
      <c r="A202">
        <v>2024</v>
      </c>
      <c r="B202">
        <v>6</v>
      </c>
      <c r="C202">
        <v>26</v>
      </c>
      <c r="D202" s="1">
        <v>45470</v>
      </c>
      <c r="E202" s="2" t="s">
        <v>44</v>
      </c>
      <c r="F202" s="2" t="s">
        <v>47</v>
      </c>
      <c r="G202" s="2" t="s">
        <v>51</v>
      </c>
      <c r="H202" s="3">
        <v>2574.0500000000002</v>
      </c>
      <c r="I202" s="3">
        <v>2574.0500000000002</v>
      </c>
      <c r="J202" s="3">
        <v>0</v>
      </c>
      <c r="K202" s="3">
        <v>20</v>
      </c>
      <c r="L202" s="3">
        <v>20</v>
      </c>
      <c r="M202" s="3">
        <v>0</v>
      </c>
      <c r="N202" s="3">
        <v>0</v>
      </c>
      <c r="O202" s="3">
        <v>0</v>
      </c>
      <c r="P202" s="3">
        <v>0</v>
      </c>
      <c r="Q202" s="3">
        <v>-564.05000000000007</v>
      </c>
      <c r="R202" s="3">
        <v>-564.05000000000007</v>
      </c>
      <c r="S202" s="3">
        <v>0</v>
      </c>
      <c r="T202" s="3">
        <v>-4</v>
      </c>
      <c r="U202" s="3">
        <v>-4</v>
      </c>
      <c r="V202" s="3">
        <v>0</v>
      </c>
      <c r="W202" s="3">
        <v>0</v>
      </c>
      <c r="X202" s="3">
        <v>0</v>
      </c>
      <c r="Y202" s="3">
        <v>0</v>
      </c>
      <c r="Z202" s="3">
        <v>2026.0000000000002</v>
      </c>
      <c r="AA202" s="3">
        <v>2026.0000000000002</v>
      </c>
      <c r="AB202" s="3">
        <v>0</v>
      </c>
      <c r="AC202" s="3">
        <v>20</v>
      </c>
      <c r="AD202" s="3">
        <v>20</v>
      </c>
      <c r="AE202" s="3">
        <v>0</v>
      </c>
      <c r="AF202" s="3">
        <v>2006.0000000000002</v>
      </c>
      <c r="AG202" s="3">
        <v>2006.0000000000002</v>
      </c>
      <c r="AH202" s="3">
        <v>0</v>
      </c>
      <c r="AI202">
        <v>568.91</v>
      </c>
      <c r="AJ202">
        <v>0</v>
      </c>
      <c r="AK202">
        <v>-568.91</v>
      </c>
      <c r="AL202">
        <v>1437.0900000000001</v>
      </c>
      <c r="AM202">
        <v>2006.0000000000002</v>
      </c>
      <c r="AN202">
        <v>568.91</v>
      </c>
      <c r="AO202">
        <v>46</v>
      </c>
    </row>
    <row r="203" spans="1:41" x14ac:dyDescent="0.35">
      <c r="A203">
        <v>2024</v>
      </c>
      <c r="B203">
        <v>6</v>
      </c>
      <c r="C203">
        <v>26</v>
      </c>
      <c r="D203" s="1">
        <v>45471</v>
      </c>
      <c r="E203" s="2" t="s">
        <v>44</v>
      </c>
      <c r="F203" s="2" t="s">
        <v>47</v>
      </c>
      <c r="G203" s="2" t="s">
        <v>51</v>
      </c>
      <c r="H203" s="3">
        <v>3835.8999999999996</v>
      </c>
      <c r="I203" s="3">
        <v>3835.8999999999996</v>
      </c>
      <c r="J203" s="3">
        <v>0</v>
      </c>
      <c r="K203" s="3">
        <v>20</v>
      </c>
      <c r="L203" s="3">
        <v>20</v>
      </c>
      <c r="M203" s="3">
        <v>0</v>
      </c>
      <c r="N203" s="3">
        <v>0</v>
      </c>
      <c r="O203" s="3">
        <v>0</v>
      </c>
      <c r="P203" s="3">
        <v>0</v>
      </c>
      <c r="Q203" s="3">
        <v>-940.84999999999968</v>
      </c>
      <c r="R203" s="3">
        <v>-940.84999999999968</v>
      </c>
      <c r="S203" s="3">
        <v>0</v>
      </c>
      <c r="T203" s="3">
        <v>-8</v>
      </c>
      <c r="U203" s="3">
        <v>-8</v>
      </c>
      <c r="V203" s="3">
        <v>0</v>
      </c>
      <c r="W203" s="3">
        <v>0</v>
      </c>
      <c r="X203" s="3">
        <v>0</v>
      </c>
      <c r="Y203" s="3">
        <v>0</v>
      </c>
      <c r="Z203" s="3">
        <v>2907.0499999999988</v>
      </c>
      <c r="AA203" s="3">
        <v>2907.0499999999988</v>
      </c>
      <c r="AB203" s="3">
        <v>0</v>
      </c>
      <c r="AC203" s="3">
        <v>70.75</v>
      </c>
      <c r="AD203" s="3">
        <v>50.75</v>
      </c>
      <c r="AE203" s="3">
        <v>-20</v>
      </c>
      <c r="AF203" s="3">
        <v>2836.2999999999993</v>
      </c>
      <c r="AG203" s="3">
        <v>2856.2999999999988</v>
      </c>
      <c r="AH203" s="3">
        <v>20</v>
      </c>
      <c r="AI203">
        <v>909.25999999999988</v>
      </c>
      <c r="AJ203">
        <v>0</v>
      </c>
      <c r="AK203">
        <v>-909.25999999999988</v>
      </c>
      <c r="AL203">
        <v>1927.0400000000002</v>
      </c>
      <c r="AM203">
        <v>2856.2999999999988</v>
      </c>
      <c r="AN203">
        <v>929.25999999999988</v>
      </c>
      <c r="AO203">
        <v>65</v>
      </c>
    </row>
    <row r="204" spans="1:41" x14ac:dyDescent="0.35">
      <c r="A204">
        <v>2024</v>
      </c>
      <c r="B204">
        <v>6</v>
      </c>
      <c r="C204">
        <v>26</v>
      </c>
      <c r="D204" s="1">
        <v>45472</v>
      </c>
      <c r="E204" s="2" t="s">
        <v>44</v>
      </c>
      <c r="F204" s="2" t="s">
        <v>47</v>
      </c>
      <c r="G204" s="2" t="s">
        <v>51</v>
      </c>
      <c r="H204" s="3">
        <v>5950.4000000000005</v>
      </c>
      <c r="I204" s="3">
        <v>5950.4000000000005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-1531.8500000000004</v>
      </c>
      <c r="R204" s="3">
        <v>-1531.8500000000004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4418.5499999999993</v>
      </c>
      <c r="AA204" s="3">
        <v>4418.5499999999993</v>
      </c>
      <c r="AB204" s="3">
        <v>0</v>
      </c>
      <c r="AC204" s="3">
        <v>81.5</v>
      </c>
      <c r="AD204" s="3">
        <v>30.75</v>
      </c>
      <c r="AE204" s="3">
        <v>-50.75</v>
      </c>
      <c r="AF204" s="3">
        <v>4337.0499999999993</v>
      </c>
      <c r="AG204" s="3">
        <v>4387.7999999999993</v>
      </c>
      <c r="AH204" s="3">
        <v>50.75</v>
      </c>
      <c r="AI204">
        <v>1023.5600000000007</v>
      </c>
      <c r="AJ204">
        <v>0</v>
      </c>
      <c r="AK204">
        <v>-1023.5600000000007</v>
      </c>
      <c r="AL204">
        <v>3313.4899999999993</v>
      </c>
      <c r="AM204">
        <v>4387.7999999999993</v>
      </c>
      <c r="AN204">
        <v>1074.3100000000011</v>
      </c>
      <c r="AO204">
        <v>104</v>
      </c>
    </row>
    <row r="205" spans="1:41" x14ac:dyDescent="0.35">
      <c r="A205">
        <v>2024</v>
      </c>
      <c r="B205">
        <v>6</v>
      </c>
      <c r="C205">
        <v>27</v>
      </c>
      <c r="D205" s="1">
        <v>45473</v>
      </c>
      <c r="E205" s="2" t="s">
        <v>41</v>
      </c>
      <c r="F205" s="2" t="s">
        <v>42</v>
      </c>
      <c r="G205" s="2" t="s">
        <v>43</v>
      </c>
      <c r="H205" s="3">
        <v>101830.5</v>
      </c>
      <c r="I205" s="3">
        <v>101830.5</v>
      </c>
      <c r="J205" s="3">
        <v>0</v>
      </c>
      <c r="K205" s="3">
        <v>1150.3400000000127</v>
      </c>
      <c r="L205" s="3">
        <v>1150.3400000000127</v>
      </c>
      <c r="M205" s="3">
        <v>0</v>
      </c>
      <c r="N205" s="3">
        <v>1851.690000000001</v>
      </c>
      <c r="O205" s="3">
        <v>1851.690000000001</v>
      </c>
      <c r="P205" s="3">
        <v>0</v>
      </c>
      <c r="Q205" s="3">
        <v>-8871.380000000001</v>
      </c>
      <c r="R205" s="3">
        <v>-8004.38</v>
      </c>
      <c r="S205" s="3">
        <v>867</v>
      </c>
      <c r="T205" s="3">
        <v>-2.0900000000000003</v>
      </c>
      <c r="U205" s="3">
        <v>-2.5500000000000003</v>
      </c>
      <c r="V205" s="3">
        <v>-0.46</v>
      </c>
      <c r="W205" s="3">
        <v>-50</v>
      </c>
      <c r="X205" s="3">
        <v>-50</v>
      </c>
      <c r="Y205" s="3">
        <v>0</v>
      </c>
      <c r="Z205" s="3">
        <v>95909.060000000347</v>
      </c>
      <c r="AA205" s="3">
        <v>96775.60000000037</v>
      </c>
      <c r="AB205" s="3">
        <v>866.54</v>
      </c>
      <c r="AC205" s="3">
        <v>39512.539999999753</v>
      </c>
      <c r="AD205" s="3">
        <v>6974.8600000000133</v>
      </c>
      <c r="AE205" s="3">
        <v>-32537.679999999749</v>
      </c>
      <c r="AF205" s="3">
        <v>56396.519999999873</v>
      </c>
      <c r="AG205" s="3">
        <v>89800.740000000238</v>
      </c>
      <c r="AH205" s="3">
        <v>33404.219999999747</v>
      </c>
      <c r="AI205">
        <v>-3368.220000000003</v>
      </c>
      <c r="AJ205">
        <v>0</v>
      </c>
      <c r="AK205">
        <v>3368.220000000003</v>
      </c>
      <c r="AL205">
        <v>59764.739999999918</v>
      </c>
      <c r="AM205">
        <v>89800.740000000238</v>
      </c>
      <c r="AN205">
        <v>30035.999999999785</v>
      </c>
      <c r="AO205">
        <v>1783</v>
      </c>
    </row>
    <row r="206" spans="1:41" x14ac:dyDescent="0.35">
      <c r="A206">
        <v>2024</v>
      </c>
      <c r="B206">
        <v>6</v>
      </c>
      <c r="C206">
        <v>27</v>
      </c>
      <c r="D206" s="1">
        <v>45473</v>
      </c>
      <c r="E206" s="2" t="s">
        <v>44</v>
      </c>
      <c r="F206" s="2" t="s">
        <v>42</v>
      </c>
      <c r="G206" s="2" t="s">
        <v>45</v>
      </c>
      <c r="H206" s="3">
        <v>90712</v>
      </c>
      <c r="I206" s="3">
        <v>90712</v>
      </c>
      <c r="J206" s="3">
        <v>0</v>
      </c>
      <c r="K206" s="3">
        <v>696.7700000000001</v>
      </c>
      <c r="L206" s="3">
        <v>696.7700000000001</v>
      </c>
      <c r="M206" s="3">
        <v>0</v>
      </c>
      <c r="N206" s="3">
        <v>3185.9299999999853</v>
      </c>
      <c r="O206" s="3">
        <v>3169.9399999999855</v>
      </c>
      <c r="P206" s="3">
        <v>-15.99</v>
      </c>
      <c r="Q206" s="3">
        <v>-14160</v>
      </c>
      <c r="R206" s="3">
        <v>-13477.75</v>
      </c>
      <c r="S206" s="3">
        <v>682.25</v>
      </c>
      <c r="T206" s="3">
        <v>-6.48</v>
      </c>
      <c r="U206" s="3">
        <v>-6.48</v>
      </c>
      <c r="V206" s="3">
        <v>0</v>
      </c>
      <c r="W206" s="3">
        <v>-45.49</v>
      </c>
      <c r="X206" s="3">
        <v>-45.49</v>
      </c>
      <c r="Y206" s="3">
        <v>0</v>
      </c>
      <c r="Z206" s="3">
        <v>80382.729999999923</v>
      </c>
      <c r="AA206" s="3">
        <v>81048.989999999947</v>
      </c>
      <c r="AB206" s="3">
        <v>666.26</v>
      </c>
      <c r="AC206" s="3">
        <v>24988.089999999935</v>
      </c>
      <c r="AD206" s="3">
        <v>4156.5100000000029</v>
      </c>
      <c r="AE206" s="3">
        <v>-20831.579999999947</v>
      </c>
      <c r="AF206" s="3">
        <v>55394.640000000021</v>
      </c>
      <c r="AG206" s="3">
        <v>76892.479999999909</v>
      </c>
      <c r="AH206" s="3">
        <v>21497.839999999946</v>
      </c>
      <c r="AI206">
        <v>-2021.1000000000001</v>
      </c>
      <c r="AJ206">
        <v>0</v>
      </c>
      <c r="AK206">
        <v>2021.1000000000001</v>
      </c>
      <c r="AL206">
        <v>57415.739999999976</v>
      </c>
      <c r="AM206">
        <v>76892.479999999909</v>
      </c>
      <c r="AN206">
        <v>19476.739999999958</v>
      </c>
      <c r="AO206">
        <v>1173</v>
      </c>
    </row>
    <row r="207" spans="1:41" x14ac:dyDescent="0.35">
      <c r="A207">
        <v>2024</v>
      </c>
      <c r="B207">
        <v>6</v>
      </c>
      <c r="C207">
        <v>27</v>
      </c>
      <c r="D207" s="1">
        <v>45473</v>
      </c>
      <c r="E207" s="2" t="s">
        <v>44</v>
      </c>
      <c r="F207" s="2" t="s">
        <v>42</v>
      </c>
      <c r="G207" s="2" t="s">
        <v>46</v>
      </c>
      <c r="H207" s="3">
        <v>36819.07</v>
      </c>
      <c r="I207" s="3">
        <v>36819.07</v>
      </c>
      <c r="J207" s="3">
        <v>0</v>
      </c>
      <c r="K207" s="3">
        <v>165.15000000000006</v>
      </c>
      <c r="L207" s="3">
        <v>165.15000000000006</v>
      </c>
      <c r="M207" s="3">
        <v>0</v>
      </c>
      <c r="N207" s="3">
        <v>859.47000000000037</v>
      </c>
      <c r="O207" s="3">
        <v>859.47000000000037</v>
      </c>
      <c r="P207" s="3">
        <v>0</v>
      </c>
      <c r="Q207" s="3">
        <v>-13005.92</v>
      </c>
      <c r="R207" s="3">
        <v>-12564.92</v>
      </c>
      <c r="S207" s="3">
        <v>441</v>
      </c>
      <c r="T207" s="3">
        <v>-0.49</v>
      </c>
      <c r="U207" s="3">
        <v>-0.49</v>
      </c>
      <c r="V207" s="3">
        <v>0</v>
      </c>
      <c r="W207" s="3">
        <v>-11.6</v>
      </c>
      <c r="X207" s="3">
        <v>-11.6</v>
      </c>
      <c r="Y207" s="3">
        <v>0</v>
      </c>
      <c r="Z207" s="3">
        <v>24825.679999999982</v>
      </c>
      <c r="AA207" s="3">
        <v>25266.679999999986</v>
      </c>
      <c r="AB207" s="3">
        <v>441</v>
      </c>
      <c r="AC207" s="3">
        <v>9247.5700000000033</v>
      </c>
      <c r="AD207" s="3">
        <v>1600.7900000000004</v>
      </c>
      <c r="AE207" s="3">
        <v>-7646.7800000000061</v>
      </c>
      <c r="AF207" s="3">
        <v>15578.10999999999</v>
      </c>
      <c r="AG207" s="3">
        <v>23665.889999999981</v>
      </c>
      <c r="AH207" s="3">
        <v>8087.7800000000061</v>
      </c>
      <c r="AI207">
        <v>-690.9200000000003</v>
      </c>
      <c r="AJ207">
        <v>0</v>
      </c>
      <c r="AK207">
        <v>690.9200000000003</v>
      </c>
      <c r="AL207">
        <v>16269.029999999986</v>
      </c>
      <c r="AM207">
        <v>23665.889999999981</v>
      </c>
      <c r="AN207">
        <v>7396.8600000000097</v>
      </c>
      <c r="AO207">
        <v>405</v>
      </c>
    </row>
    <row r="208" spans="1:41" x14ac:dyDescent="0.35">
      <c r="A208">
        <v>2024</v>
      </c>
      <c r="B208">
        <v>6</v>
      </c>
      <c r="C208">
        <v>27</v>
      </c>
      <c r="D208" s="1">
        <v>45473</v>
      </c>
      <c r="E208" s="2" t="s">
        <v>44</v>
      </c>
      <c r="F208" s="2" t="s">
        <v>47</v>
      </c>
      <c r="G208" s="2" t="s">
        <v>48</v>
      </c>
      <c r="H208" s="3">
        <v>133.1</v>
      </c>
      <c r="I208" s="3">
        <v>133.1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-45.6</v>
      </c>
      <c r="R208" s="3">
        <v>-45.6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87.5</v>
      </c>
      <c r="AA208" s="3">
        <v>87.5</v>
      </c>
      <c r="AB208" s="3">
        <v>0</v>
      </c>
      <c r="AC208" s="3"/>
      <c r="AD208" s="3"/>
      <c r="AE208" s="3">
        <v>0</v>
      </c>
      <c r="AF208" s="3">
        <v>87.5</v>
      </c>
      <c r="AG208" s="3">
        <v>87.5</v>
      </c>
      <c r="AH208" s="3">
        <v>0</v>
      </c>
      <c r="AI208">
        <v>23.75</v>
      </c>
      <c r="AJ208">
        <v>0</v>
      </c>
      <c r="AK208">
        <v>-23.75</v>
      </c>
      <c r="AL208">
        <v>63.75</v>
      </c>
      <c r="AM208">
        <v>87.5</v>
      </c>
      <c r="AN208">
        <v>23.75</v>
      </c>
      <c r="AO208">
        <v>3</v>
      </c>
    </row>
    <row r="209" spans="1:41" x14ac:dyDescent="0.35">
      <c r="A209">
        <v>2024</v>
      </c>
      <c r="B209">
        <v>6</v>
      </c>
      <c r="C209">
        <v>27</v>
      </c>
      <c r="D209" s="1">
        <v>45473</v>
      </c>
      <c r="E209" s="2" t="s">
        <v>44</v>
      </c>
      <c r="F209" s="2" t="s">
        <v>47</v>
      </c>
      <c r="G209" s="2" t="s">
        <v>49</v>
      </c>
      <c r="H209" s="3">
        <v>3428</v>
      </c>
      <c r="I209" s="3">
        <v>3428</v>
      </c>
      <c r="J209" s="3">
        <v>0</v>
      </c>
      <c r="K209" s="3">
        <v>25.14</v>
      </c>
      <c r="L209" s="3">
        <v>25.14</v>
      </c>
      <c r="M209" s="3">
        <v>0</v>
      </c>
      <c r="N209" s="3">
        <v>111.92999999999999</v>
      </c>
      <c r="O209" s="3">
        <v>111.92999999999999</v>
      </c>
      <c r="P209" s="3">
        <v>0</v>
      </c>
      <c r="Q209" s="3">
        <v>-1097.1000000000008</v>
      </c>
      <c r="R209" s="3">
        <v>-1075.1000000000008</v>
      </c>
      <c r="S209" s="3">
        <v>22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2467.9699999999998</v>
      </c>
      <c r="AA209" s="3">
        <v>2489.9699999999998</v>
      </c>
      <c r="AB209" s="3">
        <v>22</v>
      </c>
      <c r="AC209" s="3">
        <v>421.34</v>
      </c>
      <c r="AD209" s="3">
        <v>30</v>
      </c>
      <c r="AE209" s="3">
        <v>-391.34000000000003</v>
      </c>
      <c r="AF209" s="3">
        <v>2046.6299999999992</v>
      </c>
      <c r="AG209" s="3">
        <v>2459.9699999999993</v>
      </c>
      <c r="AH209" s="3">
        <v>413.34</v>
      </c>
      <c r="AI209">
        <v>451.85999999999984</v>
      </c>
      <c r="AJ209">
        <v>0</v>
      </c>
      <c r="AK209">
        <v>-451.85999999999984</v>
      </c>
      <c r="AL209">
        <v>1594.7700000000011</v>
      </c>
      <c r="AM209">
        <v>2459.9699999999993</v>
      </c>
      <c r="AN209">
        <v>865.19999999999948</v>
      </c>
      <c r="AO209">
        <v>44</v>
      </c>
    </row>
    <row r="210" spans="1:41" x14ac:dyDescent="0.35">
      <c r="A210">
        <v>2024</v>
      </c>
      <c r="B210">
        <v>6</v>
      </c>
      <c r="C210">
        <v>27</v>
      </c>
      <c r="D210" s="1">
        <v>45473</v>
      </c>
      <c r="E210" s="2" t="s">
        <v>44</v>
      </c>
      <c r="F210" s="2" t="s">
        <v>47</v>
      </c>
      <c r="G210" s="2" t="s">
        <v>50</v>
      </c>
      <c r="H210" s="3">
        <v>26852</v>
      </c>
      <c r="I210" s="3">
        <v>26852</v>
      </c>
      <c r="J210" s="3">
        <v>0</v>
      </c>
      <c r="K210" s="3">
        <v>491.96999999999895</v>
      </c>
      <c r="L210" s="3">
        <v>491.96999999999895</v>
      </c>
      <c r="M210" s="3">
        <v>0</v>
      </c>
      <c r="N210" s="3">
        <v>1064.3500000000004</v>
      </c>
      <c r="O210" s="3">
        <v>1064.3500000000004</v>
      </c>
      <c r="P210" s="3">
        <v>0</v>
      </c>
      <c r="Q210" s="3">
        <v>-7607.1500000000005</v>
      </c>
      <c r="R210" s="3">
        <v>-7441.1500000000005</v>
      </c>
      <c r="S210" s="3">
        <v>166</v>
      </c>
      <c r="T210" s="3">
        <v>-15</v>
      </c>
      <c r="U210" s="3">
        <v>-15</v>
      </c>
      <c r="V210" s="3">
        <v>0</v>
      </c>
      <c r="W210" s="3">
        <v>-49.980000000000004</v>
      </c>
      <c r="X210" s="3">
        <v>-49.980000000000004</v>
      </c>
      <c r="Y210" s="3">
        <v>0</v>
      </c>
      <c r="Z210" s="3">
        <v>20736.19000000001</v>
      </c>
      <c r="AA210" s="3">
        <v>20902.19000000001</v>
      </c>
      <c r="AB210" s="3">
        <v>166</v>
      </c>
      <c r="AC210" s="3">
        <v>6217.2400000000052</v>
      </c>
      <c r="AD210" s="3">
        <v>1038.9100000000001</v>
      </c>
      <c r="AE210" s="3">
        <v>-5178.3300000000045</v>
      </c>
      <c r="AF210" s="3">
        <v>14518.950000000019</v>
      </c>
      <c r="AG210" s="3">
        <v>19863.28000000001</v>
      </c>
      <c r="AH210" s="3">
        <v>5344.3300000000054</v>
      </c>
      <c r="AI210">
        <v>-538.86</v>
      </c>
      <c r="AJ210">
        <v>0</v>
      </c>
      <c r="AK210">
        <v>538.86</v>
      </c>
      <c r="AL210">
        <v>15057.810000000021</v>
      </c>
      <c r="AM210">
        <v>19863.28000000001</v>
      </c>
      <c r="AN210">
        <v>4805.4700000000048</v>
      </c>
      <c r="AO210">
        <v>311</v>
      </c>
    </row>
    <row r="211" spans="1:41" x14ac:dyDescent="0.35">
      <c r="A211">
        <v>2024</v>
      </c>
      <c r="B211">
        <v>6</v>
      </c>
      <c r="C211">
        <v>27</v>
      </c>
      <c r="D211" s="1">
        <v>45473</v>
      </c>
      <c r="E211" s="2" t="s">
        <v>44</v>
      </c>
      <c r="F211" s="2" t="s">
        <v>47</v>
      </c>
      <c r="G211" s="2" t="s">
        <v>51</v>
      </c>
      <c r="H211" s="3">
        <v>111</v>
      </c>
      <c r="I211" s="3">
        <v>111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-22.8</v>
      </c>
      <c r="R211" s="3">
        <v>-22.8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88.2</v>
      </c>
      <c r="AA211" s="3">
        <v>88.2</v>
      </c>
      <c r="AB211" s="3">
        <v>0</v>
      </c>
      <c r="AC211" s="3">
        <v>30.75</v>
      </c>
      <c r="AD211" s="3"/>
      <c r="AE211" s="3">
        <v>-30.75</v>
      </c>
      <c r="AF211" s="3">
        <v>57.45</v>
      </c>
      <c r="AG211" s="3">
        <v>88.2</v>
      </c>
      <c r="AH211" s="3">
        <v>30.75</v>
      </c>
      <c r="AI211">
        <v>15.3</v>
      </c>
      <c r="AJ211">
        <v>0</v>
      </c>
      <c r="AK211">
        <v>-15.3</v>
      </c>
      <c r="AL211">
        <v>42.150000000000006</v>
      </c>
      <c r="AM211">
        <v>88.2</v>
      </c>
      <c r="AN211">
        <v>46.05</v>
      </c>
      <c r="AO2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18"/>
  <sheetViews>
    <sheetView workbookViewId="0"/>
  </sheetViews>
  <sheetFormatPr defaultRowHeight="14.5" x14ac:dyDescent="0.35"/>
  <cols>
    <col min="1" max="3" width="13" customWidth="1"/>
    <col min="4" max="4" width="12" customWidth="1"/>
    <col min="5" max="5" width="13" customWidth="1"/>
    <col min="6" max="6" width="8" customWidth="1"/>
    <col min="7" max="7" width="12" customWidth="1"/>
    <col min="8" max="19" width="13" customWidth="1"/>
    <col min="20" max="20" width="16" customWidth="1"/>
    <col min="21" max="21" width="17" customWidth="1"/>
    <col min="22" max="22" width="16" customWidth="1"/>
    <col min="23" max="28" width="13" customWidth="1"/>
    <col min="29" max="29" width="18" customWidth="1"/>
    <col min="30" max="30" width="19" customWidth="1"/>
    <col min="31" max="31" width="18" customWidth="1"/>
    <col min="32" max="41" width="13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2024</v>
      </c>
      <c r="B2">
        <v>5</v>
      </c>
      <c r="C2">
        <v>18</v>
      </c>
      <c r="D2" s="14">
        <v>45413</v>
      </c>
      <c r="E2" t="s">
        <v>41</v>
      </c>
      <c r="F2" t="s">
        <v>42</v>
      </c>
      <c r="G2" t="s">
        <v>43</v>
      </c>
      <c r="H2">
        <v>83719.25</v>
      </c>
      <c r="I2">
        <v>83719.25</v>
      </c>
      <c r="J2">
        <v>0</v>
      </c>
      <c r="K2">
        <v>949.37000000000455</v>
      </c>
      <c r="L2">
        <v>949.37000000000455</v>
      </c>
      <c r="M2">
        <v>0</v>
      </c>
      <c r="N2">
        <v>2133.41</v>
      </c>
      <c r="O2">
        <v>2133.41</v>
      </c>
      <c r="P2">
        <v>0</v>
      </c>
      <c r="Q2">
        <v>-8817.880000000001</v>
      </c>
      <c r="R2">
        <v>-7968.22</v>
      </c>
      <c r="S2">
        <v>849.66</v>
      </c>
      <c r="T2">
        <v>-3.89</v>
      </c>
      <c r="U2">
        <v>-3.89</v>
      </c>
      <c r="V2">
        <v>0</v>
      </c>
      <c r="W2">
        <v>-35</v>
      </c>
      <c r="X2">
        <v>-35</v>
      </c>
      <c r="Y2">
        <v>0</v>
      </c>
      <c r="Z2">
        <v>77945.25999999998</v>
      </c>
      <c r="AA2">
        <v>78794.920000000013</v>
      </c>
      <c r="AB2">
        <v>849.66</v>
      </c>
      <c r="AC2">
        <v>24353.989999999772</v>
      </c>
      <c r="AD2">
        <v>14310.359999999966</v>
      </c>
      <c r="AE2">
        <v>-10043.630000000017</v>
      </c>
      <c r="AF2">
        <v>53591.270000000215</v>
      </c>
      <c r="AG2">
        <v>64484.559999999925</v>
      </c>
      <c r="AH2">
        <v>10893.290000000008</v>
      </c>
      <c r="AI2">
        <v>-7391.6299999999919</v>
      </c>
      <c r="AJ2">
        <v>0</v>
      </c>
      <c r="AK2">
        <v>7391.6299999999919</v>
      </c>
      <c r="AL2">
        <v>60982.90000000022</v>
      </c>
      <c r="AM2">
        <v>64484.559999999925</v>
      </c>
      <c r="AN2">
        <v>3501.660000000024</v>
      </c>
      <c r="AO2">
        <v>1451</v>
      </c>
    </row>
    <row r="3" spans="1:41" x14ac:dyDescent="0.35">
      <c r="A3">
        <v>2024</v>
      </c>
      <c r="B3">
        <v>5</v>
      </c>
      <c r="C3">
        <v>18</v>
      </c>
      <c r="D3" s="14">
        <v>45414</v>
      </c>
      <c r="E3" t="s">
        <v>41</v>
      </c>
      <c r="F3" t="s">
        <v>42</v>
      </c>
      <c r="G3" t="s">
        <v>43</v>
      </c>
      <c r="H3">
        <v>81129.25</v>
      </c>
      <c r="I3">
        <v>81129.25</v>
      </c>
      <c r="J3">
        <v>0</v>
      </c>
      <c r="K3">
        <v>999.19000000000642</v>
      </c>
      <c r="L3">
        <v>999.19000000000642</v>
      </c>
      <c r="M3">
        <v>0</v>
      </c>
      <c r="N3">
        <v>1908.5400000000011</v>
      </c>
      <c r="O3">
        <v>1908.5400000000011</v>
      </c>
      <c r="P3">
        <v>0</v>
      </c>
      <c r="Q3">
        <v>-8422.27</v>
      </c>
      <c r="R3">
        <v>-7492.2700000000013</v>
      </c>
      <c r="S3">
        <v>930</v>
      </c>
      <c r="T3">
        <v>-1.0900000000000001</v>
      </c>
      <c r="U3">
        <v>-1.0900000000000001</v>
      </c>
      <c r="V3">
        <v>0</v>
      </c>
      <c r="W3">
        <v>-70</v>
      </c>
      <c r="X3">
        <v>-70</v>
      </c>
      <c r="Y3">
        <v>0</v>
      </c>
      <c r="Z3">
        <v>75543.619999999893</v>
      </c>
      <c r="AA3">
        <v>76473.619999999908</v>
      </c>
      <c r="AB3">
        <v>930</v>
      </c>
      <c r="AC3">
        <v>23290.969999999779</v>
      </c>
      <c r="AD3">
        <v>9208.5600000000231</v>
      </c>
      <c r="AE3">
        <v>-14082.409999999982</v>
      </c>
      <c r="AF3">
        <v>52252.650000000111</v>
      </c>
      <c r="AG3">
        <v>67265.059999999808</v>
      </c>
      <c r="AH3">
        <v>15012.409999999978</v>
      </c>
      <c r="AI3">
        <v>-4753.5999999999967</v>
      </c>
      <c r="AJ3">
        <v>0</v>
      </c>
      <c r="AK3">
        <v>4753.5999999999967</v>
      </c>
      <c r="AL3">
        <v>57006.250000000124</v>
      </c>
      <c r="AM3">
        <v>67265.059999999808</v>
      </c>
      <c r="AN3">
        <v>10258.81</v>
      </c>
      <c r="AO3">
        <v>1395</v>
      </c>
    </row>
    <row r="4" spans="1:41" x14ac:dyDescent="0.35">
      <c r="A4">
        <v>2024</v>
      </c>
      <c r="B4">
        <v>5</v>
      </c>
      <c r="C4">
        <v>18</v>
      </c>
      <c r="D4" s="14">
        <v>45415</v>
      </c>
      <c r="E4" t="s">
        <v>41</v>
      </c>
      <c r="F4" t="s">
        <v>42</v>
      </c>
      <c r="G4" t="s">
        <v>43</v>
      </c>
      <c r="H4">
        <v>72246.5</v>
      </c>
      <c r="I4">
        <v>72246.5</v>
      </c>
      <c r="J4">
        <v>0</v>
      </c>
      <c r="K4">
        <v>1002.4300000000046</v>
      </c>
      <c r="L4">
        <v>1009.4300000000053</v>
      </c>
      <c r="M4">
        <v>7</v>
      </c>
      <c r="N4">
        <v>2113.48</v>
      </c>
      <c r="O4">
        <v>2113.48</v>
      </c>
      <c r="P4">
        <v>0</v>
      </c>
      <c r="Q4">
        <v>-7585.8000000000011</v>
      </c>
      <c r="R4">
        <v>-7235.0500000000011</v>
      </c>
      <c r="S4">
        <v>350.75</v>
      </c>
      <c r="T4">
        <v>-0.23</v>
      </c>
      <c r="U4">
        <v>-0.69000000000000006</v>
      </c>
      <c r="V4">
        <v>-0.46</v>
      </c>
      <c r="W4">
        <v>-75</v>
      </c>
      <c r="X4">
        <v>-75</v>
      </c>
      <c r="Y4">
        <v>0</v>
      </c>
      <c r="Z4">
        <v>67701.379999999641</v>
      </c>
      <c r="AA4">
        <v>68058.669999999649</v>
      </c>
      <c r="AB4">
        <v>357.28999999999996</v>
      </c>
      <c r="AC4">
        <v>19201.619999999886</v>
      </c>
      <c r="AD4">
        <v>10096.210000000012</v>
      </c>
      <c r="AE4">
        <v>-9105.4100000000271</v>
      </c>
      <c r="AF4">
        <v>48499.760000000191</v>
      </c>
      <c r="AG4">
        <v>57962.45999999989</v>
      </c>
      <c r="AH4">
        <v>9462.7000000000226</v>
      </c>
      <c r="AI4">
        <v>-5143.45</v>
      </c>
      <c r="AJ4">
        <v>0</v>
      </c>
      <c r="AK4">
        <v>5143.45</v>
      </c>
      <c r="AL4">
        <v>53643.210000000086</v>
      </c>
      <c r="AM4">
        <v>57962.45999999989</v>
      </c>
      <c r="AN4">
        <v>4319.2500000000155</v>
      </c>
      <c r="AO4">
        <v>1255</v>
      </c>
    </row>
    <row r="5" spans="1:41" x14ac:dyDescent="0.35">
      <c r="A5">
        <v>2024</v>
      </c>
      <c r="B5">
        <v>5</v>
      </c>
      <c r="C5">
        <v>18</v>
      </c>
      <c r="D5" s="14">
        <v>45416</v>
      </c>
      <c r="E5" t="s">
        <v>41</v>
      </c>
      <c r="F5" t="s">
        <v>42</v>
      </c>
      <c r="G5" t="s">
        <v>43</v>
      </c>
      <c r="H5">
        <v>82763.25</v>
      </c>
      <c r="I5">
        <v>82763.25</v>
      </c>
      <c r="J5">
        <v>0</v>
      </c>
      <c r="K5">
        <v>1025.7500000000073</v>
      </c>
      <c r="L5">
        <v>1018.7500000000073</v>
      </c>
      <c r="M5">
        <v>-7</v>
      </c>
      <c r="N5">
        <v>2302.299999999997</v>
      </c>
      <c r="O5">
        <v>2302.299999999997</v>
      </c>
      <c r="P5">
        <v>0</v>
      </c>
      <c r="Q5">
        <v>-8864.7000000000007</v>
      </c>
      <c r="R5">
        <v>-7895.7000000000007</v>
      </c>
      <c r="S5">
        <v>969</v>
      </c>
      <c r="T5">
        <v>-2.4700000000000002</v>
      </c>
      <c r="U5">
        <v>-2.4700000000000002</v>
      </c>
      <c r="V5">
        <v>0</v>
      </c>
      <c r="W5">
        <v>-35</v>
      </c>
      <c r="X5">
        <v>-35</v>
      </c>
      <c r="Y5">
        <v>0</v>
      </c>
      <c r="Z5">
        <v>77189.129999999932</v>
      </c>
      <c r="AA5">
        <v>78151.129999999976</v>
      </c>
      <c r="AB5">
        <v>962</v>
      </c>
      <c r="AC5">
        <v>22479.749999999811</v>
      </c>
      <c r="AD5">
        <v>12457.680000000004</v>
      </c>
      <c r="AE5">
        <v>-10022.070000000014</v>
      </c>
      <c r="AF5">
        <v>54756.270000000179</v>
      </c>
      <c r="AG5">
        <v>65740.339999999836</v>
      </c>
      <c r="AH5">
        <v>10984.070000000005</v>
      </c>
      <c r="AI5">
        <v>-6386.1399999999903</v>
      </c>
      <c r="AJ5">
        <v>0</v>
      </c>
      <c r="AK5">
        <v>6386.1399999999903</v>
      </c>
      <c r="AL5">
        <v>61142.410000000185</v>
      </c>
      <c r="AM5">
        <v>65740.339999999836</v>
      </c>
      <c r="AN5">
        <v>4597.9300000000194</v>
      </c>
      <c r="AO5">
        <v>1445</v>
      </c>
    </row>
    <row r="6" spans="1:41" x14ac:dyDescent="0.35">
      <c r="A6">
        <v>2024</v>
      </c>
      <c r="B6">
        <v>5</v>
      </c>
      <c r="C6">
        <v>18</v>
      </c>
      <c r="D6" s="14">
        <v>45413</v>
      </c>
      <c r="E6" t="s">
        <v>44</v>
      </c>
      <c r="F6" t="s">
        <v>42</v>
      </c>
      <c r="G6" t="s">
        <v>45</v>
      </c>
      <c r="H6">
        <v>97486</v>
      </c>
      <c r="I6">
        <v>97486</v>
      </c>
      <c r="J6">
        <v>0</v>
      </c>
      <c r="K6">
        <v>732.09000000000026</v>
      </c>
      <c r="L6">
        <v>732.09000000000026</v>
      </c>
      <c r="M6">
        <v>0</v>
      </c>
      <c r="N6">
        <v>4029.3499999999726</v>
      </c>
      <c r="O6">
        <v>4029.3499999999726</v>
      </c>
      <c r="P6">
        <v>0</v>
      </c>
      <c r="Q6">
        <v>-16256</v>
      </c>
      <c r="R6">
        <v>-15826</v>
      </c>
      <c r="S6">
        <v>430</v>
      </c>
      <c r="T6">
        <v>-8.15</v>
      </c>
      <c r="U6">
        <v>-8.15</v>
      </c>
      <c r="V6">
        <v>0</v>
      </c>
      <c r="W6">
        <v>-74.5</v>
      </c>
      <c r="X6">
        <v>-74.5</v>
      </c>
      <c r="Y6">
        <v>0</v>
      </c>
      <c r="Z6">
        <v>85908.789999999979</v>
      </c>
      <c r="AA6">
        <v>86338.790000000008</v>
      </c>
      <c r="AB6">
        <v>430</v>
      </c>
      <c r="AC6">
        <v>17047.669999999907</v>
      </c>
      <c r="AD6">
        <v>10402.180000000006</v>
      </c>
      <c r="AE6">
        <v>-6645.490000000018</v>
      </c>
      <c r="AF6">
        <v>68861.120000000083</v>
      </c>
      <c r="AG6">
        <v>75936.61000000003</v>
      </c>
      <c r="AH6">
        <v>7075.490000000018</v>
      </c>
      <c r="AI6">
        <v>-5430.6900000000014</v>
      </c>
      <c r="AJ6">
        <v>0</v>
      </c>
      <c r="AK6">
        <v>5430.6900000000014</v>
      </c>
      <c r="AL6">
        <v>74291.809999999969</v>
      </c>
      <c r="AM6">
        <v>75936.61000000003</v>
      </c>
      <c r="AN6">
        <v>1644.8000000000022</v>
      </c>
      <c r="AO6">
        <v>1252</v>
      </c>
    </row>
    <row r="7" spans="1:41" x14ac:dyDescent="0.35">
      <c r="A7">
        <v>2024</v>
      </c>
      <c r="B7">
        <v>5</v>
      </c>
      <c r="C7">
        <v>18</v>
      </c>
      <c r="D7" s="14">
        <v>45414</v>
      </c>
      <c r="E7" t="s">
        <v>44</v>
      </c>
      <c r="F7" t="s">
        <v>42</v>
      </c>
      <c r="G7" t="s">
        <v>45</v>
      </c>
      <c r="H7">
        <v>96558.82</v>
      </c>
      <c r="I7">
        <v>96558.82</v>
      </c>
      <c r="J7">
        <v>0</v>
      </c>
      <c r="K7">
        <v>737.42000000000326</v>
      </c>
      <c r="L7">
        <v>737.42000000000326</v>
      </c>
      <c r="M7">
        <v>0</v>
      </c>
      <c r="N7">
        <v>4461.9299999999648</v>
      </c>
      <c r="O7">
        <v>4442.939999999965</v>
      </c>
      <c r="P7">
        <v>-18.990000000000002</v>
      </c>
      <c r="Q7">
        <v>-16506.07</v>
      </c>
      <c r="R7">
        <v>-16178.07</v>
      </c>
      <c r="S7">
        <v>328</v>
      </c>
      <c r="T7">
        <v>-5.9500000000000011</v>
      </c>
      <c r="U7">
        <v>-5.9500000000000011</v>
      </c>
      <c r="V7">
        <v>0</v>
      </c>
      <c r="W7">
        <v>-103.18</v>
      </c>
      <c r="X7">
        <v>-103.18</v>
      </c>
      <c r="Y7">
        <v>0</v>
      </c>
      <c r="Z7">
        <v>85142.970000000088</v>
      </c>
      <c r="AA7">
        <v>85451.980000000098</v>
      </c>
      <c r="AB7">
        <v>309.01</v>
      </c>
      <c r="AC7">
        <v>18618.859999999862</v>
      </c>
      <c r="AD7">
        <v>8446.5800000000218</v>
      </c>
      <c r="AE7">
        <v>-10172.279999999997</v>
      </c>
      <c r="AF7">
        <v>66524.110000000146</v>
      </c>
      <c r="AG7">
        <v>77005.400000000009</v>
      </c>
      <c r="AH7">
        <v>10481.289999999994</v>
      </c>
      <c r="AI7">
        <v>-4390.9699999999993</v>
      </c>
      <c r="AJ7">
        <v>0</v>
      </c>
      <c r="AK7">
        <v>4390.9699999999993</v>
      </c>
      <c r="AL7">
        <v>70915.080000000162</v>
      </c>
      <c r="AM7">
        <v>77005.400000000009</v>
      </c>
      <c r="AN7">
        <v>6090.3200000000397</v>
      </c>
      <c r="AO7">
        <v>1253</v>
      </c>
    </row>
    <row r="8" spans="1:41" x14ac:dyDescent="0.35">
      <c r="A8">
        <v>2024</v>
      </c>
      <c r="B8">
        <v>5</v>
      </c>
      <c r="C8">
        <v>18</v>
      </c>
      <c r="D8" s="14">
        <v>45415</v>
      </c>
      <c r="E8" t="s">
        <v>44</v>
      </c>
      <c r="F8" t="s">
        <v>42</v>
      </c>
      <c r="G8" t="s">
        <v>45</v>
      </c>
      <c r="H8">
        <v>106346.57</v>
      </c>
      <c r="I8">
        <v>106346.57</v>
      </c>
      <c r="J8">
        <v>0</v>
      </c>
      <c r="K8">
        <v>819.79</v>
      </c>
      <c r="L8">
        <v>819.79</v>
      </c>
      <c r="M8">
        <v>0</v>
      </c>
      <c r="N8">
        <v>5454.3599999999515</v>
      </c>
      <c r="O8">
        <v>5419.3799999999519</v>
      </c>
      <c r="P8">
        <v>-34.980000000000004</v>
      </c>
      <c r="Q8">
        <v>-17961.82</v>
      </c>
      <c r="R8">
        <v>-17714.22</v>
      </c>
      <c r="S8">
        <v>247.6</v>
      </c>
      <c r="T8">
        <v>-5.42</v>
      </c>
      <c r="U8">
        <v>-5.42</v>
      </c>
      <c r="V8">
        <v>0</v>
      </c>
      <c r="W8">
        <v>-107.99</v>
      </c>
      <c r="X8">
        <v>-107.99</v>
      </c>
      <c r="Y8">
        <v>0</v>
      </c>
      <c r="Z8">
        <v>94545.490000000311</v>
      </c>
      <c r="AA8">
        <v>94758.110000000335</v>
      </c>
      <c r="AB8">
        <v>212.62</v>
      </c>
      <c r="AC8">
        <v>17943.529999999904</v>
      </c>
      <c r="AD8">
        <v>9648.5000000000018</v>
      </c>
      <c r="AE8">
        <v>-8295.0300000000243</v>
      </c>
      <c r="AF8">
        <v>76601.960000000079</v>
      </c>
      <c r="AG8">
        <v>85109.609999999986</v>
      </c>
      <c r="AH8">
        <v>8507.6500000000215</v>
      </c>
      <c r="AI8">
        <v>-5056.3199999999943</v>
      </c>
      <c r="AJ8">
        <v>0</v>
      </c>
      <c r="AK8">
        <v>5056.3199999999943</v>
      </c>
      <c r="AL8">
        <v>81658.280000000042</v>
      </c>
      <c r="AM8">
        <v>85109.609999999986</v>
      </c>
      <c r="AN8">
        <v>3451.3300000000145</v>
      </c>
      <c r="AO8">
        <v>1377</v>
      </c>
    </row>
    <row r="9" spans="1:41" x14ac:dyDescent="0.35">
      <c r="A9">
        <v>2024</v>
      </c>
      <c r="B9">
        <v>5</v>
      </c>
      <c r="C9">
        <v>18</v>
      </c>
      <c r="D9" s="14">
        <v>45416</v>
      </c>
      <c r="E9" t="s">
        <v>44</v>
      </c>
      <c r="F9" t="s">
        <v>42</v>
      </c>
      <c r="G9" t="s">
        <v>45</v>
      </c>
      <c r="H9">
        <v>112391</v>
      </c>
      <c r="I9">
        <v>112391</v>
      </c>
      <c r="J9">
        <v>0</v>
      </c>
      <c r="K9">
        <v>765.78000000000043</v>
      </c>
      <c r="L9">
        <v>765.78000000000043</v>
      </c>
      <c r="M9">
        <v>0</v>
      </c>
      <c r="N9">
        <v>5512.2399999999498</v>
      </c>
      <c r="O9">
        <v>5493.24999999995</v>
      </c>
      <c r="P9">
        <v>-18.990000000000002</v>
      </c>
      <c r="Q9">
        <v>-19195.349999999999</v>
      </c>
      <c r="R9">
        <v>-18643.349999999999</v>
      </c>
      <c r="S9">
        <v>552</v>
      </c>
      <c r="T9">
        <v>-2.27</v>
      </c>
      <c r="U9">
        <v>-2.27</v>
      </c>
      <c r="V9">
        <v>0</v>
      </c>
      <c r="W9">
        <v>-72.080000000000013</v>
      </c>
      <c r="X9">
        <v>-72.080000000000013</v>
      </c>
      <c r="Y9">
        <v>0</v>
      </c>
      <c r="Z9">
        <v>99399.32000000056</v>
      </c>
      <c r="AA9">
        <v>99932.330000000569</v>
      </c>
      <c r="AB9">
        <v>533.01</v>
      </c>
      <c r="AC9">
        <v>19384.86999999989</v>
      </c>
      <c r="AD9">
        <v>9802.5000000000018</v>
      </c>
      <c r="AE9">
        <v>-9582.3700000000063</v>
      </c>
      <c r="AF9">
        <v>80014.450000000346</v>
      </c>
      <c r="AG9">
        <v>90129.830000000336</v>
      </c>
      <c r="AH9">
        <v>10115.380000000001</v>
      </c>
      <c r="AI9">
        <v>-5237.9299999999921</v>
      </c>
      <c r="AJ9">
        <v>0</v>
      </c>
      <c r="AK9">
        <v>5237.9299999999921</v>
      </c>
      <c r="AL9">
        <v>85252.380000000296</v>
      </c>
      <c r="AM9">
        <v>90129.830000000336</v>
      </c>
      <c r="AN9">
        <v>4877.4500000000189</v>
      </c>
      <c r="AO9">
        <v>1463</v>
      </c>
    </row>
    <row r="10" spans="1:41" x14ac:dyDescent="0.35">
      <c r="A10">
        <v>2024</v>
      </c>
      <c r="B10">
        <v>5</v>
      </c>
      <c r="C10">
        <v>18</v>
      </c>
      <c r="D10" s="14">
        <v>45413</v>
      </c>
      <c r="E10" t="s">
        <v>44</v>
      </c>
      <c r="F10" t="s">
        <v>42</v>
      </c>
      <c r="G10" t="s">
        <v>46</v>
      </c>
      <c r="H10">
        <v>30638.989999999976</v>
      </c>
      <c r="I10">
        <v>30638.989999999976</v>
      </c>
      <c r="J10">
        <v>0</v>
      </c>
      <c r="K10">
        <v>172.87999999999991</v>
      </c>
      <c r="L10">
        <v>177.87999999999997</v>
      </c>
      <c r="M10">
        <v>5</v>
      </c>
      <c r="N10">
        <v>794.48000000000036</v>
      </c>
      <c r="O10">
        <v>794.48000000000036</v>
      </c>
      <c r="P10">
        <v>0</v>
      </c>
      <c r="Q10">
        <v>-10700.319999999989</v>
      </c>
      <c r="R10">
        <v>-10516.319999999987</v>
      </c>
      <c r="S10">
        <v>184</v>
      </c>
      <c r="T10">
        <v>0</v>
      </c>
      <c r="U10">
        <v>0</v>
      </c>
      <c r="V10">
        <v>0</v>
      </c>
      <c r="W10">
        <v>-5</v>
      </c>
      <c r="X10">
        <v>-5</v>
      </c>
      <c r="Y10">
        <v>0</v>
      </c>
      <c r="Z10">
        <v>20901.029999999977</v>
      </c>
      <c r="AA10">
        <v>21090.029999999977</v>
      </c>
      <c r="AB10">
        <v>189</v>
      </c>
      <c r="AC10">
        <v>5594.8500000000122</v>
      </c>
      <c r="AD10">
        <v>3799.1800000000071</v>
      </c>
      <c r="AE10">
        <v>-1795.6699999999992</v>
      </c>
      <c r="AF10">
        <v>15306.180000000008</v>
      </c>
      <c r="AG10">
        <v>17290.850000000006</v>
      </c>
      <c r="AH10">
        <v>1984.6699999999994</v>
      </c>
      <c r="AI10">
        <v>-1084.1799999999996</v>
      </c>
      <c r="AJ10">
        <v>0</v>
      </c>
      <c r="AK10">
        <v>1084.1799999999996</v>
      </c>
      <c r="AL10">
        <v>16390.36</v>
      </c>
      <c r="AM10">
        <v>17290.850000000006</v>
      </c>
      <c r="AN10">
        <v>900.49000000000024</v>
      </c>
      <c r="AO10">
        <v>363</v>
      </c>
    </row>
    <row r="11" spans="1:41" x14ac:dyDescent="0.35">
      <c r="A11">
        <v>2024</v>
      </c>
      <c r="B11">
        <v>5</v>
      </c>
      <c r="C11">
        <v>18</v>
      </c>
      <c r="D11" s="14">
        <v>45414</v>
      </c>
      <c r="E11" t="s">
        <v>44</v>
      </c>
      <c r="F11" t="s">
        <v>42</v>
      </c>
      <c r="G11" t="s">
        <v>46</v>
      </c>
      <c r="H11">
        <v>40230.299999999959</v>
      </c>
      <c r="I11">
        <v>40230.299999999959</v>
      </c>
      <c r="J11">
        <v>0</v>
      </c>
      <c r="K11">
        <v>281.44</v>
      </c>
      <c r="L11">
        <v>281.44</v>
      </c>
      <c r="M11">
        <v>0</v>
      </c>
      <c r="N11">
        <v>959.38000000000045</v>
      </c>
      <c r="O11">
        <v>959.38000000000045</v>
      </c>
      <c r="P11">
        <v>0</v>
      </c>
      <c r="Q11">
        <v>-14159.579999999971</v>
      </c>
      <c r="R11">
        <v>-13885.579999999971</v>
      </c>
      <c r="S11">
        <v>274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27311.539999999994</v>
      </c>
      <c r="AA11">
        <v>27585.539999999994</v>
      </c>
      <c r="AB11">
        <v>274</v>
      </c>
      <c r="AC11">
        <v>8055.880000000021</v>
      </c>
      <c r="AD11">
        <v>4356.4600000000082</v>
      </c>
      <c r="AE11">
        <v>-3699.4200000000064</v>
      </c>
      <c r="AF11">
        <v>19255.66000000004</v>
      </c>
      <c r="AG11">
        <v>23229.08000000002</v>
      </c>
      <c r="AH11">
        <v>3973.4200000000064</v>
      </c>
      <c r="AI11">
        <v>-1103.1699999999996</v>
      </c>
      <c r="AJ11">
        <v>0</v>
      </c>
      <c r="AK11">
        <v>1103.1699999999996</v>
      </c>
      <c r="AL11">
        <v>20358.829999999994</v>
      </c>
      <c r="AM11">
        <v>23229.08000000002</v>
      </c>
      <c r="AN11">
        <v>2870.2500000000023</v>
      </c>
      <c r="AO11">
        <v>479</v>
      </c>
    </row>
    <row r="12" spans="1:41" x14ac:dyDescent="0.35">
      <c r="A12">
        <v>2024</v>
      </c>
      <c r="B12">
        <v>5</v>
      </c>
      <c r="C12">
        <v>18</v>
      </c>
      <c r="D12" s="14">
        <v>45415</v>
      </c>
      <c r="E12" t="s">
        <v>44</v>
      </c>
      <c r="F12" t="s">
        <v>42</v>
      </c>
      <c r="G12" t="s">
        <v>46</v>
      </c>
      <c r="H12">
        <v>48901.839999999946</v>
      </c>
      <c r="I12">
        <v>48901.839999999946</v>
      </c>
      <c r="J12">
        <v>0</v>
      </c>
      <c r="K12">
        <v>335.79999999999978</v>
      </c>
      <c r="L12">
        <v>320.79999999999984</v>
      </c>
      <c r="M12">
        <v>-15</v>
      </c>
      <c r="N12">
        <v>1142.2800000000004</v>
      </c>
      <c r="O12">
        <v>1142.2800000000004</v>
      </c>
      <c r="P12">
        <v>0</v>
      </c>
      <c r="Q12">
        <v>-17181.729999999956</v>
      </c>
      <c r="R12">
        <v>-17174.729999999956</v>
      </c>
      <c r="S12">
        <v>7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33198.190000000017</v>
      </c>
      <c r="AA12">
        <v>33190.190000000017</v>
      </c>
      <c r="AB12">
        <v>-8</v>
      </c>
      <c r="AC12">
        <v>9641.4500000000062</v>
      </c>
      <c r="AD12">
        <v>5425.2700000000123</v>
      </c>
      <c r="AE12">
        <v>-4216.1800000000103</v>
      </c>
      <c r="AF12">
        <v>23556.740000000082</v>
      </c>
      <c r="AG12">
        <v>27764.920000000064</v>
      </c>
      <c r="AH12">
        <v>4208.1800000000103</v>
      </c>
      <c r="AI12">
        <v>-1472.2099999999989</v>
      </c>
      <c r="AJ12">
        <v>0</v>
      </c>
      <c r="AK12">
        <v>1472.2099999999989</v>
      </c>
      <c r="AL12">
        <v>25028.950000000052</v>
      </c>
      <c r="AM12">
        <v>27764.920000000064</v>
      </c>
      <c r="AN12">
        <v>2735.9700000000066</v>
      </c>
      <c r="AO12">
        <v>579</v>
      </c>
    </row>
    <row r="13" spans="1:41" x14ac:dyDescent="0.35">
      <c r="A13">
        <v>2024</v>
      </c>
      <c r="B13">
        <v>5</v>
      </c>
      <c r="C13">
        <v>18</v>
      </c>
      <c r="D13" s="14">
        <v>45416</v>
      </c>
      <c r="E13" t="s">
        <v>44</v>
      </c>
      <c r="F13" t="s">
        <v>42</v>
      </c>
      <c r="G13" t="s">
        <v>46</v>
      </c>
      <c r="H13">
        <v>44379.669999999969</v>
      </c>
      <c r="I13">
        <v>44379.669999999969</v>
      </c>
      <c r="J13">
        <v>0</v>
      </c>
      <c r="K13">
        <v>218.19000000000008</v>
      </c>
      <c r="L13">
        <v>218.19000000000008</v>
      </c>
      <c r="M13">
        <v>0</v>
      </c>
      <c r="N13">
        <v>1263.2100000000005</v>
      </c>
      <c r="O13">
        <v>1282.2000000000005</v>
      </c>
      <c r="P13">
        <v>18.990000000000002</v>
      </c>
      <c r="Q13">
        <v>-15559.059999999974</v>
      </c>
      <c r="R13">
        <v>-15159.059999999974</v>
      </c>
      <c r="S13">
        <v>400</v>
      </c>
      <c r="T13">
        <v>0</v>
      </c>
      <c r="U13">
        <v>0</v>
      </c>
      <c r="V13">
        <v>0</v>
      </c>
      <c r="W13">
        <v>-15</v>
      </c>
      <c r="X13">
        <v>-15</v>
      </c>
      <c r="Y13">
        <v>0</v>
      </c>
      <c r="Z13">
        <v>30287.010000000006</v>
      </c>
      <c r="AA13">
        <v>30706.000000000004</v>
      </c>
      <c r="AB13">
        <v>418.99</v>
      </c>
      <c r="AC13">
        <v>9028.54000000001</v>
      </c>
      <c r="AD13">
        <v>3681.9400000000055</v>
      </c>
      <c r="AE13">
        <v>-5346.6000000000131</v>
      </c>
      <c r="AF13">
        <v>21258.470000000056</v>
      </c>
      <c r="AG13">
        <v>27024.060000000023</v>
      </c>
      <c r="AH13">
        <v>5765.5900000000129</v>
      </c>
      <c r="AI13">
        <v>-1007.29</v>
      </c>
      <c r="AJ13">
        <v>0</v>
      </c>
      <c r="AK13">
        <v>1007.29</v>
      </c>
      <c r="AL13">
        <v>22265.760000000031</v>
      </c>
      <c r="AM13">
        <v>27024.060000000023</v>
      </c>
      <c r="AN13">
        <v>4758.3000000000075</v>
      </c>
      <c r="AO13">
        <v>526</v>
      </c>
    </row>
    <row r="14" spans="1:41" x14ac:dyDescent="0.35">
      <c r="A14">
        <v>2024</v>
      </c>
      <c r="B14">
        <v>5</v>
      </c>
      <c r="C14">
        <v>18</v>
      </c>
      <c r="D14" s="14">
        <v>45413</v>
      </c>
      <c r="E14" t="s">
        <v>44</v>
      </c>
      <c r="F14" t="s">
        <v>47</v>
      </c>
      <c r="G14" t="s">
        <v>48</v>
      </c>
      <c r="H14">
        <v>3492.3600000000069</v>
      </c>
      <c r="I14">
        <v>3492.3600000000069</v>
      </c>
      <c r="J14">
        <v>0</v>
      </c>
      <c r="K14">
        <v>862.4400000000004</v>
      </c>
      <c r="L14">
        <v>862.4400000000004</v>
      </c>
      <c r="M14">
        <v>0</v>
      </c>
      <c r="N14">
        <v>36.970000000000006</v>
      </c>
      <c r="O14">
        <v>36.970000000000006</v>
      </c>
      <c r="P14">
        <v>0</v>
      </c>
      <c r="Q14">
        <v>-144.30000000000001</v>
      </c>
      <c r="R14">
        <v>-144.30000000000001</v>
      </c>
      <c r="S14">
        <v>0</v>
      </c>
      <c r="T14">
        <v>-5</v>
      </c>
      <c r="U14">
        <v>-5</v>
      </c>
      <c r="V14">
        <v>0</v>
      </c>
      <c r="W14">
        <v>0</v>
      </c>
      <c r="X14">
        <v>0</v>
      </c>
      <c r="Y14">
        <v>0</v>
      </c>
      <c r="Z14">
        <v>4242.4700000000048</v>
      </c>
      <c r="AA14">
        <v>4242.4700000000048</v>
      </c>
      <c r="AB14">
        <v>0</v>
      </c>
      <c r="AC14">
        <v>25.85</v>
      </c>
      <c r="AD14">
        <v>25.85</v>
      </c>
      <c r="AE14">
        <v>0</v>
      </c>
      <c r="AF14">
        <v>4216.6200000000053</v>
      </c>
      <c r="AG14">
        <v>4216.6200000000053</v>
      </c>
      <c r="AH14">
        <v>0</v>
      </c>
      <c r="AI14">
        <v>1486.0699999999993</v>
      </c>
      <c r="AJ14">
        <v>0</v>
      </c>
      <c r="AK14">
        <v>-1486.0699999999993</v>
      </c>
      <c r="AL14">
        <v>2730.5499999999997</v>
      </c>
      <c r="AM14">
        <v>4216.6200000000053</v>
      </c>
      <c r="AN14">
        <v>1486.0699999999993</v>
      </c>
      <c r="AO14">
        <v>159</v>
      </c>
    </row>
    <row r="15" spans="1:41" x14ac:dyDescent="0.35">
      <c r="A15">
        <v>2024</v>
      </c>
      <c r="B15">
        <v>5</v>
      </c>
      <c r="C15">
        <v>18</v>
      </c>
      <c r="D15" s="14">
        <v>45414</v>
      </c>
      <c r="E15" t="s">
        <v>44</v>
      </c>
      <c r="F15" t="s">
        <v>47</v>
      </c>
      <c r="G15" t="s">
        <v>48</v>
      </c>
      <c r="H15">
        <v>6677.9200000000155</v>
      </c>
      <c r="I15">
        <v>6677.9200000000155</v>
      </c>
      <c r="J15">
        <v>0</v>
      </c>
      <c r="K15">
        <v>431.14999999999992</v>
      </c>
      <c r="L15">
        <v>553.94999999999993</v>
      </c>
      <c r="M15">
        <v>122.8</v>
      </c>
      <c r="N15">
        <v>17.98</v>
      </c>
      <c r="O15">
        <v>17.98</v>
      </c>
      <c r="P15">
        <v>0</v>
      </c>
      <c r="Q15">
        <v>-1195.8200000000002</v>
      </c>
      <c r="R15">
        <v>-1195.8200000000002</v>
      </c>
      <c r="S15">
        <v>0</v>
      </c>
      <c r="T15">
        <v>-18.260000000000002</v>
      </c>
      <c r="U15">
        <v>-18.260000000000002</v>
      </c>
      <c r="V15">
        <v>0</v>
      </c>
      <c r="W15">
        <v>0</v>
      </c>
      <c r="X15">
        <v>0</v>
      </c>
      <c r="Y15">
        <v>0</v>
      </c>
      <c r="Z15">
        <v>5912.9700000000139</v>
      </c>
      <c r="AA15">
        <v>6035.7700000000132</v>
      </c>
      <c r="AB15">
        <v>122.8</v>
      </c>
      <c r="AC15">
        <v>75.06</v>
      </c>
      <c r="AD15">
        <v>49.21</v>
      </c>
      <c r="AE15">
        <v>-25.85</v>
      </c>
      <c r="AF15">
        <v>5837.9100000000135</v>
      </c>
      <c r="AG15">
        <v>5986.5600000000131</v>
      </c>
      <c r="AH15">
        <v>148.65</v>
      </c>
      <c r="AI15">
        <v>1886.3599999999967</v>
      </c>
      <c r="AJ15">
        <v>0</v>
      </c>
      <c r="AK15">
        <v>-1886.3599999999967</v>
      </c>
      <c r="AL15">
        <v>3951.5500000000015</v>
      </c>
      <c r="AM15">
        <v>5986.5600000000131</v>
      </c>
      <c r="AN15">
        <v>2035.0099999999961</v>
      </c>
      <c r="AO15">
        <v>227</v>
      </c>
    </row>
    <row r="16" spans="1:41" x14ac:dyDescent="0.35">
      <c r="A16">
        <v>2024</v>
      </c>
      <c r="B16">
        <v>5</v>
      </c>
      <c r="C16">
        <v>18</v>
      </c>
      <c r="D16" s="14">
        <v>45415</v>
      </c>
      <c r="E16" t="s">
        <v>44</v>
      </c>
      <c r="F16" t="s">
        <v>47</v>
      </c>
      <c r="G16" t="s">
        <v>48</v>
      </c>
      <c r="H16">
        <v>11039.640000000005</v>
      </c>
      <c r="I16">
        <v>11039.640000000005</v>
      </c>
      <c r="J16">
        <v>0</v>
      </c>
      <c r="K16">
        <v>594.59999999999991</v>
      </c>
      <c r="L16">
        <v>594.59999999999991</v>
      </c>
      <c r="M16">
        <v>0</v>
      </c>
      <c r="N16">
        <v>13</v>
      </c>
      <c r="O16">
        <v>13</v>
      </c>
      <c r="P16">
        <v>0</v>
      </c>
      <c r="Q16">
        <v>-1519.6899999999998</v>
      </c>
      <c r="R16">
        <v>-1519.6899999999998</v>
      </c>
      <c r="S16">
        <v>0</v>
      </c>
      <c r="T16">
        <v>-16.899999999999999</v>
      </c>
      <c r="U16">
        <v>-16.899999999999999</v>
      </c>
      <c r="V16">
        <v>0</v>
      </c>
      <c r="W16">
        <v>0</v>
      </c>
      <c r="X16">
        <v>0</v>
      </c>
      <c r="Y16">
        <v>0</v>
      </c>
      <c r="Z16">
        <v>10110.650000000018</v>
      </c>
      <c r="AA16">
        <v>10110.650000000018</v>
      </c>
      <c r="AB16">
        <v>0</v>
      </c>
      <c r="AC16">
        <v>75.67</v>
      </c>
      <c r="AD16">
        <v>31.46</v>
      </c>
      <c r="AE16">
        <v>-44.21</v>
      </c>
      <c r="AF16">
        <v>10034.980000000016</v>
      </c>
      <c r="AG16">
        <v>10079.190000000015</v>
      </c>
      <c r="AH16">
        <v>44.21</v>
      </c>
      <c r="AI16">
        <v>3737.4399999999964</v>
      </c>
      <c r="AJ16">
        <v>0</v>
      </c>
      <c r="AK16">
        <v>-3737.4399999999964</v>
      </c>
      <c r="AL16">
        <v>6297.5400000000109</v>
      </c>
      <c r="AM16">
        <v>10079.190000000015</v>
      </c>
      <c r="AN16">
        <v>3781.649999999996</v>
      </c>
      <c r="AO16">
        <v>332</v>
      </c>
    </row>
    <row r="17" spans="1:41" x14ac:dyDescent="0.35">
      <c r="A17">
        <v>2024</v>
      </c>
      <c r="B17">
        <v>5</v>
      </c>
      <c r="C17">
        <v>18</v>
      </c>
      <c r="D17" s="14">
        <v>45416</v>
      </c>
      <c r="E17" t="s">
        <v>44</v>
      </c>
      <c r="F17" t="s">
        <v>47</v>
      </c>
      <c r="G17" t="s">
        <v>48</v>
      </c>
      <c r="H17">
        <v>8232.4200000000128</v>
      </c>
      <c r="I17">
        <v>8232.4200000000128</v>
      </c>
      <c r="J17">
        <v>0</v>
      </c>
      <c r="K17">
        <v>499.95999999999987</v>
      </c>
      <c r="L17">
        <v>407.8599999999999</v>
      </c>
      <c r="M17">
        <v>-92.1</v>
      </c>
      <c r="N17">
        <v>13</v>
      </c>
      <c r="O17">
        <v>13</v>
      </c>
      <c r="P17">
        <v>0</v>
      </c>
      <c r="Q17">
        <v>-1749.62</v>
      </c>
      <c r="R17">
        <v>-1749.62</v>
      </c>
      <c r="S17">
        <v>0</v>
      </c>
      <c r="T17">
        <v>-5.5</v>
      </c>
      <c r="U17">
        <v>-5.5</v>
      </c>
      <c r="V17">
        <v>0</v>
      </c>
      <c r="W17">
        <v>0</v>
      </c>
      <c r="X17">
        <v>0</v>
      </c>
      <c r="Y17">
        <v>0</v>
      </c>
      <c r="Z17">
        <v>6990.2600000000102</v>
      </c>
      <c r="AA17">
        <v>6898.1600000000099</v>
      </c>
      <c r="AB17">
        <v>-92.1</v>
      </c>
      <c r="AC17">
        <v>46.71</v>
      </c>
      <c r="AD17">
        <v>15.25</v>
      </c>
      <c r="AE17">
        <v>-31.46</v>
      </c>
      <c r="AF17">
        <v>6943.5500000000093</v>
      </c>
      <c r="AG17">
        <v>6882.9100000000099</v>
      </c>
      <c r="AH17">
        <v>-60.64</v>
      </c>
      <c r="AI17">
        <v>2457.449999999998</v>
      </c>
      <c r="AJ17">
        <v>0</v>
      </c>
      <c r="AK17">
        <v>-2457.449999999998</v>
      </c>
      <c r="AL17">
        <v>4486.1000000000022</v>
      </c>
      <c r="AM17">
        <v>6882.9100000000099</v>
      </c>
      <c r="AN17">
        <v>2396.8099999999986</v>
      </c>
      <c r="AO17">
        <v>235</v>
      </c>
    </row>
    <row r="18" spans="1:41" x14ac:dyDescent="0.35">
      <c r="A18">
        <v>2024</v>
      </c>
      <c r="B18">
        <v>5</v>
      </c>
      <c r="C18">
        <v>18</v>
      </c>
      <c r="D18" s="14">
        <v>45413</v>
      </c>
      <c r="E18" t="s">
        <v>44</v>
      </c>
      <c r="F18" t="s">
        <v>47</v>
      </c>
      <c r="G18" t="s">
        <v>49</v>
      </c>
      <c r="H18">
        <v>6380</v>
      </c>
      <c r="I18">
        <v>6380</v>
      </c>
      <c r="J18">
        <v>0</v>
      </c>
      <c r="K18">
        <v>52.320000000000007</v>
      </c>
      <c r="L18">
        <v>52.320000000000007</v>
      </c>
      <c r="M18">
        <v>0</v>
      </c>
      <c r="N18">
        <v>18.990000000000002</v>
      </c>
      <c r="O18">
        <v>18.990000000000002</v>
      </c>
      <c r="P18">
        <v>0</v>
      </c>
      <c r="Q18">
        <v>-3027.6499999999992</v>
      </c>
      <c r="R18">
        <v>-3027.6499999999992</v>
      </c>
      <c r="S18">
        <v>0</v>
      </c>
      <c r="T18">
        <v>-5</v>
      </c>
      <c r="U18">
        <v>-5</v>
      </c>
      <c r="V18">
        <v>0</v>
      </c>
      <c r="W18">
        <v>0</v>
      </c>
      <c r="X18">
        <v>0</v>
      </c>
      <c r="Y18">
        <v>0</v>
      </c>
      <c r="Z18">
        <v>3418.6600000000012</v>
      </c>
      <c r="AA18">
        <v>3418.6600000000012</v>
      </c>
      <c r="AB18">
        <v>0</v>
      </c>
      <c r="AC18">
        <v>230.27999999999997</v>
      </c>
      <c r="AD18">
        <v>150.72</v>
      </c>
      <c r="AE18">
        <v>-79.56</v>
      </c>
      <c r="AF18">
        <v>3188.38</v>
      </c>
      <c r="AG18">
        <v>3267.9400000000005</v>
      </c>
      <c r="AH18">
        <v>79.559999999999988</v>
      </c>
      <c r="AI18">
        <v>446.34999999999997</v>
      </c>
      <c r="AJ18">
        <v>0</v>
      </c>
      <c r="AK18">
        <v>-446.34999999999997</v>
      </c>
      <c r="AL18">
        <v>2742.03</v>
      </c>
      <c r="AM18">
        <v>3267.9400000000005</v>
      </c>
      <c r="AN18">
        <v>525.91000000000031</v>
      </c>
      <c r="AO18">
        <v>65</v>
      </c>
    </row>
    <row r="19" spans="1:41" x14ac:dyDescent="0.35">
      <c r="A19">
        <v>2024</v>
      </c>
      <c r="B19">
        <v>5</v>
      </c>
      <c r="C19">
        <v>18</v>
      </c>
      <c r="D19" s="14">
        <v>45414</v>
      </c>
      <c r="E19" t="s">
        <v>44</v>
      </c>
      <c r="F19" t="s">
        <v>47</v>
      </c>
      <c r="G19" t="s">
        <v>49</v>
      </c>
      <c r="H19">
        <v>19830.649999999954</v>
      </c>
      <c r="I19">
        <v>19830.649999999954</v>
      </c>
      <c r="J19">
        <v>0</v>
      </c>
      <c r="K19">
        <v>573</v>
      </c>
      <c r="L19">
        <v>603.70000000000005</v>
      </c>
      <c r="M19">
        <v>30.7</v>
      </c>
      <c r="N19">
        <v>56.96</v>
      </c>
      <c r="O19">
        <v>56.96</v>
      </c>
      <c r="P19">
        <v>0</v>
      </c>
      <c r="Q19">
        <v>-7250.3499999999922</v>
      </c>
      <c r="R19">
        <v>-7239.3499999999922</v>
      </c>
      <c r="S19">
        <v>11</v>
      </c>
      <c r="T19">
        <v>-86.5</v>
      </c>
      <c r="U19">
        <v>-86.5</v>
      </c>
      <c r="V19">
        <v>0</v>
      </c>
      <c r="W19">
        <v>0</v>
      </c>
      <c r="X19">
        <v>0</v>
      </c>
      <c r="Y19">
        <v>0</v>
      </c>
      <c r="Z19">
        <v>13123.75999999996</v>
      </c>
      <c r="AA19">
        <v>13165.459999999961</v>
      </c>
      <c r="AB19">
        <v>41.7</v>
      </c>
      <c r="AC19">
        <v>432.15000000000003</v>
      </c>
      <c r="AD19">
        <v>281.43</v>
      </c>
      <c r="AE19">
        <v>-150.72</v>
      </c>
      <c r="AF19">
        <v>12691.60999999997</v>
      </c>
      <c r="AG19">
        <v>12884.029999999968</v>
      </c>
      <c r="AH19">
        <v>192.42000000000002</v>
      </c>
      <c r="AI19">
        <v>2864.5199999999963</v>
      </c>
      <c r="AJ19">
        <v>0</v>
      </c>
      <c r="AK19">
        <v>-2864.5199999999963</v>
      </c>
      <c r="AL19">
        <v>9827.09</v>
      </c>
      <c r="AM19">
        <v>12884.029999999968</v>
      </c>
      <c r="AN19">
        <v>3056.939999999996</v>
      </c>
      <c r="AO19">
        <v>302</v>
      </c>
    </row>
    <row r="20" spans="1:41" x14ac:dyDescent="0.35">
      <c r="A20">
        <v>2024</v>
      </c>
      <c r="B20">
        <v>5</v>
      </c>
      <c r="C20">
        <v>18</v>
      </c>
      <c r="D20" s="14">
        <v>45415</v>
      </c>
      <c r="E20" t="s">
        <v>44</v>
      </c>
      <c r="F20" t="s">
        <v>47</v>
      </c>
      <c r="G20" t="s">
        <v>49</v>
      </c>
      <c r="H20">
        <v>12096.80000000001</v>
      </c>
      <c r="I20">
        <v>12096.80000000001</v>
      </c>
      <c r="J20">
        <v>0</v>
      </c>
      <c r="K20">
        <v>222.19000000000005</v>
      </c>
      <c r="L20">
        <v>222.19000000000005</v>
      </c>
      <c r="M20">
        <v>0</v>
      </c>
      <c r="N20">
        <v>123.93</v>
      </c>
      <c r="O20">
        <v>123.93</v>
      </c>
      <c r="P20">
        <v>0</v>
      </c>
      <c r="Q20">
        <v>-3542.9999999999995</v>
      </c>
      <c r="R20">
        <v>-3542.9999999999995</v>
      </c>
      <c r="S20">
        <v>0</v>
      </c>
      <c r="T20">
        <v>-10</v>
      </c>
      <c r="U20">
        <v>-10</v>
      </c>
      <c r="V20">
        <v>0</v>
      </c>
      <c r="W20">
        <v>-5</v>
      </c>
      <c r="X20">
        <v>-5</v>
      </c>
      <c r="Y20">
        <v>0</v>
      </c>
      <c r="Z20">
        <v>8884.9200000000055</v>
      </c>
      <c r="AA20">
        <v>8884.9200000000055</v>
      </c>
      <c r="AB20">
        <v>0</v>
      </c>
      <c r="AC20">
        <v>543.71</v>
      </c>
      <c r="AD20">
        <v>262.27999999999997</v>
      </c>
      <c r="AE20">
        <v>-281.43</v>
      </c>
      <c r="AF20">
        <v>8341.2100000000028</v>
      </c>
      <c r="AG20">
        <v>8622.6400000000049</v>
      </c>
      <c r="AH20">
        <v>281.43</v>
      </c>
      <c r="AI20">
        <v>1604.47</v>
      </c>
      <c r="AJ20">
        <v>0</v>
      </c>
      <c r="AK20">
        <v>-1604.47</v>
      </c>
      <c r="AL20">
        <v>6736.7400000000025</v>
      </c>
      <c r="AM20">
        <v>8622.6400000000049</v>
      </c>
      <c r="AN20">
        <v>1885.9000000000003</v>
      </c>
      <c r="AO20">
        <v>190</v>
      </c>
    </row>
    <row r="21" spans="1:41" x14ac:dyDescent="0.35">
      <c r="A21">
        <v>2024</v>
      </c>
      <c r="B21">
        <v>5</v>
      </c>
      <c r="C21">
        <v>18</v>
      </c>
      <c r="D21" s="14">
        <v>45416</v>
      </c>
      <c r="E21" t="s">
        <v>44</v>
      </c>
      <c r="F21" t="s">
        <v>47</v>
      </c>
      <c r="G21" t="s">
        <v>49</v>
      </c>
      <c r="H21">
        <v>13940.379999999957</v>
      </c>
      <c r="I21">
        <v>13940.379999999957</v>
      </c>
      <c r="J21">
        <v>0</v>
      </c>
      <c r="K21">
        <v>441.96999999999991</v>
      </c>
      <c r="L21">
        <v>380.56999999999994</v>
      </c>
      <c r="M21">
        <v>-61.4</v>
      </c>
      <c r="N21">
        <v>177.89000000000001</v>
      </c>
      <c r="O21">
        <v>177.89000000000001</v>
      </c>
      <c r="P21">
        <v>0</v>
      </c>
      <c r="Q21">
        <v>-4236.3299999999981</v>
      </c>
      <c r="R21">
        <v>-4216.3299999999981</v>
      </c>
      <c r="S21">
        <v>20</v>
      </c>
      <c r="T21">
        <v>-10</v>
      </c>
      <c r="U21">
        <v>-10</v>
      </c>
      <c r="V21">
        <v>0</v>
      </c>
      <c r="W21">
        <v>-10</v>
      </c>
      <c r="X21">
        <v>-10</v>
      </c>
      <c r="Y21">
        <v>0</v>
      </c>
      <c r="Z21">
        <v>10303.909999999991</v>
      </c>
      <c r="AA21">
        <v>10262.509999999993</v>
      </c>
      <c r="AB21">
        <v>-41.4</v>
      </c>
      <c r="AC21">
        <v>536.45999999999992</v>
      </c>
      <c r="AD21">
        <v>289.48</v>
      </c>
      <c r="AE21">
        <v>-246.98000000000005</v>
      </c>
      <c r="AF21">
        <v>9767.4500000000062</v>
      </c>
      <c r="AG21">
        <v>9973.0300000000007</v>
      </c>
      <c r="AH21">
        <v>205.5800000000001</v>
      </c>
      <c r="AI21">
        <v>2359.5499999999947</v>
      </c>
      <c r="AJ21">
        <v>0</v>
      </c>
      <c r="AK21">
        <v>-2359.5499999999947</v>
      </c>
      <c r="AL21">
        <v>7407.9000000000224</v>
      </c>
      <c r="AM21">
        <v>9973.0300000000007</v>
      </c>
      <c r="AN21">
        <v>2565.1299999999933</v>
      </c>
      <c r="AO21">
        <v>224</v>
      </c>
    </row>
    <row r="22" spans="1:41" x14ac:dyDescent="0.35">
      <c r="A22">
        <v>2024</v>
      </c>
      <c r="B22">
        <v>5</v>
      </c>
      <c r="C22">
        <v>18</v>
      </c>
      <c r="D22" s="14">
        <v>45413</v>
      </c>
      <c r="E22" t="s">
        <v>44</v>
      </c>
      <c r="F22" t="s">
        <v>47</v>
      </c>
      <c r="G22" t="s">
        <v>50</v>
      </c>
      <c r="H22">
        <v>21285.200000000001</v>
      </c>
      <c r="I22">
        <v>21285.200000000001</v>
      </c>
      <c r="J22">
        <v>0</v>
      </c>
      <c r="K22">
        <v>319.73999999999967</v>
      </c>
      <c r="L22">
        <v>319.73999999999967</v>
      </c>
      <c r="M22">
        <v>0</v>
      </c>
      <c r="N22">
        <v>1019.3700000000005</v>
      </c>
      <c r="O22">
        <v>1019.3700000000005</v>
      </c>
      <c r="P22">
        <v>0</v>
      </c>
      <c r="Q22">
        <v>-6104.24</v>
      </c>
      <c r="R22">
        <v>-6003.0300000000007</v>
      </c>
      <c r="S22">
        <v>101.21</v>
      </c>
      <c r="T22">
        <v>-15</v>
      </c>
      <c r="U22">
        <v>-15</v>
      </c>
      <c r="V22">
        <v>0</v>
      </c>
      <c r="W22">
        <v>-5</v>
      </c>
      <c r="X22">
        <v>-5</v>
      </c>
      <c r="Y22">
        <v>0</v>
      </c>
      <c r="Z22">
        <v>16500.069999999992</v>
      </c>
      <c r="AA22">
        <v>16601.279999999995</v>
      </c>
      <c r="AB22">
        <v>101.21000000000001</v>
      </c>
      <c r="AC22">
        <v>2410.6100000000033</v>
      </c>
      <c r="AD22">
        <v>1517.7300000000002</v>
      </c>
      <c r="AE22">
        <v>-892.87999999999988</v>
      </c>
      <c r="AF22">
        <v>14089.460000000001</v>
      </c>
      <c r="AG22">
        <v>15083.549999999994</v>
      </c>
      <c r="AH22">
        <v>994.0899999999998</v>
      </c>
      <c r="AI22">
        <v>-872.7600000000001</v>
      </c>
      <c r="AJ22">
        <v>0</v>
      </c>
      <c r="AK22">
        <v>872.7600000000001</v>
      </c>
      <c r="AL22">
        <v>14962.220000000012</v>
      </c>
      <c r="AM22">
        <v>15083.549999999994</v>
      </c>
      <c r="AN22">
        <v>121.32999999999981</v>
      </c>
      <c r="AO22">
        <v>238</v>
      </c>
    </row>
    <row r="23" spans="1:41" x14ac:dyDescent="0.35">
      <c r="A23">
        <v>2024</v>
      </c>
      <c r="B23">
        <v>5</v>
      </c>
      <c r="C23">
        <v>18</v>
      </c>
      <c r="D23" s="14">
        <v>45414</v>
      </c>
      <c r="E23" t="s">
        <v>44</v>
      </c>
      <c r="F23" t="s">
        <v>47</v>
      </c>
      <c r="G23" t="s">
        <v>50</v>
      </c>
      <c r="H23">
        <v>22451.399999999994</v>
      </c>
      <c r="I23">
        <v>22451.399999999994</v>
      </c>
      <c r="J23">
        <v>0</v>
      </c>
      <c r="K23">
        <v>432.0599999999996</v>
      </c>
      <c r="L23">
        <v>432.0599999999996</v>
      </c>
      <c r="M23">
        <v>0</v>
      </c>
      <c r="N23">
        <v>914.41000000000042</v>
      </c>
      <c r="O23">
        <v>914.41000000000042</v>
      </c>
      <c r="P23">
        <v>0</v>
      </c>
      <c r="Q23">
        <v>-6685.98</v>
      </c>
      <c r="R23">
        <v>-6594.98</v>
      </c>
      <c r="S23">
        <v>91</v>
      </c>
      <c r="T23">
        <v>-20</v>
      </c>
      <c r="U23">
        <v>-20</v>
      </c>
      <c r="V23">
        <v>0</v>
      </c>
      <c r="W23">
        <v>-10</v>
      </c>
      <c r="X23">
        <v>-10</v>
      </c>
      <c r="Y23">
        <v>0</v>
      </c>
      <c r="Z23">
        <v>17081.889999999989</v>
      </c>
      <c r="AA23">
        <v>17172.889999999989</v>
      </c>
      <c r="AB23">
        <v>91</v>
      </c>
      <c r="AC23">
        <v>3089.3200000000043</v>
      </c>
      <c r="AD23">
        <v>1571.5900000000004</v>
      </c>
      <c r="AE23">
        <v>-1517.7300000000005</v>
      </c>
      <c r="AF23">
        <v>13992.57</v>
      </c>
      <c r="AG23">
        <v>15601.299999999988</v>
      </c>
      <c r="AH23">
        <v>1608.7300000000007</v>
      </c>
      <c r="AI23">
        <v>-765.37000000000023</v>
      </c>
      <c r="AJ23">
        <v>0</v>
      </c>
      <c r="AK23">
        <v>765.37000000000023</v>
      </c>
      <c r="AL23">
        <v>14757.940000000013</v>
      </c>
      <c r="AM23">
        <v>15601.299999999988</v>
      </c>
      <c r="AN23">
        <v>843.3599999999999</v>
      </c>
      <c r="AO23">
        <v>259</v>
      </c>
    </row>
    <row r="24" spans="1:41" x14ac:dyDescent="0.35">
      <c r="A24">
        <v>2024</v>
      </c>
      <c r="B24">
        <v>5</v>
      </c>
      <c r="C24">
        <v>18</v>
      </c>
      <c r="D24" s="14">
        <v>45415</v>
      </c>
      <c r="E24" t="s">
        <v>44</v>
      </c>
      <c r="F24" t="s">
        <v>47</v>
      </c>
      <c r="G24" t="s">
        <v>50</v>
      </c>
      <c r="H24">
        <v>21850.769999999997</v>
      </c>
      <c r="I24">
        <v>21850.769999999997</v>
      </c>
      <c r="J24">
        <v>0</v>
      </c>
      <c r="K24">
        <v>483.0499999999995</v>
      </c>
      <c r="L24">
        <v>483.0499999999995</v>
      </c>
      <c r="M24">
        <v>0</v>
      </c>
      <c r="N24">
        <v>904.41000000000042</v>
      </c>
      <c r="O24">
        <v>904.41000000000042</v>
      </c>
      <c r="P24">
        <v>0</v>
      </c>
      <c r="Q24">
        <v>-6363.72</v>
      </c>
      <c r="R24">
        <v>-6293.72</v>
      </c>
      <c r="S24">
        <v>70</v>
      </c>
      <c r="T24">
        <v>-10</v>
      </c>
      <c r="U24">
        <v>-10</v>
      </c>
      <c r="V24">
        <v>0</v>
      </c>
      <c r="W24">
        <v>-40</v>
      </c>
      <c r="X24">
        <v>-40</v>
      </c>
      <c r="Y24">
        <v>0</v>
      </c>
      <c r="Z24">
        <v>16824.510000000002</v>
      </c>
      <c r="AA24">
        <v>16894.510000000002</v>
      </c>
      <c r="AB24">
        <v>70</v>
      </c>
      <c r="AC24">
        <v>3058.7600000000039</v>
      </c>
      <c r="AD24">
        <v>1514.8000000000002</v>
      </c>
      <c r="AE24">
        <v>-1543.9600000000005</v>
      </c>
      <c r="AF24">
        <v>13765.750000000005</v>
      </c>
      <c r="AG24">
        <v>15379.709999999995</v>
      </c>
      <c r="AH24">
        <v>1613.96</v>
      </c>
      <c r="AI24">
        <v>-885.46000000000015</v>
      </c>
      <c r="AJ24">
        <v>0</v>
      </c>
      <c r="AK24">
        <v>885.46000000000015</v>
      </c>
      <c r="AL24">
        <v>14651.210000000012</v>
      </c>
      <c r="AM24">
        <v>15379.709999999995</v>
      </c>
      <c r="AN24">
        <v>728.49999999999943</v>
      </c>
      <c r="AO24">
        <v>253</v>
      </c>
    </row>
    <row r="25" spans="1:41" x14ac:dyDescent="0.35">
      <c r="A25">
        <v>2024</v>
      </c>
      <c r="B25">
        <v>5</v>
      </c>
      <c r="C25">
        <v>18</v>
      </c>
      <c r="D25" s="14">
        <v>45416</v>
      </c>
      <c r="E25" t="s">
        <v>44</v>
      </c>
      <c r="F25" t="s">
        <v>47</v>
      </c>
      <c r="G25" t="s">
        <v>50</v>
      </c>
      <c r="H25">
        <v>21408.769999999997</v>
      </c>
      <c r="I25">
        <v>21408.769999999997</v>
      </c>
      <c r="J25">
        <v>0</v>
      </c>
      <c r="K25">
        <v>505.54999999999933</v>
      </c>
      <c r="L25">
        <v>505.54999999999933</v>
      </c>
      <c r="M25">
        <v>0</v>
      </c>
      <c r="N25">
        <v>888.4300000000004</v>
      </c>
      <c r="O25">
        <v>888.4300000000004</v>
      </c>
      <c r="P25">
        <v>0</v>
      </c>
      <c r="Q25">
        <v>-6176.09</v>
      </c>
      <c r="R25">
        <v>-6070.09</v>
      </c>
      <c r="S25">
        <v>106</v>
      </c>
      <c r="T25">
        <v>-25</v>
      </c>
      <c r="U25">
        <v>-25</v>
      </c>
      <c r="V25">
        <v>0</v>
      </c>
      <c r="W25">
        <v>-15</v>
      </c>
      <c r="X25">
        <v>-15</v>
      </c>
      <c r="Y25">
        <v>0</v>
      </c>
      <c r="Z25">
        <v>16586.659999999989</v>
      </c>
      <c r="AA25">
        <v>16692.659999999989</v>
      </c>
      <c r="AB25">
        <v>106</v>
      </c>
      <c r="AC25">
        <v>2839.2700000000041</v>
      </c>
      <c r="AD25">
        <v>1324.4700000000003</v>
      </c>
      <c r="AE25">
        <v>-1514.8000000000002</v>
      </c>
      <c r="AF25">
        <v>13747.390000000003</v>
      </c>
      <c r="AG25">
        <v>15368.189999999993</v>
      </c>
      <c r="AH25">
        <v>1620.8</v>
      </c>
      <c r="AI25">
        <v>-762.71999999999957</v>
      </c>
      <c r="AJ25">
        <v>-7.71</v>
      </c>
      <c r="AK25">
        <v>755.00999999999954</v>
      </c>
      <c r="AL25">
        <v>14510.109999999997</v>
      </c>
      <c r="AM25">
        <v>15375.899999999992</v>
      </c>
      <c r="AN25">
        <v>865.78999999999974</v>
      </c>
      <c r="AO25">
        <v>248</v>
      </c>
    </row>
    <row r="26" spans="1:41" x14ac:dyDescent="0.35">
      <c r="A26">
        <v>2024</v>
      </c>
      <c r="B26">
        <v>5</v>
      </c>
      <c r="C26">
        <v>18</v>
      </c>
      <c r="D26" s="14">
        <v>45413</v>
      </c>
      <c r="E26" t="s">
        <v>44</v>
      </c>
      <c r="F26" t="s">
        <v>47</v>
      </c>
      <c r="G26" t="s">
        <v>51</v>
      </c>
      <c r="H26">
        <v>860.6</v>
      </c>
      <c r="I26">
        <v>860.6</v>
      </c>
      <c r="J26">
        <v>0</v>
      </c>
      <c r="K26">
        <v>20</v>
      </c>
      <c r="L26">
        <v>20</v>
      </c>
      <c r="M26">
        <v>0</v>
      </c>
      <c r="N26">
        <v>0</v>
      </c>
      <c r="O26">
        <v>0</v>
      </c>
      <c r="P26">
        <v>0</v>
      </c>
      <c r="Q26">
        <v>-183.29999999999998</v>
      </c>
      <c r="R26">
        <v>-183.29999999999998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697.30000000000007</v>
      </c>
      <c r="AA26">
        <v>697.30000000000007</v>
      </c>
      <c r="AB26">
        <v>0</v>
      </c>
      <c r="AC26">
        <v>8.33</v>
      </c>
      <c r="AD26">
        <v>8.33</v>
      </c>
      <c r="AE26">
        <v>0</v>
      </c>
      <c r="AF26">
        <v>688.97</v>
      </c>
      <c r="AG26">
        <v>688.97</v>
      </c>
      <c r="AH26">
        <v>0</v>
      </c>
      <c r="AI26">
        <v>210.25000000000003</v>
      </c>
      <c r="AJ26">
        <v>0</v>
      </c>
      <c r="AK26">
        <v>-210.25000000000003</v>
      </c>
      <c r="AL26">
        <v>478.71999999999991</v>
      </c>
      <c r="AM26">
        <v>688.97</v>
      </c>
      <c r="AN26">
        <v>210.25000000000003</v>
      </c>
      <c r="AO26">
        <v>15</v>
      </c>
    </row>
    <row r="27" spans="1:41" x14ac:dyDescent="0.35">
      <c r="A27">
        <v>2024</v>
      </c>
      <c r="B27">
        <v>5</v>
      </c>
      <c r="C27">
        <v>18</v>
      </c>
      <c r="D27" s="14">
        <v>45414</v>
      </c>
      <c r="E27" t="s">
        <v>44</v>
      </c>
      <c r="F27" t="s">
        <v>47</v>
      </c>
      <c r="G27" t="s">
        <v>51</v>
      </c>
      <c r="H27">
        <v>4220.5000000000009</v>
      </c>
      <c r="I27">
        <v>4220.5000000000009</v>
      </c>
      <c r="J27">
        <v>0</v>
      </c>
      <c r="K27">
        <v>20</v>
      </c>
      <c r="L27">
        <v>20</v>
      </c>
      <c r="M27">
        <v>0</v>
      </c>
      <c r="N27">
        <v>0</v>
      </c>
      <c r="O27">
        <v>0</v>
      </c>
      <c r="P27">
        <v>0</v>
      </c>
      <c r="Q27">
        <v>-930.94999999999993</v>
      </c>
      <c r="R27">
        <v>-930.94999999999993</v>
      </c>
      <c r="S27">
        <v>0</v>
      </c>
      <c r="T27">
        <v>-4</v>
      </c>
      <c r="U27">
        <v>-4</v>
      </c>
      <c r="V27">
        <v>0</v>
      </c>
      <c r="W27">
        <v>0</v>
      </c>
      <c r="X27">
        <v>0</v>
      </c>
      <c r="Y27">
        <v>0</v>
      </c>
      <c r="Z27">
        <v>3305.5500000000006</v>
      </c>
      <c r="AA27">
        <v>3305.5500000000006</v>
      </c>
      <c r="AB27">
        <v>0</v>
      </c>
      <c r="AC27">
        <v>24.990000000000002</v>
      </c>
      <c r="AD27">
        <v>16.66</v>
      </c>
      <c r="AE27">
        <v>-8.33</v>
      </c>
      <c r="AF27">
        <v>3280.5600000000004</v>
      </c>
      <c r="AG27">
        <v>3288.8900000000003</v>
      </c>
      <c r="AH27">
        <v>8.3299999999999983</v>
      </c>
      <c r="AI27">
        <v>954.48000000000025</v>
      </c>
      <c r="AJ27">
        <v>0</v>
      </c>
      <c r="AK27">
        <v>-954.48000000000025</v>
      </c>
      <c r="AL27">
        <v>2326.0799999999995</v>
      </c>
      <c r="AM27">
        <v>3288.8900000000003</v>
      </c>
      <c r="AN27">
        <v>962.81000000000017</v>
      </c>
      <c r="AO27">
        <v>75</v>
      </c>
    </row>
    <row r="28" spans="1:41" x14ac:dyDescent="0.35">
      <c r="A28">
        <v>2024</v>
      </c>
      <c r="B28">
        <v>5</v>
      </c>
      <c r="C28">
        <v>18</v>
      </c>
      <c r="D28" s="14">
        <v>45415</v>
      </c>
      <c r="E28" t="s">
        <v>44</v>
      </c>
      <c r="F28" t="s">
        <v>47</v>
      </c>
      <c r="G28" t="s">
        <v>51</v>
      </c>
      <c r="H28">
        <v>2722</v>
      </c>
      <c r="I28">
        <v>2722</v>
      </c>
      <c r="J28">
        <v>0</v>
      </c>
      <c r="K28">
        <v>40</v>
      </c>
      <c r="L28">
        <v>40</v>
      </c>
      <c r="M28">
        <v>0</v>
      </c>
      <c r="N28">
        <v>0</v>
      </c>
      <c r="O28">
        <v>0</v>
      </c>
      <c r="P28">
        <v>0</v>
      </c>
      <c r="Q28">
        <v>-473.20000000000005</v>
      </c>
      <c r="R28">
        <v>-473.20000000000005</v>
      </c>
      <c r="S28">
        <v>0</v>
      </c>
      <c r="T28">
        <v>-16</v>
      </c>
      <c r="U28">
        <v>-16</v>
      </c>
      <c r="V28">
        <v>0</v>
      </c>
      <c r="W28">
        <v>0</v>
      </c>
      <c r="X28">
        <v>0</v>
      </c>
      <c r="Y28">
        <v>0</v>
      </c>
      <c r="Z28">
        <v>2272.7999999999997</v>
      </c>
      <c r="AA28">
        <v>2272.7999999999997</v>
      </c>
      <c r="AB28">
        <v>0</v>
      </c>
      <c r="AC28">
        <v>41.65</v>
      </c>
      <c r="AD28">
        <v>16.66</v>
      </c>
      <c r="AE28">
        <v>-24.990000000000002</v>
      </c>
      <c r="AF28">
        <v>2231.1499999999996</v>
      </c>
      <c r="AG28">
        <v>2256.14</v>
      </c>
      <c r="AH28">
        <v>24.989999999999995</v>
      </c>
      <c r="AI28">
        <v>845.82</v>
      </c>
      <c r="AJ28">
        <v>5.29</v>
      </c>
      <c r="AK28">
        <v>-840.53</v>
      </c>
      <c r="AL28">
        <v>1385.3300000000004</v>
      </c>
      <c r="AM28">
        <v>2250.85</v>
      </c>
      <c r="AN28">
        <v>865.51999999999987</v>
      </c>
      <c r="AO28">
        <v>52</v>
      </c>
    </row>
    <row r="29" spans="1:41" x14ac:dyDescent="0.35">
      <c r="A29">
        <v>2024</v>
      </c>
      <c r="B29">
        <v>5</v>
      </c>
      <c r="C29">
        <v>18</v>
      </c>
      <c r="D29" s="14">
        <v>45416</v>
      </c>
      <c r="E29" t="s">
        <v>44</v>
      </c>
      <c r="F29" t="s">
        <v>47</v>
      </c>
      <c r="G29" t="s">
        <v>51</v>
      </c>
      <c r="H29">
        <v>4185.6000000000004</v>
      </c>
      <c r="I29">
        <v>4185.6000000000004</v>
      </c>
      <c r="J29">
        <v>0</v>
      </c>
      <c r="K29">
        <v>40</v>
      </c>
      <c r="L29">
        <v>40</v>
      </c>
      <c r="M29">
        <v>0</v>
      </c>
      <c r="N29">
        <v>0</v>
      </c>
      <c r="O29">
        <v>0</v>
      </c>
      <c r="P29">
        <v>0</v>
      </c>
      <c r="Q29">
        <v>-1009.3500000000003</v>
      </c>
      <c r="R29">
        <v>-1009.3500000000003</v>
      </c>
      <c r="S29">
        <v>0</v>
      </c>
      <c r="T29">
        <v>-16</v>
      </c>
      <c r="U29">
        <v>-16</v>
      </c>
      <c r="V29">
        <v>0</v>
      </c>
      <c r="W29">
        <v>0</v>
      </c>
      <c r="X29">
        <v>0</v>
      </c>
      <c r="Y29">
        <v>0</v>
      </c>
      <c r="Z29">
        <v>3200.2500000000014</v>
      </c>
      <c r="AA29">
        <v>3200.2500000000014</v>
      </c>
      <c r="AB29">
        <v>0</v>
      </c>
      <c r="AC29">
        <v>47.08</v>
      </c>
      <c r="AD29">
        <v>13.76</v>
      </c>
      <c r="AE29">
        <v>-33.32</v>
      </c>
      <c r="AF29">
        <v>3153.1700000000014</v>
      </c>
      <c r="AG29">
        <v>3186.4900000000011</v>
      </c>
      <c r="AH29">
        <v>33.319999999999993</v>
      </c>
      <c r="AI29">
        <v>968.88999999999987</v>
      </c>
      <c r="AJ29">
        <v>10.94</v>
      </c>
      <c r="AK29">
        <v>-957.94999999999982</v>
      </c>
      <c r="AL29">
        <v>2184.2800000000007</v>
      </c>
      <c r="AM29">
        <v>3175.5500000000011</v>
      </c>
      <c r="AN29">
        <v>991.26999999999987</v>
      </c>
      <c r="AO29">
        <v>71</v>
      </c>
    </row>
    <row r="30" spans="1:41" x14ac:dyDescent="0.35">
      <c r="A30">
        <v>2024</v>
      </c>
      <c r="B30">
        <v>5</v>
      </c>
      <c r="C30">
        <v>19</v>
      </c>
      <c r="D30" s="14">
        <v>45417</v>
      </c>
      <c r="E30" t="s">
        <v>41</v>
      </c>
      <c r="F30" t="s">
        <v>42</v>
      </c>
      <c r="G30" t="s">
        <v>43</v>
      </c>
      <c r="H30">
        <v>97039.25</v>
      </c>
      <c r="I30">
        <v>97039.25</v>
      </c>
      <c r="J30">
        <v>0</v>
      </c>
      <c r="K30">
        <v>1001.7100000000111</v>
      </c>
      <c r="L30">
        <v>1001.7100000000111</v>
      </c>
      <c r="M30">
        <v>0</v>
      </c>
      <c r="N30">
        <v>2524.159999999993</v>
      </c>
      <c r="O30">
        <v>2524.159999999993</v>
      </c>
      <c r="P30">
        <v>0</v>
      </c>
      <c r="Q30">
        <v>-9636.6</v>
      </c>
      <c r="R30">
        <v>-8627.6</v>
      </c>
      <c r="S30">
        <v>1009</v>
      </c>
      <c r="T30">
        <v>-2.6700000000000004</v>
      </c>
      <c r="U30">
        <v>-2.6700000000000004</v>
      </c>
      <c r="V30">
        <v>0</v>
      </c>
      <c r="W30">
        <v>-38.99</v>
      </c>
      <c r="X30">
        <v>-38.99</v>
      </c>
      <c r="Y30">
        <v>0</v>
      </c>
      <c r="Z30">
        <v>90886.860000000612</v>
      </c>
      <c r="AA30">
        <v>91895.860000000641</v>
      </c>
      <c r="AB30">
        <v>1009</v>
      </c>
      <c r="AC30">
        <v>28132.179999999702</v>
      </c>
      <c r="AD30">
        <v>15782.519999999962</v>
      </c>
      <c r="AE30">
        <v>-12349.660000000007</v>
      </c>
      <c r="AF30">
        <v>62754.680000000146</v>
      </c>
      <c r="AG30">
        <v>76113.340000000186</v>
      </c>
      <c r="AH30">
        <v>13358.659999999996</v>
      </c>
      <c r="AI30">
        <v>-8031.3399999999901</v>
      </c>
      <c r="AJ30">
        <v>0</v>
      </c>
      <c r="AK30">
        <v>8031.3399999999901</v>
      </c>
      <c r="AL30">
        <v>70786.020000000135</v>
      </c>
      <c r="AM30">
        <v>76113.340000000186</v>
      </c>
      <c r="AN30">
        <v>5327.3200000000325</v>
      </c>
      <c r="AO30">
        <v>1696</v>
      </c>
    </row>
    <row r="31" spans="1:41" x14ac:dyDescent="0.35">
      <c r="A31">
        <v>2024</v>
      </c>
      <c r="B31">
        <v>5</v>
      </c>
      <c r="C31">
        <v>19</v>
      </c>
      <c r="D31" s="14">
        <v>45418</v>
      </c>
      <c r="E31" t="s">
        <v>41</v>
      </c>
      <c r="F31" t="s">
        <v>42</v>
      </c>
      <c r="G31" t="s">
        <v>43</v>
      </c>
      <c r="H31">
        <v>108424.75</v>
      </c>
      <c r="I31">
        <v>108424.75</v>
      </c>
      <c r="J31">
        <v>0</v>
      </c>
      <c r="K31">
        <v>974.30000000000393</v>
      </c>
      <c r="L31">
        <v>964.30000000000359</v>
      </c>
      <c r="M31">
        <v>-10</v>
      </c>
      <c r="N31">
        <v>2990.9099999999862</v>
      </c>
      <c r="O31">
        <v>2972.9299999999866</v>
      </c>
      <c r="P31">
        <v>-17.98</v>
      </c>
      <c r="Q31">
        <v>-11195.2</v>
      </c>
      <c r="R31">
        <v>-9939.2000000000007</v>
      </c>
      <c r="S31">
        <v>1256</v>
      </c>
      <c r="T31">
        <v>-2.8200000000000003</v>
      </c>
      <c r="U31">
        <v>-2.8200000000000003</v>
      </c>
      <c r="V31">
        <v>0</v>
      </c>
      <c r="W31">
        <v>-48</v>
      </c>
      <c r="X31">
        <v>-43</v>
      </c>
      <c r="Y31">
        <v>5</v>
      </c>
      <c r="Z31">
        <v>101143.94000000073</v>
      </c>
      <c r="AA31">
        <v>102376.96000000076</v>
      </c>
      <c r="AB31">
        <v>1233.02</v>
      </c>
      <c r="AC31">
        <v>33745.479999999712</v>
      </c>
      <c r="AD31">
        <v>18007.019999999964</v>
      </c>
      <c r="AE31">
        <v>-15738.459999999957</v>
      </c>
      <c r="AF31">
        <v>67398.460000000123</v>
      </c>
      <c r="AG31">
        <v>84369.940000000279</v>
      </c>
      <c r="AH31">
        <v>16971.479999999956</v>
      </c>
      <c r="AI31">
        <v>-9642.8099999999904</v>
      </c>
      <c r="AJ31">
        <v>0</v>
      </c>
      <c r="AK31">
        <v>9642.8099999999904</v>
      </c>
      <c r="AL31">
        <v>77041.270000000019</v>
      </c>
      <c r="AM31">
        <v>84369.940000000279</v>
      </c>
      <c r="AN31">
        <v>7328.6700000000646</v>
      </c>
      <c r="AO31">
        <v>1882</v>
      </c>
    </row>
    <row r="32" spans="1:41" x14ac:dyDescent="0.35">
      <c r="A32">
        <v>2024</v>
      </c>
      <c r="B32">
        <v>5</v>
      </c>
      <c r="C32">
        <v>19</v>
      </c>
      <c r="D32" s="14">
        <v>45419</v>
      </c>
      <c r="E32" t="s">
        <v>41</v>
      </c>
      <c r="F32" t="s">
        <v>42</v>
      </c>
      <c r="G32" t="s">
        <v>43</v>
      </c>
      <c r="H32">
        <v>97848</v>
      </c>
      <c r="I32">
        <v>97848</v>
      </c>
      <c r="J32">
        <v>0</v>
      </c>
      <c r="K32">
        <v>941.06000000000529</v>
      </c>
      <c r="L32">
        <v>941.06000000000529</v>
      </c>
      <c r="M32">
        <v>0</v>
      </c>
      <c r="N32">
        <v>2345.3199999999956</v>
      </c>
      <c r="O32">
        <v>2345.3199999999956</v>
      </c>
      <c r="P32">
        <v>0</v>
      </c>
      <c r="Q32">
        <v>-10029.200000000001</v>
      </c>
      <c r="R32">
        <v>-8765.2000000000007</v>
      </c>
      <c r="S32">
        <v>1264</v>
      </c>
      <c r="T32">
        <v>-3.5900000000000003</v>
      </c>
      <c r="U32">
        <v>-3.5900000000000003</v>
      </c>
      <c r="V32">
        <v>0</v>
      </c>
      <c r="W32">
        <v>-33</v>
      </c>
      <c r="X32">
        <v>-33</v>
      </c>
      <c r="Y32">
        <v>0</v>
      </c>
      <c r="Z32">
        <v>91068.590000000462</v>
      </c>
      <c r="AA32">
        <v>92332.590000000549</v>
      </c>
      <c r="AB32">
        <v>1264</v>
      </c>
      <c r="AC32">
        <v>33608.239999999845</v>
      </c>
      <c r="AD32">
        <v>15731.119999999972</v>
      </c>
      <c r="AE32">
        <v>-17877.119999999948</v>
      </c>
      <c r="AF32">
        <v>57460.35000000029</v>
      </c>
      <c r="AG32">
        <v>76601.470000000176</v>
      </c>
      <c r="AH32">
        <v>19141.119999999923</v>
      </c>
      <c r="AI32">
        <v>-8460.0499999999975</v>
      </c>
      <c r="AJ32">
        <v>0</v>
      </c>
      <c r="AK32">
        <v>8460.0499999999975</v>
      </c>
      <c r="AL32">
        <v>65920.400000000212</v>
      </c>
      <c r="AM32">
        <v>76601.470000000176</v>
      </c>
      <c r="AN32">
        <v>10681.070000000011</v>
      </c>
      <c r="AO32">
        <v>1689</v>
      </c>
    </row>
    <row r="33" spans="1:41" x14ac:dyDescent="0.35">
      <c r="A33">
        <v>2024</v>
      </c>
      <c r="B33">
        <v>5</v>
      </c>
      <c r="C33">
        <v>19</v>
      </c>
      <c r="D33" s="14">
        <v>45420</v>
      </c>
      <c r="E33" t="s">
        <v>41</v>
      </c>
      <c r="F33" t="s">
        <v>42</v>
      </c>
      <c r="G33" t="s">
        <v>43</v>
      </c>
      <c r="H33">
        <v>105165.25</v>
      </c>
      <c r="I33">
        <v>105165.25</v>
      </c>
      <c r="J33">
        <v>0</v>
      </c>
      <c r="K33">
        <v>1193.1700000000112</v>
      </c>
      <c r="L33">
        <v>1193.1700000000112</v>
      </c>
      <c r="M33">
        <v>0</v>
      </c>
      <c r="N33">
        <v>2526.1699999999937</v>
      </c>
      <c r="O33">
        <v>2526.1699999999937</v>
      </c>
      <c r="P33">
        <v>0</v>
      </c>
      <c r="Q33">
        <v>-10989.9</v>
      </c>
      <c r="R33">
        <v>-9887.9000000000015</v>
      </c>
      <c r="S33">
        <v>1102</v>
      </c>
      <c r="T33">
        <v>-4.9700000000000024</v>
      </c>
      <c r="U33">
        <v>-4.9700000000000024</v>
      </c>
      <c r="V33">
        <v>0</v>
      </c>
      <c r="W33">
        <v>-30</v>
      </c>
      <c r="X33">
        <v>-30</v>
      </c>
      <c r="Y33">
        <v>0</v>
      </c>
      <c r="Z33">
        <v>97859.720000000409</v>
      </c>
      <c r="AA33">
        <v>98961.720000000423</v>
      </c>
      <c r="AB33">
        <v>1102</v>
      </c>
      <c r="AC33">
        <v>37111.189999999682</v>
      </c>
      <c r="AD33">
        <v>21710.799999999945</v>
      </c>
      <c r="AE33">
        <v>-15400.389999999992</v>
      </c>
      <c r="AF33">
        <v>60748.530000000399</v>
      </c>
      <c r="AG33">
        <v>77250.920000000086</v>
      </c>
      <c r="AH33">
        <v>16502.389999999992</v>
      </c>
      <c r="AI33">
        <v>-11471.929999999995</v>
      </c>
      <c r="AJ33">
        <v>0</v>
      </c>
      <c r="AK33">
        <v>11471.929999999995</v>
      </c>
      <c r="AL33">
        <v>72220.460000000166</v>
      </c>
      <c r="AM33">
        <v>77250.920000000086</v>
      </c>
      <c r="AN33">
        <v>5030.4600000000264</v>
      </c>
      <c r="AO33">
        <v>1824</v>
      </c>
    </row>
    <row r="34" spans="1:41" x14ac:dyDescent="0.35">
      <c r="A34">
        <v>2024</v>
      </c>
      <c r="B34">
        <v>5</v>
      </c>
      <c r="C34">
        <v>19</v>
      </c>
      <c r="D34" s="14">
        <v>45421</v>
      </c>
      <c r="E34" t="s">
        <v>41</v>
      </c>
      <c r="F34" t="s">
        <v>42</v>
      </c>
      <c r="G34" t="s">
        <v>43</v>
      </c>
      <c r="H34">
        <v>103476.25</v>
      </c>
      <c r="I34">
        <v>103476.25</v>
      </c>
      <c r="J34">
        <v>0</v>
      </c>
      <c r="K34">
        <v>1227.570000000014</v>
      </c>
      <c r="L34">
        <v>1227.570000000014</v>
      </c>
      <c r="M34">
        <v>0</v>
      </c>
      <c r="N34">
        <v>2435.2199999999948</v>
      </c>
      <c r="O34">
        <v>2419.229999999995</v>
      </c>
      <c r="P34">
        <v>-15.99</v>
      </c>
      <c r="Q34">
        <v>-10731.7</v>
      </c>
      <c r="R34">
        <v>-9609.2000000000007</v>
      </c>
      <c r="S34">
        <v>1122.5</v>
      </c>
      <c r="T34">
        <v>-6.9500000000000011</v>
      </c>
      <c r="U34">
        <v>-6.9500000000000011</v>
      </c>
      <c r="V34">
        <v>0</v>
      </c>
      <c r="W34">
        <v>-59.980000000000004</v>
      </c>
      <c r="X34">
        <v>-59.980000000000004</v>
      </c>
      <c r="Y34">
        <v>0</v>
      </c>
      <c r="Z34">
        <v>96340.4100000006</v>
      </c>
      <c r="AA34">
        <v>97446.920000000639</v>
      </c>
      <c r="AB34">
        <v>1106.51</v>
      </c>
      <c r="AC34">
        <v>33914.089999999815</v>
      </c>
      <c r="AD34">
        <v>12342.810000000003</v>
      </c>
      <c r="AE34">
        <v>-21571.279999999908</v>
      </c>
      <c r="AF34">
        <v>62441.950000000434</v>
      </c>
      <c r="AG34">
        <v>85119.740000000325</v>
      </c>
      <c r="AH34">
        <v>22677.789999999895</v>
      </c>
      <c r="AI34">
        <v>-6288.7300000000023</v>
      </c>
      <c r="AJ34">
        <v>0</v>
      </c>
      <c r="AK34">
        <v>6288.7300000000023</v>
      </c>
      <c r="AL34">
        <v>68730.680000000313</v>
      </c>
      <c r="AM34">
        <v>85119.740000000325</v>
      </c>
      <c r="AN34">
        <v>16389.059999999929</v>
      </c>
      <c r="AO34">
        <v>1799</v>
      </c>
    </row>
    <row r="35" spans="1:41" x14ac:dyDescent="0.35">
      <c r="A35">
        <v>2024</v>
      </c>
      <c r="B35">
        <v>5</v>
      </c>
      <c r="C35">
        <v>19</v>
      </c>
      <c r="D35" s="14">
        <v>45422</v>
      </c>
      <c r="E35" t="s">
        <v>41</v>
      </c>
      <c r="F35" t="s">
        <v>42</v>
      </c>
      <c r="G35" t="s">
        <v>43</v>
      </c>
      <c r="H35">
        <v>128347.5</v>
      </c>
      <c r="I35">
        <v>128347.5</v>
      </c>
      <c r="J35">
        <v>0</v>
      </c>
      <c r="K35">
        <v>1557.4200000000244</v>
      </c>
      <c r="L35">
        <v>1543.4200000000244</v>
      </c>
      <c r="M35">
        <v>-14</v>
      </c>
      <c r="N35">
        <v>2544.1199999999935</v>
      </c>
      <c r="O35">
        <v>2544.1199999999935</v>
      </c>
      <c r="P35">
        <v>0</v>
      </c>
      <c r="Q35">
        <v>-13126.3</v>
      </c>
      <c r="R35">
        <v>-12651.3</v>
      </c>
      <c r="S35">
        <v>475</v>
      </c>
      <c r="T35">
        <v>-10.340000000000005</v>
      </c>
      <c r="U35">
        <v>-10.340000000000005</v>
      </c>
      <c r="V35">
        <v>0</v>
      </c>
      <c r="W35">
        <v>-95.97</v>
      </c>
      <c r="X35">
        <v>-95.97</v>
      </c>
      <c r="Y35">
        <v>0</v>
      </c>
      <c r="Z35">
        <v>119216.43000000113</v>
      </c>
      <c r="AA35">
        <v>119677.43000000113</v>
      </c>
      <c r="AB35">
        <v>461</v>
      </c>
      <c r="AC35">
        <v>36926.609999999775</v>
      </c>
      <c r="AD35">
        <v>24731.209999999963</v>
      </c>
      <c r="AE35">
        <v>-12195.400000000007</v>
      </c>
      <c r="AF35">
        <v>82305.450000000623</v>
      </c>
      <c r="AG35">
        <v>94961.850000000501</v>
      </c>
      <c r="AH35">
        <v>12656.400000000007</v>
      </c>
      <c r="AI35">
        <v>-11685.889999999985</v>
      </c>
      <c r="AJ35">
        <v>0</v>
      </c>
      <c r="AK35">
        <v>11685.889999999985</v>
      </c>
      <c r="AL35">
        <v>93991.340000000157</v>
      </c>
      <c r="AM35">
        <v>94961.850000000501</v>
      </c>
      <c r="AN35">
        <v>970.51</v>
      </c>
      <c r="AO35">
        <v>2244</v>
      </c>
    </row>
    <row r="36" spans="1:41" x14ac:dyDescent="0.35">
      <c r="A36">
        <v>2024</v>
      </c>
      <c r="B36">
        <v>5</v>
      </c>
      <c r="C36">
        <v>19</v>
      </c>
      <c r="D36" s="14">
        <v>45423</v>
      </c>
      <c r="E36" t="s">
        <v>41</v>
      </c>
      <c r="F36" t="s">
        <v>42</v>
      </c>
      <c r="G36" t="s">
        <v>43</v>
      </c>
      <c r="H36">
        <v>137464.5</v>
      </c>
      <c r="I36">
        <v>137464.5</v>
      </c>
      <c r="J36">
        <v>0</v>
      </c>
      <c r="K36">
        <v>1659.9100000000271</v>
      </c>
      <c r="L36">
        <v>1652.9100000000271</v>
      </c>
      <c r="M36">
        <v>-7</v>
      </c>
      <c r="N36">
        <v>2596.1199999999917</v>
      </c>
      <c r="O36">
        <v>2583.1299999999919</v>
      </c>
      <c r="P36">
        <v>-12.99</v>
      </c>
      <c r="Q36">
        <v>-13644.75</v>
      </c>
      <c r="R36">
        <v>-12763.15</v>
      </c>
      <c r="S36">
        <v>881.6</v>
      </c>
      <c r="T36">
        <v>-7.870000000000001</v>
      </c>
      <c r="U36">
        <v>-7.870000000000001</v>
      </c>
      <c r="V36">
        <v>0</v>
      </c>
      <c r="W36">
        <v>-80.990000000000009</v>
      </c>
      <c r="X36">
        <v>-80.990000000000009</v>
      </c>
      <c r="Y36">
        <v>0</v>
      </c>
      <c r="Z36">
        <v>127986.92000000206</v>
      </c>
      <c r="AA36">
        <v>128848.53000000209</v>
      </c>
      <c r="AB36">
        <v>861.61</v>
      </c>
      <c r="AC36">
        <v>42779.699999999662</v>
      </c>
      <c r="AD36">
        <v>18251.339999999927</v>
      </c>
      <c r="AE36">
        <v>-24528.359999999928</v>
      </c>
      <c r="AF36">
        <v>85207.220000000583</v>
      </c>
      <c r="AG36">
        <v>110597.19000000122</v>
      </c>
      <c r="AH36">
        <v>25389.969999999932</v>
      </c>
      <c r="AI36">
        <v>-9513.7899999999918</v>
      </c>
      <c r="AJ36">
        <v>0</v>
      </c>
      <c r="AK36">
        <v>9513.7899999999918</v>
      </c>
      <c r="AL36">
        <v>94721.010000000606</v>
      </c>
      <c r="AM36">
        <v>110597.19000000122</v>
      </c>
      <c r="AN36">
        <v>15876.179999999962</v>
      </c>
      <c r="AO36">
        <v>2393</v>
      </c>
    </row>
    <row r="37" spans="1:41" x14ac:dyDescent="0.35">
      <c r="A37">
        <v>2024</v>
      </c>
      <c r="B37">
        <v>5</v>
      </c>
      <c r="C37">
        <v>19</v>
      </c>
      <c r="D37" s="14">
        <v>45417</v>
      </c>
      <c r="E37" t="s">
        <v>44</v>
      </c>
      <c r="F37" t="s">
        <v>42</v>
      </c>
      <c r="G37" t="s">
        <v>45</v>
      </c>
      <c r="H37">
        <v>138082.57</v>
      </c>
      <c r="I37">
        <v>138082.57</v>
      </c>
      <c r="J37">
        <v>0</v>
      </c>
      <c r="K37">
        <v>1097.8000000000065</v>
      </c>
      <c r="L37">
        <v>1090.8000000000063</v>
      </c>
      <c r="M37">
        <v>-7</v>
      </c>
      <c r="N37">
        <v>6439.8099999999386</v>
      </c>
      <c r="O37">
        <v>6391.8399999999392</v>
      </c>
      <c r="P37">
        <v>-47.97</v>
      </c>
      <c r="Q37">
        <v>-24120.97</v>
      </c>
      <c r="R37">
        <v>-23728.97</v>
      </c>
      <c r="S37">
        <v>392</v>
      </c>
      <c r="T37">
        <v>-11.330000000000002</v>
      </c>
      <c r="U37">
        <v>-11.330000000000002</v>
      </c>
      <c r="V37">
        <v>0</v>
      </c>
      <c r="W37">
        <v>-118.67999999999999</v>
      </c>
      <c r="X37">
        <v>-113.67999999999999</v>
      </c>
      <c r="Y37">
        <v>5</v>
      </c>
      <c r="Z37">
        <v>121369.20000000097</v>
      </c>
      <c r="AA37">
        <v>121711.23000000097</v>
      </c>
      <c r="AB37">
        <v>342.03</v>
      </c>
      <c r="AC37">
        <v>27709.589999999756</v>
      </c>
      <c r="AD37">
        <v>18005.939999999915</v>
      </c>
      <c r="AE37">
        <v>-9703.6500000000015</v>
      </c>
      <c r="AF37">
        <v>93659.610000000248</v>
      </c>
      <c r="AG37">
        <v>103705.29000000058</v>
      </c>
      <c r="AH37">
        <v>10045.679999999997</v>
      </c>
      <c r="AI37">
        <v>-9478.0099999999929</v>
      </c>
      <c r="AJ37">
        <v>0</v>
      </c>
      <c r="AK37">
        <v>9478.0099999999929</v>
      </c>
      <c r="AL37">
        <v>103137.62000000005</v>
      </c>
      <c r="AM37">
        <v>103705.29000000058</v>
      </c>
      <c r="AN37">
        <v>567.66999999999996</v>
      </c>
      <c r="AO37">
        <v>1772</v>
      </c>
    </row>
    <row r="38" spans="1:41" x14ac:dyDescent="0.35">
      <c r="A38">
        <v>2024</v>
      </c>
      <c r="B38">
        <v>5</v>
      </c>
      <c r="C38">
        <v>19</v>
      </c>
      <c r="D38" s="14">
        <v>45418</v>
      </c>
      <c r="E38" t="s">
        <v>44</v>
      </c>
      <c r="F38" t="s">
        <v>42</v>
      </c>
      <c r="G38" t="s">
        <v>45</v>
      </c>
      <c r="H38">
        <v>151950.57</v>
      </c>
      <c r="I38">
        <v>151950.57</v>
      </c>
      <c r="J38">
        <v>0</v>
      </c>
      <c r="K38">
        <v>1089.4300000000108</v>
      </c>
      <c r="L38">
        <v>1089.4300000000108</v>
      </c>
      <c r="M38">
        <v>0</v>
      </c>
      <c r="N38">
        <v>6984.4899999999316</v>
      </c>
      <c r="O38">
        <v>6965.4999999999318</v>
      </c>
      <c r="P38">
        <v>-18.990000000000002</v>
      </c>
      <c r="Q38">
        <v>-26777.449999999997</v>
      </c>
      <c r="R38">
        <v>-26307.449999999997</v>
      </c>
      <c r="S38">
        <v>470</v>
      </c>
      <c r="T38">
        <v>-14.36</v>
      </c>
      <c r="U38">
        <v>-14.36</v>
      </c>
      <c r="V38">
        <v>0</v>
      </c>
      <c r="W38">
        <v>-94.789999999999992</v>
      </c>
      <c r="X38">
        <v>-94.789999999999992</v>
      </c>
      <c r="Y38">
        <v>0</v>
      </c>
      <c r="Z38">
        <v>133137.89000000115</v>
      </c>
      <c r="AA38">
        <v>133588.90000000113</v>
      </c>
      <c r="AB38">
        <v>451.01</v>
      </c>
      <c r="AC38">
        <v>32170.04999999981</v>
      </c>
      <c r="AD38">
        <v>14397.579999999967</v>
      </c>
      <c r="AE38">
        <v>-17772.46999999991</v>
      </c>
      <c r="AF38">
        <v>100967.85000000056</v>
      </c>
      <c r="AG38">
        <v>119191.33000000085</v>
      </c>
      <c r="AH38">
        <v>18223.479999999905</v>
      </c>
      <c r="AI38">
        <v>-7510.7400000000143</v>
      </c>
      <c r="AJ38">
        <v>0</v>
      </c>
      <c r="AK38">
        <v>7510.7400000000143</v>
      </c>
      <c r="AL38">
        <v>108478.59000000029</v>
      </c>
      <c r="AM38">
        <v>119191.33000000085</v>
      </c>
      <c r="AN38">
        <v>10712.739999999974</v>
      </c>
      <c r="AO38">
        <v>1937</v>
      </c>
    </row>
    <row r="39" spans="1:41" x14ac:dyDescent="0.35">
      <c r="A39">
        <v>2024</v>
      </c>
      <c r="B39">
        <v>5</v>
      </c>
      <c r="C39">
        <v>19</v>
      </c>
      <c r="D39" s="14">
        <v>45419</v>
      </c>
      <c r="E39" t="s">
        <v>44</v>
      </c>
      <c r="F39" t="s">
        <v>42</v>
      </c>
      <c r="G39" t="s">
        <v>45</v>
      </c>
      <c r="H39">
        <v>109809</v>
      </c>
      <c r="I39">
        <v>109809</v>
      </c>
      <c r="J39">
        <v>0</v>
      </c>
      <c r="K39">
        <v>716.40999999999985</v>
      </c>
      <c r="L39">
        <v>716.40999999999985</v>
      </c>
      <c r="M39">
        <v>0</v>
      </c>
      <c r="N39">
        <v>4826.8499999999613</v>
      </c>
      <c r="O39">
        <v>4826.8499999999613</v>
      </c>
      <c r="P39">
        <v>0</v>
      </c>
      <c r="Q39">
        <v>-18736.879999999997</v>
      </c>
      <c r="R39">
        <v>-17993.879999999997</v>
      </c>
      <c r="S39">
        <v>743</v>
      </c>
      <c r="T39">
        <v>-5.19</v>
      </c>
      <c r="U39">
        <v>-5.19</v>
      </c>
      <c r="V39">
        <v>0</v>
      </c>
      <c r="W39">
        <v>-89.64</v>
      </c>
      <c r="X39">
        <v>-89.64</v>
      </c>
      <c r="Y39">
        <v>0</v>
      </c>
      <c r="Z39">
        <v>96520.550000000396</v>
      </c>
      <c r="AA39">
        <v>97263.550000000439</v>
      </c>
      <c r="AB39">
        <v>743</v>
      </c>
      <c r="AC39">
        <v>23068.539999999852</v>
      </c>
      <c r="AD39">
        <v>8955.7600000000093</v>
      </c>
      <c r="AE39">
        <v>-14112.779999999952</v>
      </c>
      <c r="AF39">
        <v>73452.020000000208</v>
      </c>
      <c r="AG39">
        <v>88307.800000000352</v>
      </c>
      <c r="AH39">
        <v>14855.779999999946</v>
      </c>
      <c r="AI39">
        <v>-4686.9500000000035</v>
      </c>
      <c r="AJ39">
        <v>0</v>
      </c>
      <c r="AK39">
        <v>4686.9500000000035</v>
      </c>
      <c r="AL39">
        <v>78138.970000000118</v>
      </c>
      <c r="AM39">
        <v>88307.800000000352</v>
      </c>
      <c r="AN39">
        <v>10168.829999999989</v>
      </c>
      <c r="AO39">
        <v>1419</v>
      </c>
    </row>
    <row r="40" spans="1:41" x14ac:dyDescent="0.35">
      <c r="A40">
        <v>2024</v>
      </c>
      <c r="B40">
        <v>5</v>
      </c>
      <c r="C40">
        <v>19</v>
      </c>
      <c r="D40" s="14">
        <v>45420</v>
      </c>
      <c r="E40" t="s">
        <v>44</v>
      </c>
      <c r="F40" t="s">
        <v>42</v>
      </c>
      <c r="G40" t="s">
        <v>45</v>
      </c>
      <c r="H40">
        <v>118298.5</v>
      </c>
      <c r="I40">
        <v>118298.5</v>
      </c>
      <c r="J40">
        <v>0</v>
      </c>
      <c r="K40">
        <v>754.70000000000107</v>
      </c>
      <c r="L40">
        <v>784.70000000000152</v>
      </c>
      <c r="M40">
        <v>30</v>
      </c>
      <c r="N40">
        <v>5076.6499999999578</v>
      </c>
      <c r="O40">
        <v>5076.6499999999578</v>
      </c>
      <c r="P40">
        <v>0</v>
      </c>
      <c r="Q40">
        <v>-20212.2</v>
      </c>
      <c r="R40">
        <v>-19915.100000000002</v>
      </c>
      <c r="S40">
        <v>297.10000000000002</v>
      </c>
      <c r="T40">
        <v>-4.6000000000000005</v>
      </c>
      <c r="U40">
        <v>-4.6000000000000005</v>
      </c>
      <c r="V40">
        <v>0</v>
      </c>
      <c r="W40">
        <v>-90.84</v>
      </c>
      <c r="X40">
        <v>-90.84</v>
      </c>
      <c r="Y40">
        <v>0</v>
      </c>
      <c r="Z40">
        <v>103822.21000000053</v>
      </c>
      <c r="AA40">
        <v>104149.31000000052</v>
      </c>
      <c r="AB40">
        <v>327.10000000000002</v>
      </c>
      <c r="AC40">
        <v>22569.679999999829</v>
      </c>
      <c r="AD40">
        <v>13732.479999999947</v>
      </c>
      <c r="AE40">
        <v>-8837.2000000000116</v>
      </c>
      <c r="AF40">
        <v>81252.530000000115</v>
      </c>
      <c r="AG40">
        <v>90416.830000000147</v>
      </c>
      <c r="AH40">
        <v>9164.3000000000065</v>
      </c>
      <c r="AI40">
        <v>-7115.1500000000015</v>
      </c>
      <c r="AJ40">
        <v>0</v>
      </c>
      <c r="AK40">
        <v>7115.1500000000015</v>
      </c>
      <c r="AL40">
        <v>88367.680000000211</v>
      </c>
      <c r="AM40">
        <v>90416.830000000147</v>
      </c>
      <c r="AN40">
        <v>2049.150000000001</v>
      </c>
      <c r="AO40">
        <v>1509</v>
      </c>
    </row>
    <row r="41" spans="1:41" x14ac:dyDescent="0.35">
      <c r="A41">
        <v>2024</v>
      </c>
      <c r="B41">
        <v>5</v>
      </c>
      <c r="C41">
        <v>19</v>
      </c>
      <c r="D41" s="14">
        <v>45421</v>
      </c>
      <c r="E41" t="s">
        <v>44</v>
      </c>
      <c r="F41" t="s">
        <v>42</v>
      </c>
      <c r="G41" t="s">
        <v>45</v>
      </c>
      <c r="H41">
        <v>120722</v>
      </c>
      <c r="I41">
        <v>120722</v>
      </c>
      <c r="J41">
        <v>0</v>
      </c>
      <c r="K41">
        <v>816.81999999999994</v>
      </c>
      <c r="L41">
        <v>816.81999999999994</v>
      </c>
      <c r="M41">
        <v>0</v>
      </c>
      <c r="N41">
        <v>5192.5299999999552</v>
      </c>
      <c r="O41">
        <v>5192.5299999999552</v>
      </c>
      <c r="P41">
        <v>0</v>
      </c>
      <c r="Q41">
        <v>-20081.7</v>
      </c>
      <c r="R41">
        <v>-19484.7</v>
      </c>
      <c r="S41">
        <v>597</v>
      </c>
      <c r="T41">
        <v>-7.26</v>
      </c>
      <c r="U41">
        <v>-7.26</v>
      </c>
      <c r="V41">
        <v>0</v>
      </c>
      <c r="W41">
        <v>-51.9</v>
      </c>
      <c r="X41">
        <v>-51.9</v>
      </c>
      <c r="Y41">
        <v>0</v>
      </c>
      <c r="Z41">
        <v>106590.49000000059</v>
      </c>
      <c r="AA41">
        <v>107187.4900000006</v>
      </c>
      <c r="AB41">
        <v>597</v>
      </c>
      <c r="AC41">
        <v>20218.859999999837</v>
      </c>
      <c r="AD41">
        <v>6730.9900000000189</v>
      </c>
      <c r="AE41">
        <v>-13487.869999999952</v>
      </c>
      <c r="AF41">
        <v>86371.630000000208</v>
      </c>
      <c r="AG41">
        <v>100456.50000000051</v>
      </c>
      <c r="AH41">
        <v>14084.869999999943</v>
      </c>
      <c r="AI41">
        <v>-3681.1099999999997</v>
      </c>
      <c r="AJ41">
        <v>0</v>
      </c>
      <c r="AK41">
        <v>3681.1099999999997</v>
      </c>
      <c r="AL41">
        <v>90052.739999999947</v>
      </c>
      <c r="AM41">
        <v>100456.50000000051</v>
      </c>
      <c r="AN41">
        <v>10403.759999999989</v>
      </c>
      <c r="AO41">
        <v>1553</v>
      </c>
    </row>
    <row r="42" spans="1:41" x14ac:dyDescent="0.35">
      <c r="A42">
        <v>2024</v>
      </c>
      <c r="B42">
        <v>5</v>
      </c>
      <c r="C42">
        <v>19</v>
      </c>
      <c r="D42" s="14">
        <v>45422</v>
      </c>
      <c r="E42" t="s">
        <v>44</v>
      </c>
      <c r="F42" t="s">
        <v>42</v>
      </c>
      <c r="G42" t="s">
        <v>45</v>
      </c>
      <c r="H42">
        <v>103658</v>
      </c>
      <c r="I42">
        <v>103658</v>
      </c>
      <c r="J42">
        <v>0</v>
      </c>
      <c r="K42">
        <v>805.21000000000151</v>
      </c>
      <c r="L42">
        <v>805.21000000000151</v>
      </c>
      <c r="M42">
        <v>0</v>
      </c>
      <c r="N42">
        <v>4349.0399999999663</v>
      </c>
      <c r="O42">
        <v>4333.0499999999665</v>
      </c>
      <c r="P42">
        <v>-15.99</v>
      </c>
      <c r="Q42">
        <v>-16606.25</v>
      </c>
      <c r="R42">
        <v>-16299.25</v>
      </c>
      <c r="S42">
        <v>307</v>
      </c>
      <c r="T42">
        <v>-0.92</v>
      </c>
      <c r="U42">
        <v>-0.92</v>
      </c>
      <c r="V42">
        <v>0</v>
      </c>
      <c r="W42">
        <v>-74.89</v>
      </c>
      <c r="X42">
        <v>-74.89</v>
      </c>
      <c r="Y42">
        <v>0</v>
      </c>
      <c r="Z42">
        <v>92130.190000000162</v>
      </c>
      <c r="AA42">
        <v>92421.200000000157</v>
      </c>
      <c r="AB42">
        <v>291.01</v>
      </c>
      <c r="AC42">
        <v>12167.129999999957</v>
      </c>
      <c r="AD42">
        <v>5481.4100000000144</v>
      </c>
      <c r="AE42">
        <v>-6685.7200000000175</v>
      </c>
      <c r="AF42">
        <v>79963.060000000143</v>
      </c>
      <c r="AG42">
        <v>86939.790000000095</v>
      </c>
      <c r="AH42">
        <v>6976.7300000000187</v>
      </c>
      <c r="AI42">
        <v>-3131.1599999999994</v>
      </c>
      <c r="AJ42">
        <v>0</v>
      </c>
      <c r="AK42">
        <v>3131.1599999999994</v>
      </c>
      <c r="AL42">
        <v>83094.219999999958</v>
      </c>
      <c r="AM42">
        <v>86939.790000000095</v>
      </c>
      <c r="AN42">
        <v>3845.5700000000134</v>
      </c>
      <c r="AO42">
        <v>1340</v>
      </c>
    </row>
    <row r="43" spans="1:41" x14ac:dyDescent="0.35">
      <c r="A43">
        <v>2024</v>
      </c>
      <c r="B43">
        <v>5</v>
      </c>
      <c r="C43">
        <v>19</v>
      </c>
      <c r="D43" s="14">
        <v>45423</v>
      </c>
      <c r="E43" t="s">
        <v>44</v>
      </c>
      <c r="F43" t="s">
        <v>42</v>
      </c>
      <c r="G43" t="s">
        <v>45</v>
      </c>
      <c r="H43">
        <v>104946</v>
      </c>
      <c r="I43">
        <v>104946</v>
      </c>
      <c r="J43">
        <v>0</v>
      </c>
      <c r="K43">
        <v>882.31000000000438</v>
      </c>
      <c r="L43">
        <v>882.31000000000438</v>
      </c>
      <c r="M43">
        <v>0</v>
      </c>
      <c r="N43">
        <v>4832.7899999999609</v>
      </c>
      <c r="O43">
        <v>4832.7899999999609</v>
      </c>
      <c r="P43">
        <v>0</v>
      </c>
      <c r="Q43">
        <v>-17206</v>
      </c>
      <c r="R43">
        <v>-16981</v>
      </c>
      <c r="S43">
        <v>225</v>
      </c>
      <c r="T43">
        <v>-2.58</v>
      </c>
      <c r="U43">
        <v>-2.58</v>
      </c>
      <c r="V43">
        <v>0</v>
      </c>
      <c r="W43">
        <v>-108.99000000000001</v>
      </c>
      <c r="X43">
        <v>-108.99000000000001</v>
      </c>
      <c r="Y43">
        <v>0</v>
      </c>
      <c r="Z43">
        <v>93343.530000000406</v>
      </c>
      <c r="AA43">
        <v>93568.530000000406</v>
      </c>
      <c r="AB43">
        <v>225</v>
      </c>
      <c r="AC43">
        <v>17318.589999999913</v>
      </c>
      <c r="AD43">
        <v>11874.849999999971</v>
      </c>
      <c r="AE43">
        <v>-5443.7400000000134</v>
      </c>
      <c r="AF43">
        <v>76024.940000000177</v>
      </c>
      <c r="AG43">
        <v>81693.680000000255</v>
      </c>
      <c r="AH43">
        <v>5668.7400000000134</v>
      </c>
      <c r="AI43">
        <v>-6332.1199999999963</v>
      </c>
      <c r="AJ43">
        <v>-16</v>
      </c>
      <c r="AK43">
        <v>6316.1199999999963</v>
      </c>
      <c r="AL43">
        <v>82357.060000000114</v>
      </c>
      <c r="AM43">
        <v>81709.680000000255</v>
      </c>
      <c r="AN43">
        <v>-647.38000000000113</v>
      </c>
      <c r="AO43">
        <v>1366</v>
      </c>
    </row>
    <row r="44" spans="1:41" x14ac:dyDescent="0.35">
      <c r="A44">
        <v>2024</v>
      </c>
      <c r="B44">
        <v>5</v>
      </c>
      <c r="C44">
        <v>19</v>
      </c>
      <c r="D44" s="14">
        <v>45417</v>
      </c>
      <c r="E44" t="s">
        <v>44</v>
      </c>
      <c r="F44" t="s">
        <v>42</v>
      </c>
      <c r="G44" t="s">
        <v>46</v>
      </c>
      <c r="H44">
        <v>43631.619999999988</v>
      </c>
      <c r="I44">
        <v>43631.619999999988</v>
      </c>
      <c r="J44">
        <v>0</v>
      </c>
      <c r="K44">
        <v>180.45999999999987</v>
      </c>
      <c r="L44">
        <v>180.45999999999987</v>
      </c>
      <c r="M44">
        <v>0</v>
      </c>
      <c r="N44">
        <v>1056.3400000000004</v>
      </c>
      <c r="O44">
        <v>1056.3400000000004</v>
      </c>
      <c r="P44">
        <v>0</v>
      </c>
      <c r="Q44">
        <v>-15497.949999999986</v>
      </c>
      <c r="R44">
        <v>-15370.949999999986</v>
      </c>
      <c r="S44">
        <v>127</v>
      </c>
      <c r="T44">
        <v>0</v>
      </c>
      <c r="U44">
        <v>0</v>
      </c>
      <c r="V44">
        <v>0</v>
      </c>
      <c r="W44">
        <v>-5</v>
      </c>
      <c r="X44">
        <v>-5</v>
      </c>
      <c r="Y44">
        <v>0</v>
      </c>
      <c r="Z44">
        <v>29365.469999999979</v>
      </c>
      <c r="AA44">
        <v>29492.469999999979</v>
      </c>
      <c r="AB44">
        <v>127.00000000000001</v>
      </c>
      <c r="AC44">
        <v>8955.6900000000132</v>
      </c>
      <c r="AD44">
        <v>5272.0800000000099</v>
      </c>
      <c r="AE44">
        <v>-3683.6100000000069</v>
      </c>
      <c r="AF44">
        <v>20409.780000000017</v>
      </c>
      <c r="AG44">
        <v>24220.390000000003</v>
      </c>
      <c r="AH44">
        <v>3810.6100000000069</v>
      </c>
      <c r="AI44">
        <v>-1882.0200000000002</v>
      </c>
      <c r="AJ44">
        <v>0</v>
      </c>
      <c r="AK44">
        <v>1882.0200000000002</v>
      </c>
      <c r="AL44">
        <v>22291.800000000028</v>
      </c>
      <c r="AM44">
        <v>24220.390000000003</v>
      </c>
      <c r="AN44">
        <v>1928.5899999999995</v>
      </c>
      <c r="AO44">
        <v>506</v>
      </c>
    </row>
    <row r="45" spans="1:41" x14ac:dyDescent="0.35">
      <c r="A45">
        <v>2024</v>
      </c>
      <c r="B45">
        <v>5</v>
      </c>
      <c r="C45">
        <v>19</v>
      </c>
      <c r="D45" s="14">
        <v>45418</v>
      </c>
      <c r="E45" t="s">
        <v>44</v>
      </c>
      <c r="F45" t="s">
        <v>42</v>
      </c>
      <c r="G45" t="s">
        <v>46</v>
      </c>
      <c r="H45">
        <v>36560.049999999988</v>
      </c>
      <c r="I45">
        <v>36560.049999999988</v>
      </c>
      <c r="J45">
        <v>0</v>
      </c>
      <c r="K45">
        <v>121.5799999999999</v>
      </c>
      <c r="L45">
        <v>121.5799999999999</v>
      </c>
      <c r="M45">
        <v>0</v>
      </c>
      <c r="N45">
        <v>1081.3500000000004</v>
      </c>
      <c r="O45">
        <v>1065.3600000000004</v>
      </c>
      <c r="P45">
        <v>-15.99</v>
      </c>
      <c r="Q45">
        <v>-13279.659999999993</v>
      </c>
      <c r="R45">
        <v>-13098.659999999993</v>
      </c>
      <c r="S45">
        <v>181</v>
      </c>
      <c r="T45">
        <v>0</v>
      </c>
      <c r="U45">
        <v>0</v>
      </c>
      <c r="V45">
        <v>0</v>
      </c>
      <c r="W45">
        <v>-5</v>
      </c>
      <c r="X45">
        <v>-5</v>
      </c>
      <c r="Y45">
        <v>0</v>
      </c>
      <c r="Z45">
        <v>24478.319999999992</v>
      </c>
      <c r="AA45">
        <v>24643.329999999991</v>
      </c>
      <c r="AB45">
        <v>165.01</v>
      </c>
      <c r="AC45">
        <v>7457.3800000000174</v>
      </c>
      <c r="AD45">
        <v>2422.5400000000018</v>
      </c>
      <c r="AE45">
        <v>-5034.8400000000092</v>
      </c>
      <c r="AF45">
        <v>17020.940000000013</v>
      </c>
      <c r="AG45">
        <v>22220.790000000012</v>
      </c>
      <c r="AH45">
        <v>5199.8500000000095</v>
      </c>
      <c r="AI45">
        <v>-1028.5999999999995</v>
      </c>
      <c r="AJ45">
        <v>0</v>
      </c>
      <c r="AK45">
        <v>1028.5999999999995</v>
      </c>
      <c r="AL45">
        <v>18049.540000000008</v>
      </c>
      <c r="AM45">
        <v>22220.790000000012</v>
      </c>
      <c r="AN45">
        <v>4171.2500000000064</v>
      </c>
      <c r="AO45">
        <v>412</v>
      </c>
    </row>
    <row r="46" spans="1:41" x14ac:dyDescent="0.35">
      <c r="A46">
        <v>2024</v>
      </c>
      <c r="B46">
        <v>5</v>
      </c>
      <c r="C46">
        <v>19</v>
      </c>
      <c r="D46" s="14">
        <v>45419</v>
      </c>
      <c r="E46" t="s">
        <v>44</v>
      </c>
      <c r="F46" t="s">
        <v>42</v>
      </c>
      <c r="G46" t="s">
        <v>46</v>
      </c>
      <c r="H46">
        <v>20818.689999999995</v>
      </c>
      <c r="I46">
        <v>20818.689999999995</v>
      </c>
      <c r="J46">
        <v>0</v>
      </c>
      <c r="K46">
        <v>42.24000000000003</v>
      </c>
      <c r="L46">
        <v>42.24000000000003</v>
      </c>
      <c r="M46">
        <v>0</v>
      </c>
      <c r="N46">
        <v>688.57000000000028</v>
      </c>
      <c r="O46">
        <v>688.57000000000028</v>
      </c>
      <c r="P46">
        <v>0</v>
      </c>
      <c r="Q46">
        <v>-7795.2699999999986</v>
      </c>
      <c r="R46">
        <v>-7605.2699999999986</v>
      </c>
      <c r="S46">
        <v>190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13754.22999999998</v>
      </c>
      <c r="AA46">
        <v>13944.22999999998</v>
      </c>
      <c r="AB46">
        <v>190</v>
      </c>
      <c r="AC46">
        <v>4076.9300000000085</v>
      </c>
      <c r="AD46">
        <v>1687.02</v>
      </c>
      <c r="AE46">
        <v>-2389.9100000000026</v>
      </c>
      <c r="AF46">
        <v>9677.2999999999938</v>
      </c>
      <c r="AG46">
        <v>12257.209999999994</v>
      </c>
      <c r="AH46">
        <v>2579.9100000000026</v>
      </c>
      <c r="AI46">
        <v>-674.58000000000015</v>
      </c>
      <c r="AJ46">
        <v>0</v>
      </c>
      <c r="AK46">
        <v>674.58000000000015</v>
      </c>
      <c r="AL46">
        <v>10351.879999999996</v>
      </c>
      <c r="AM46">
        <v>12257.209999999994</v>
      </c>
      <c r="AN46">
        <v>1905.3300000000006</v>
      </c>
      <c r="AO46">
        <v>236</v>
      </c>
    </row>
    <row r="47" spans="1:41" x14ac:dyDescent="0.35">
      <c r="A47">
        <v>2024</v>
      </c>
      <c r="B47">
        <v>5</v>
      </c>
      <c r="C47">
        <v>19</v>
      </c>
      <c r="D47" s="14">
        <v>45420</v>
      </c>
      <c r="E47" t="s">
        <v>44</v>
      </c>
      <c r="F47" t="s">
        <v>42</v>
      </c>
      <c r="G47" t="s">
        <v>46</v>
      </c>
      <c r="H47">
        <v>28191.729999999996</v>
      </c>
      <c r="I47">
        <v>28191.729999999996</v>
      </c>
      <c r="J47">
        <v>0</v>
      </c>
      <c r="K47">
        <v>158.10000000000005</v>
      </c>
      <c r="L47">
        <v>158.10000000000005</v>
      </c>
      <c r="M47">
        <v>0</v>
      </c>
      <c r="N47">
        <v>775.51000000000033</v>
      </c>
      <c r="O47">
        <v>775.51000000000033</v>
      </c>
      <c r="P47">
        <v>0</v>
      </c>
      <c r="Q47">
        <v>-9877.1299999999992</v>
      </c>
      <c r="R47">
        <v>-9835.1299999999992</v>
      </c>
      <c r="S47">
        <v>42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19248.209999999995</v>
      </c>
      <c r="AA47">
        <v>19290.209999999995</v>
      </c>
      <c r="AB47">
        <v>42</v>
      </c>
      <c r="AC47">
        <v>5250.3600000000115</v>
      </c>
      <c r="AD47">
        <v>3637.7400000000066</v>
      </c>
      <c r="AE47">
        <v>-1612.6199999999997</v>
      </c>
      <c r="AF47">
        <v>13997.850000000011</v>
      </c>
      <c r="AG47">
        <v>15652.470000000005</v>
      </c>
      <c r="AH47">
        <v>1654.6199999999997</v>
      </c>
      <c r="AI47">
        <v>-1162.3599999999988</v>
      </c>
      <c r="AJ47">
        <v>0</v>
      </c>
      <c r="AK47">
        <v>1162.3599999999988</v>
      </c>
      <c r="AL47">
        <v>15160.209999999994</v>
      </c>
      <c r="AM47">
        <v>15652.470000000005</v>
      </c>
      <c r="AN47">
        <v>492.25999999999988</v>
      </c>
      <c r="AO47">
        <v>337</v>
      </c>
    </row>
    <row r="48" spans="1:41" x14ac:dyDescent="0.35">
      <c r="A48">
        <v>2024</v>
      </c>
      <c r="B48">
        <v>5</v>
      </c>
      <c r="C48">
        <v>19</v>
      </c>
      <c r="D48" s="14">
        <v>45421</v>
      </c>
      <c r="E48" t="s">
        <v>44</v>
      </c>
      <c r="F48" t="s">
        <v>42</v>
      </c>
      <c r="G48" t="s">
        <v>46</v>
      </c>
      <c r="H48">
        <v>35464.199999999997</v>
      </c>
      <c r="I48">
        <v>35464.199999999997</v>
      </c>
      <c r="J48">
        <v>0</v>
      </c>
      <c r="K48">
        <v>400.08999999999929</v>
      </c>
      <c r="L48">
        <v>400.08999999999929</v>
      </c>
      <c r="M48">
        <v>0</v>
      </c>
      <c r="N48">
        <v>966.41000000000042</v>
      </c>
      <c r="O48">
        <v>966.41000000000042</v>
      </c>
      <c r="P48">
        <v>0</v>
      </c>
      <c r="Q48">
        <v>-12059.099999999999</v>
      </c>
      <c r="R48">
        <v>-11980.099999999999</v>
      </c>
      <c r="S48">
        <v>79</v>
      </c>
      <c r="T48">
        <v>0</v>
      </c>
      <c r="U48">
        <v>0</v>
      </c>
      <c r="V48">
        <v>0</v>
      </c>
      <c r="W48">
        <v>-5</v>
      </c>
      <c r="X48">
        <v>-5</v>
      </c>
      <c r="Y48">
        <v>0</v>
      </c>
      <c r="Z48">
        <v>24766.6</v>
      </c>
      <c r="AA48">
        <v>24845.599999999999</v>
      </c>
      <c r="AB48">
        <v>79</v>
      </c>
      <c r="AC48">
        <v>6078.9700000000139</v>
      </c>
      <c r="AD48">
        <v>2656.9500000000021</v>
      </c>
      <c r="AE48">
        <v>-3422.0200000000054</v>
      </c>
      <c r="AF48">
        <v>18687.63000000003</v>
      </c>
      <c r="AG48">
        <v>22188.650000000023</v>
      </c>
      <c r="AH48">
        <v>3501.020000000005</v>
      </c>
      <c r="AI48">
        <v>-573.17000000000019</v>
      </c>
      <c r="AJ48">
        <v>0</v>
      </c>
      <c r="AK48">
        <v>573.17000000000019</v>
      </c>
      <c r="AL48">
        <v>19260.800000000017</v>
      </c>
      <c r="AM48">
        <v>22188.650000000023</v>
      </c>
      <c r="AN48">
        <v>2927.8500000000031</v>
      </c>
      <c r="AO48">
        <v>418</v>
      </c>
    </row>
    <row r="49" spans="1:41" x14ac:dyDescent="0.35">
      <c r="A49">
        <v>2024</v>
      </c>
      <c r="B49">
        <v>5</v>
      </c>
      <c r="C49">
        <v>19</v>
      </c>
      <c r="D49" s="14">
        <v>45422</v>
      </c>
      <c r="E49" t="s">
        <v>44</v>
      </c>
      <c r="F49" t="s">
        <v>42</v>
      </c>
      <c r="G49" t="s">
        <v>46</v>
      </c>
      <c r="H49">
        <v>34600.179999999993</v>
      </c>
      <c r="I49">
        <v>34600.179999999993</v>
      </c>
      <c r="J49">
        <v>0</v>
      </c>
      <c r="K49">
        <v>224.64000000000001</v>
      </c>
      <c r="L49">
        <v>224.64000000000001</v>
      </c>
      <c r="M49">
        <v>0</v>
      </c>
      <c r="N49">
        <v>1029.3400000000004</v>
      </c>
      <c r="O49">
        <v>1029.3400000000004</v>
      </c>
      <c r="P49">
        <v>0</v>
      </c>
      <c r="Q49">
        <v>-11455.929999999995</v>
      </c>
      <c r="R49">
        <v>-11372.929999999995</v>
      </c>
      <c r="S49">
        <v>83</v>
      </c>
      <c r="T49">
        <v>-0.23</v>
      </c>
      <c r="U49">
        <v>-0.23</v>
      </c>
      <c r="V49">
        <v>0</v>
      </c>
      <c r="W49">
        <v>0</v>
      </c>
      <c r="X49">
        <v>0</v>
      </c>
      <c r="Y49">
        <v>0</v>
      </c>
      <c r="Z49">
        <v>24398</v>
      </c>
      <c r="AA49">
        <v>24481</v>
      </c>
      <c r="AB49">
        <v>83</v>
      </c>
      <c r="AC49">
        <v>4761.3000000000102</v>
      </c>
      <c r="AD49">
        <v>2143.31</v>
      </c>
      <c r="AE49">
        <v>-2617.9900000000025</v>
      </c>
      <c r="AF49">
        <v>19636.70000000003</v>
      </c>
      <c r="AG49">
        <v>22337.690000000006</v>
      </c>
      <c r="AH49">
        <v>2700.9900000000025</v>
      </c>
      <c r="AI49">
        <v>-145.49999999999994</v>
      </c>
      <c r="AJ49">
        <v>0</v>
      </c>
      <c r="AK49">
        <v>145.49999999999994</v>
      </c>
      <c r="AL49">
        <v>19782.200000000019</v>
      </c>
      <c r="AM49">
        <v>22337.690000000006</v>
      </c>
      <c r="AN49">
        <v>2555.4900000000016</v>
      </c>
      <c r="AO49">
        <v>413</v>
      </c>
    </row>
    <row r="50" spans="1:41" x14ac:dyDescent="0.35">
      <c r="A50">
        <v>2024</v>
      </c>
      <c r="B50">
        <v>5</v>
      </c>
      <c r="C50">
        <v>19</v>
      </c>
      <c r="D50" s="14">
        <v>45423</v>
      </c>
      <c r="E50" t="s">
        <v>44</v>
      </c>
      <c r="F50" t="s">
        <v>42</v>
      </c>
      <c r="G50" t="s">
        <v>46</v>
      </c>
      <c r="H50">
        <v>35791.369999999995</v>
      </c>
      <c r="I50">
        <v>35791.369999999995</v>
      </c>
      <c r="J50">
        <v>0</v>
      </c>
      <c r="K50">
        <v>213.0400000000003</v>
      </c>
      <c r="L50">
        <v>213.0400000000003</v>
      </c>
      <c r="M50">
        <v>0</v>
      </c>
      <c r="N50">
        <v>1164.2600000000004</v>
      </c>
      <c r="O50">
        <v>1164.2600000000004</v>
      </c>
      <c r="P50">
        <v>0</v>
      </c>
      <c r="Q50">
        <v>-12132.719999999998</v>
      </c>
      <c r="R50">
        <v>-12025.719999999998</v>
      </c>
      <c r="S50">
        <v>107</v>
      </c>
      <c r="T50">
        <v>-0.48</v>
      </c>
      <c r="U50">
        <v>-0.48</v>
      </c>
      <c r="V50">
        <v>0</v>
      </c>
      <c r="W50">
        <v>0</v>
      </c>
      <c r="X50">
        <v>0</v>
      </c>
      <c r="Y50">
        <v>0</v>
      </c>
      <c r="Z50">
        <v>25035.469999999998</v>
      </c>
      <c r="AA50">
        <v>25142.469999999994</v>
      </c>
      <c r="AB50">
        <v>107</v>
      </c>
      <c r="AC50">
        <v>5948.0800000000118</v>
      </c>
      <c r="AD50">
        <v>3835.520000000005</v>
      </c>
      <c r="AE50">
        <v>-2112.5600000000004</v>
      </c>
      <c r="AF50">
        <v>19087.39000000001</v>
      </c>
      <c r="AG50">
        <v>21306.950000000012</v>
      </c>
      <c r="AH50">
        <v>2219.5600000000004</v>
      </c>
      <c r="AI50">
        <v>-1336.0900000000001</v>
      </c>
      <c r="AJ50">
        <v>0</v>
      </c>
      <c r="AK50">
        <v>1336.0900000000001</v>
      </c>
      <c r="AL50">
        <v>20423.48</v>
      </c>
      <c r="AM50">
        <v>21306.950000000012</v>
      </c>
      <c r="AN50">
        <v>883.46999999999969</v>
      </c>
      <c r="AO50">
        <v>415</v>
      </c>
    </row>
    <row r="51" spans="1:41" x14ac:dyDescent="0.35">
      <c r="A51">
        <v>2024</v>
      </c>
      <c r="B51">
        <v>5</v>
      </c>
      <c r="C51">
        <v>19</v>
      </c>
      <c r="D51" s="14">
        <v>45417</v>
      </c>
      <c r="E51" t="s">
        <v>44</v>
      </c>
      <c r="F51" t="s">
        <v>47</v>
      </c>
      <c r="G51" t="s">
        <v>48</v>
      </c>
      <c r="H51">
        <v>9328.5999999999967</v>
      </c>
      <c r="I51">
        <v>9328.5999999999967</v>
      </c>
      <c r="J51">
        <v>0</v>
      </c>
      <c r="K51">
        <v>368.45999999999992</v>
      </c>
      <c r="L51">
        <v>368.45999999999992</v>
      </c>
      <c r="M51">
        <v>0</v>
      </c>
      <c r="N51">
        <v>21.98</v>
      </c>
      <c r="O51">
        <v>21.98</v>
      </c>
      <c r="P51">
        <v>0</v>
      </c>
      <c r="Q51">
        <v>-1980.76</v>
      </c>
      <c r="R51">
        <v>-1980.76</v>
      </c>
      <c r="S51">
        <v>0</v>
      </c>
      <c r="T51">
        <v>-11</v>
      </c>
      <c r="U51">
        <v>-11</v>
      </c>
      <c r="V51">
        <v>0</v>
      </c>
      <c r="W51">
        <v>0</v>
      </c>
      <c r="X51">
        <v>0</v>
      </c>
      <c r="Y51">
        <v>0</v>
      </c>
      <c r="Z51">
        <v>7727.2800000000061</v>
      </c>
      <c r="AA51">
        <v>7727.2800000000061</v>
      </c>
      <c r="AB51">
        <v>0</v>
      </c>
      <c r="AC51">
        <v>51.63</v>
      </c>
      <c r="AD51">
        <v>36.380000000000003</v>
      </c>
      <c r="AE51">
        <v>-15.25</v>
      </c>
      <c r="AF51">
        <v>7675.650000000006</v>
      </c>
      <c r="AG51">
        <v>7690.900000000006</v>
      </c>
      <c r="AH51">
        <v>15.250000000000007</v>
      </c>
      <c r="AI51">
        <v>2852.9399999999955</v>
      </c>
      <c r="AJ51">
        <v>0</v>
      </c>
      <c r="AK51">
        <v>-2852.9399999999955</v>
      </c>
      <c r="AL51">
        <v>4822.7099999999937</v>
      </c>
      <c r="AM51">
        <v>7690.900000000006</v>
      </c>
      <c r="AN51">
        <v>2868.1899999999951</v>
      </c>
      <c r="AO51">
        <v>230</v>
      </c>
    </row>
    <row r="52" spans="1:41" x14ac:dyDescent="0.35">
      <c r="A52">
        <v>2024</v>
      </c>
      <c r="B52">
        <v>5</v>
      </c>
      <c r="C52">
        <v>19</v>
      </c>
      <c r="D52" s="14">
        <v>45418</v>
      </c>
      <c r="E52" t="s">
        <v>44</v>
      </c>
      <c r="F52" t="s">
        <v>47</v>
      </c>
      <c r="G52" t="s">
        <v>48</v>
      </c>
      <c r="H52">
        <v>5483.1</v>
      </c>
      <c r="I52">
        <v>5483.1</v>
      </c>
      <c r="J52">
        <v>0</v>
      </c>
      <c r="K52">
        <v>7.46</v>
      </c>
      <c r="L52">
        <v>7.46</v>
      </c>
      <c r="M52">
        <v>0</v>
      </c>
      <c r="N52">
        <v>0</v>
      </c>
      <c r="O52">
        <v>0</v>
      </c>
      <c r="P52">
        <v>0</v>
      </c>
      <c r="Q52">
        <v>-1124.5999999999995</v>
      </c>
      <c r="R52">
        <v>-1124.5999999999995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4365.96</v>
      </c>
      <c r="AA52">
        <v>4365.96</v>
      </c>
      <c r="AB52">
        <v>0</v>
      </c>
      <c r="AC52">
        <v>88.59</v>
      </c>
      <c r="AD52">
        <v>52.21</v>
      </c>
      <c r="AE52">
        <v>-36.380000000000003</v>
      </c>
      <c r="AF52">
        <v>4277.37</v>
      </c>
      <c r="AG52">
        <v>4313.75</v>
      </c>
      <c r="AH52">
        <v>36.379999999999995</v>
      </c>
      <c r="AI52">
        <v>1325.8100000000006</v>
      </c>
      <c r="AJ52">
        <v>0</v>
      </c>
      <c r="AK52">
        <v>-1325.8100000000006</v>
      </c>
      <c r="AL52">
        <v>2951.5600000000013</v>
      </c>
      <c r="AM52">
        <v>4313.75</v>
      </c>
      <c r="AN52">
        <v>1362.1900000000003</v>
      </c>
      <c r="AO52">
        <v>104</v>
      </c>
    </row>
    <row r="53" spans="1:41" x14ac:dyDescent="0.35">
      <c r="A53">
        <v>2024</v>
      </c>
      <c r="B53">
        <v>5</v>
      </c>
      <c r="C53">
        <v>19</v>
      </c>
      <c r="D53" s="14">
        <v>45419</v>
      </c>
      <c r="E53" t="s">
        <v>44</v>
      </c>
      <c r="F53" t="s">
        <v>47</v>
      </c>
      <c r="G53" t="s">
        <v>48</v>
      </c>
      <c r="H53">
        <v>419.15000000000003</v>
      </c>
      <c r="I53">
        <v>419.15000000000003</v>
      </c>
      <c r="J53">
        <v>0</v>
      </c>
      <c r="K53">
        <v>0.92</v>
      </c>
      <c r="L53">
        <v>0.92</v>
      </c>
      <c r="M53">
        <v>0</v>
      </c>
      <c r="N53">
        <v>12.99</v>
      </c>
      <c r="O53">
        <v>12.99</v>
      </c>
      <c r="P53">
        <v>0</v>
      </c>
      <c r="Q53">
        <v>-180.8</v>
      </c>
      <c r="R53">
        <v>-169.8</v>
      </c>
      <c r="S53">
        <v>11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252.26000000000005</v>
      </c>
      <c r="AA53">
        <v>263.26000000000005</v>
      </c>
      <c r="AB53">
        <v>11</v>
      </c>
      <c r="AC53">
        <v>55.29</v>
      </c>
      <c r="AD53">
        <v>3.08</v>
      </c>
      <c r="AE53">
        <v>-52.21</v>
      </c>
      <c r="AF53">
        <v>196.97000000000003</v>
      </c>
      <c r="AG53">
        <v>260.18</v>
      </c>
      <c r="AH53">
        <v>63.21</v>
      </c>
      <c r="AI53">
        <v>31.43</v>
      </c>
      <c r="AJ53">
        <v>0</v>
      </c>
      <c r="AK53">
        <v>-31.43</v>
      </c>
      <c r="AL53">
        <v>165.54</v>
      </c>
      <c r="AM53">
        <v>260.18</v>
      </c>
      <c r="AN53">
        <v>94.64</v>
      </c>
      <c r="AO53">
        <v>7</v>
      </c>
    </row>
    <row r="54" spans="1:41" x14ac:dyDescent="0.35">
      <c r="A54">
        <v>2024</v>
      </c>
      <c r="B54">
        <v>5</v>
      </c>
      <c r="C54">
        <v>19</v>
      </c>
      <c r="D54" s="14">
        <v>45420</v>
      </c>
      <c r="E54" t="s">
        <v>44</v>
      </c>
      <c r="F54" t="s">
        <v>47</v>
      </c>
      <c r="G54" t="s">
        <v>48</v>
      </c>
      <c r="H54">
        <v>3892.9000000000074</v>
      </c>
      <c r="I54">
        <v>3892.9000000000074</v>
      </c>
      <c r="J54">
        <v>0</v>
      </c>
      <c r="K54">
        <v>725.31000000000017</v>
      </c>
      <c r="L54">
        <v>848.11000000000035</v>
      </c>
      <c r="M54">
        <v>122.8</v>
      </c>
      <c r="N54">
        <v>31.980000000000004</v>
      </c>
      <c r="O54">
        <v>31.980000000000004</v>
      </c>
      <c r="P54">
        <v>0</v>
      </c>
      <c r="Q54">
        <v>-329.1</v>
      </c>
      <c r="R54">
        <v>-329.1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4321.0900000000065</v>
      </c>
      <c r="AA54">
        <v>4443.8900000000067</v>
      </c>
      <c r="AB54">
        <v>122.8</v>
      </c>
      <c r="AC54">
        <v>3.08</v>
      </c>
      <c r="AE54">
        <v>-3.08</v>
      </c>
      <c r="AF54">
        <v>4318.0100000000066</v>
      </c>
      <c r="AG54">
        <v>4443.8900000000067</v>
      </c>
      <c r="AH54">
        <v>125.88</v>
      </c>
      <c r="AI54">
        <v>1452.3899999999992</v>
      </c>
      <c r="AJ54">
        <v>0</v>
      </c>
      <c r="AK54">
        <v>-1452.3899999999992</v>
      </c>
      <c r="AL54">
        <v>2865.619999999999</v>
      </c>
      <c r="AM54">
        <v>4443.8900000000067</v>
      </c>
      <c r="AN54">
        <v>1578.2699999999993</v>
      </c>
      <c r="AO54">
        <v>162</v>
      </c>
    </row>
    <row r="55" spans="1:41" x14ac:dyDescent="0.35">
      <c r="A55">
        <v>2024</v>
      </c>
      <c r="B55">
        <v>5</v>
      </c>
      <c r="C55">
        <v>19</v>
      </c>
      <c r="D55" s="14">
        <v>45421</v>
      </c>
      <c r="E55" t="s">
        <v>44</v>
      </c>
      <c r="F55" t="s">
        <v>47</v>
      </c>
      <c r="G55" t="s">
        <v>48</v>
      </c>
      <c r="H55">
        <v>6738.8500000000131</v>
      </c>
      <c r="I55">
        <v>6738.8500000000131</v>
      </c>
      <c r="J55">
        <v>0</v>
      </c>
      <c r="K55">
        <v>340.64999999999992</v>
      </c>
      <c r="L55">
        <v>340.64999999999992</v>
      </c>
      <c r="M55">
        <v>0</v>
      </c>
      <c r="N55">
        <v>0</v>
      </c>
      <c r="O55">
        <v>0</v>
      </c>
      <c r="P55">
        <v>0</v>
      </c>
      <c r="Q55">
        <v>-805.75</v>
      </c>
      <c r="R55">
        <v>-805.75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6273.7500000000146</v>
      </c>
      <c r="AA55">
        <v>6273.7500000000146</v>
      </c>
      <c r="AB55">
        <v>0</v>
      </c>
      <c r="AC55">
        <v>22.42</v>
      </c>
      <c r="AD55">
        <v>22.42</v>
      </c>
      <c r="AE55">
        <v>0</v>
      </c>
      <c r="AF55">
        <v>6251.3300000000145</v>
      </c>
      <c r="AG55">
        <v>6251.3300000000145</v>
      </c>
      <c r="AH55">
        <v>0</v>
      </c>
      <c r="AI55">
        <v>2164.9699999999943</v>
      </c>
      <c r="AJ55">
        <v>0</v>
      </c>
      <c r="AK55">
        <v>-2164.9699999999943</v>
      </c>
      <c r="AL55">
        <v>4086.3599999999983</v>
      </c>
      <c r="AM55">
        <v>6251.3300000000145</v>
      </c>
      <c r="AN55">
        <v>2164.9699999999943</v>
      </c>
      <c r="AO55">
        <v>234</v>
      </c>
    </row>
    <row r="56" spans="1:41" x14ac:dyDescent="0.35">
      <c r="A56">
        <v>2024</v>
      </c>
      <c r="B56">
        <v>5</v>
      </c>
      <c r="C56">
        <v>19</v>
      </c>
      <c r="D56" s="14">
        <v>45422</v>
      </c>
      <c r="E56" t="s">
        <v>44</v>
      </c>
      <c r="F56" t="s">
        <v>47</v>
      </c>
      <c r="G56" t="s">
        <v>48</v>
      </c>
      <c r="H56">
        <v>5780.5500000000084</v>
      </c>
      <c r="I56">
        <v>5780.5500000000084</v>
      </c>
      <c r="J56">
        <v>0</v>
      </c>
      <c r="K56">
        <v>676.70000000000016</v>
      </c>
      <c r="L56">
        <v>676.70000000000016</v>
      </c>
      <c r="M56">
        <v>0</v>
      </c>
      <c r="N56">
        <v>0</v>
      </c>
      <c r="O56">
        <v>0</v>
      </c>
      <c r="P56">
        <v>0</v>
      </c>
      <c r="Q56">
        <v>-699.09999999999991</v>
      </c>
      <c r="R56">
        <v>-699.09999999999991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5758.1500000000051</v>
      </c>
      <c r="AA56">
        <v>5758.1500000000051</v>
      </c>
      <c r="AB56">
        <v>0</v>
      </c>
      <c r="AC56">
        <v>22.42</v>
      </c>
      <c r="AE56">
        <v>-22.42</v>
      </c>
      <c r="AF56">
        <v>5735.7300000000059</v>
      </c>
      <c r="AG56">
        <v>5758.1500000000051</v>
      </c>
      <c r="AH56">
        <v>22.42</v>
      </c>
      <c r="AI56">
        <v>1805.1099999999997</v>
      </c>
      <c r="AJ56">
        <v>0</v>
      </c>
      <c r="AK56">
        <v>-1805.1099999999997</v>
      </c>
      <c r="AL56">
        <v>3930.6199999999976</v>
      </c>
      <c r="AM56">
        <v>5758.1500000000051</v>
      </c>
      <c r="AN56">
        <v>1827.5299999999997</v>
      </c>
      <c r="AO56">
        <v>186</v>
      </c>
    </row>
    <row r="57" spans="1:41" x14ac:dyDescent="0.35">
      <c r="A57">
        <v>2024</v>
      </c>
      <c r="B57">
        <v>5</v>
      </c>
      <c r="C57">
        <v>19</v>
      </c>
      <c r="D57" s="14">
        <v>45423</v>
      </c>
      <c r="E57" t="s">
        <v>44</v>
      </c>
      <c r="F57" t="s">
        <v>47</v>
      </c>
      <c r="G57" t="s">
        <v>48</v>
      </c>
      <c r="H57">
        <v>6585.3000000000138</v>
      </c>
      <c r="I57">
        <v>6585.3000000000138</v>
      </c>
      <c r="J57">
        <v>0</v>
      </c>
      <c r="K57">
        <v>639.85</v>
      </c>
      <c r="L57">
        <v>639.85</v>
      </c>
      <c r="M57">
        <v>0</v>
      </c>
      <c r="N57">
        <v>0</v>
      </c>
      <c r="O57">
        <v>0</v>
      </c>
      <c r="P57">
        <v>0</v>
      </c>
      <c r="Q57">
        <v>-1215.3000000000002</v>
      </c>
      <c r="R57">
        <v>-1215.3000000000002</v>
      </c>
      <c r="S57">
        <v>0</v>
      </c>
      <c r="T57">
        <v>-8.8000000000000007</v>
      </c>
      <c r="U57">
        <v>-8.8000000000000007</v>
      </c>
      <c r="V57">
        <v>0</v>
      </c>
      <c r="W57">
        <v>0</v>
      </c>
      <c r="X57">
        <v>0</v>
      </c>
      <c r="Y57">
        <v>0</v>
      </c>
      <c r="Z57">
        <v>6001.050000000012</v>
      </c>
      <c r="AA57">
        <v>6001.050000000012</v>
      </c>
      <c r="AB57">
        <v>0</v>
      </c>
      <c r="AE57">
        <v>0</v>
      </c>
      <c r="AF57">
        <v>6001.050000000012</v>
      </c>
      <c r="AG57">
        <v>6001.050000000012</v>
      </c>
      <c r="AH57">
        <v>0</v>
      </c>
      <c r="AI57">
        <v>1987.3299999999986</v>
      </c>
      <c r="AJ57">
        <v>0</v>
      </c>
      <c r="AK57">
        <v>-1987.3299999999986</v>
      </c>
      <c r="AL57">
        <v>4013.72</v>
      </c>
      <c r="AM57">
        <v>6001.050000000012</v>
      </c>
      <c r="AN57">
        <v>1987.3299999999983</v>
      </c>
      <c r="AO57">
        <v>177</v>
      </c>
    </row>
    <row r="58" spans="1:41" x14ac:dyDescent="0.35">
      <c r="A58">
        <v>2024</v>
      </c>
      <c r="B58">
        <v>5</v>
      </c>
      <c r="C58">
        <v>19</v>
      </c>
      <c r="D58" s="14">
        <v>45417</v>
      </c>
      <c r="E58" t="s">
        <v>44</v>
      </c>
      <c r="F58" t="s">
        <v>47</v>
      </c>
      <c r="G58" t="s">
        <v>49</v>
      </c>
      <c r="H58">
        <v>14084</v>
      </c>
      <c r="I58">
        <v>14084</v>
      </c>
      <c r="J58">
        <v>0</v>
      </c>
      <c r="K58">
        <v>366.67999999999995</v>
      </c>
      <c r="L58">
        <v>366.67999999999995</v>
      </c>
      <c r="M58">
        <v>0</v>
      </c>
      <c r="N58">
        <v>286.84000000000009</v>
      </c>
      <c r="O58">
        <v>286.84000000000009</v>
      </c>
      <c r="P58">
        <v>0</v>
      </c>
      <c r="Q58">
        <v>-4825.8</v>
      </c>
      <c r="R58">
        <v>-4815.8</v>
      </c>
      <c r="S58">
        <v>10</v>
      </c>
      <c r="T58">
        <v>-61.539999999999992</v>
      </c>
      <c r="U58">
        <v>-61.539999999999992</v>
      </c>
      <c r="V58">
        <v>0</v>
      </c>
      <c r="W58">
        <v>-20.990000000000002</v>
      </c>
      <c r="X58">
        <v>-20.990000000000002</v>
      </c>
      <c r="Y58">
        <v>0</v>
      </c>
      <c r="Z58">
        <v>9829.1899999999951</v>
      </c>
      <c r="AA58">
        <v>9839.1899999999951</v>
      </c>
      <c r="AB58">
        <v>10</v>
      </c>
      <c r="AC58">
        <v>394.17</v>
      </c>
      <c r="AD58">
        <v>108.02000000000001</v>
      </c>
      <c r="AE58">
        <v>-286.14999999999998</v>
      </c>
      <c r="AF58">
        <v>9435.0199999999968</v>
      </c>
      <c r="AG58">
        <v>9731.1699999999964</v>
      </c>
      <c r="AH58">
        <v>296.15000000000003</v>
      </c>
      <c r="AI58">
        <v>1821.6099999999997</v>
      </c>
      <c r="AJ58">
        <v>0</v>
      </c>
      <c r="AK58">
        <v>-1821.6099999999997</v>
      </c>
      <c r="AL58">
        <v>7613.41</v>
      </c>
      <c r="AM58">
        <v>9731.1699999999964</v>
      </c>
      <c r="AN58">
        <v>2117.7600000000002</v>
      </c>
      <c r="AO58">
        <v>179</v>
      </c>
    </row>
    <row r="59" spans="1:41" x14ac:dyDescent="0.35">
      <c r="A59">
        <v>2024</v>
      </c>
      <c r="B59">
        <v>5</v>
      </c>
      <c r="C59">
        <v>19</v>
      </c>
      <c r="D59" s="14">
        <v>45418</v>
      </c>
      <c r="E59" t="s">
        <v>44</v>
      </c>
      <c r="F59" t="s">
        <v>47</v>
      </c>
      <c r="G59" t="s">
        <v>49</v>
      </c>
      <c r="H59">
        <v>6959</v>
      </c>
      <c r="I59">
        <v>6959</v>
      </c>
      <c r="J59">
        <v>0</v>
      </c>
      <c r="K59">
        <v>67.679999999999993</v>
      </c>
      <c r="L59">
        <v>67.679999999999993</v>
      </c>
      <c r="M59">
        <v>0</v>
      </c>
      <c r="N59">
        <v>254.85000000000005</v>
      </c>
      <c r="O59">
        <v>254.85000000000005</v>
      </c>
      <c r="P59">
        <v>0</v>
      </c>
      <c r="Q59">
        <v>-2208.83</v>
      </c>
      <c r="R59">
        <v>-2208.83</v>
      </c>
      <c r="S59">
        <v>0</v>
      </c>
      <c r="T59">
        <v>-30</v>
      </c>
      <c r="U59">
        <v>-30</v>
      </c>
      <c r="V59">
        <v>0</v>
      </c>
      <c r="W59">
        <v>0</v>
      </c>
      <c r="X59">
        <v>0</v>
      </c>
      <c r="Y59">
        <v>0</v>
      </c>
      <c r="Z59">
        <v>5042.7</v>
      </c>
      <c r="AA59">
        <v>5042.7</v>
      </c>
      <c r="AB59">
        <v>0</v>
      </c>
      <c r="AC59">
        <v>217.95</v>
      </c>
      <c r="AD59">
        <v>109.92999999999999</v>
      </c>
      <c r="AE59">
        <v>-108.02</v>
      </c>
      <c r="AF59">
        <v>4824.75</v>
      </c>
      <c r="AG59">
        <v>4932.7700000000004</v>
      </c>
      <c r="AH59">
        <v>108.02000000000002</v>
      </c>
      <c r="AI59">
        <v>939.32000000000016</v>
      </c>
      <c r="AJ59">
        <v>0</v>
      </c>
      <c r="AK59">
        <v>-939.32000000000016</v>
      </c>
      <c r="AL59">
        <v>3885.4299999999985</v>
      </c>
      <c r="AM59">
        <v>4932.7700000000004</v>
      </c>
      <c r="AN59">
        <v>1047.3400000000004</v>
      </c>
      <c r="AO59">
        <v>96</v>
      </c>
    </row>
    <row r="60" spans="1:41" x14ac:dyDescent="0.35">
      <c r="A60">
        <v>2024</v>
      </c>
      <c r="B60">
        <v>5</v>
      </c>
      <c r="C60">
        <v>19</v>
      </c>
      <c r="D60" s="14">
        <v>45419</v>
      </c>
      <c r="E60" t="s">
        <v>44</v>
      </c>
      <c r="F60" t="s">
        <v>47</v>
      </c>
      <c r="G60" t="s">
        <v>49</v>
      </c>
      <c r="H60">
        <v>801</v>
      </c>
      <c r="I60">
        <v>801</v>
      </c>
      <c r="J60">
        <v>0</v>
      </c>
      <c r="K60">
        <v>19.91</v>
      </c>
      <c r="L60">
        <v>19.91</v>
      </c>
      <c r="M60">
        <v>0</v>
      </c>
      <c r="N60">
        <v>91.950000000000017</v>
      </c>
      <c r="O60">
        <v>91.950000000000017</v>
      </c>
      <c r="P60">
        <v>0</v>
      </c>
      <c r="Q60">
        <v>-262.7</v>
      </c>
      <c r="R60">
        <v>-262.7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650.16000000000008</v>
      </c>
      <c r="AA60">
        <v>650.16000000000008</v>
      </c>
      <c r="AB60">
        <v>0</v>
      </c>
      <c r="AC60">
        <v>136.84</v>
      </c>
      <c r="AD60">
        <v>27.63</v>
      </c>
      <c r="AE60">
        <v>-109.21000000000001</v>
      </c>
      <c r="AF60">
        <v>513.32000000000005</v>
      </c>
      <c r="AG60">
        <v>622.53000000000009</v>
      </c>
      <c r="AH60">
        <v>109.20999999999998</v>
      </c>
      <c r="AI60">
        <v>-2.8199999999999967</v>
      </c>
      <c r="AJ60">
        <v>0</v>
      </c>
      <c r="AK60">
        <v>2.8199999999999967</v>
      </c>
      <c r="AL60">
        <v>516.14</v>
      </c>
      <c r="AM60">
        <v>622.53000000000009</v>
      </c>
      <c r="AN60">
        <v>106.38999999999999</v>
      </c>
      <c r="AO60">
        <v>10</v>
      </c>
    </row>
    <row r="61" spans="1:41" x14ac:dyDescent="0.35">
      <c r="A61">
        <v>2024</v>
      </c>
      <c r="B61">
        <v>5</v>
      </c>
      <c r="C61">
        <v>19</v>
      </c>
      <c r="D61" s="14">
        <v>45420</v>
      </c>
      <c r="E61" t="s">
        <v>44</v>
      </c>
      <c r="F61" t="s">
        <v>47</v>
      </c>
      <c r="G61" t="s">
        <v>49</v>
      </c>
      <c r="H61">
        <v>5472.1</v>
      </c>
      <c r="I61">
        <v>5472.1</v>
      </c>
      <c r="J61">
        <v>0</v>
      </c>
      <c r="K61">
        <v>45.92</v>
      </c>
      <c r="L61">
        <v>45.92</v>
      </c>
      <c r="M61">
        <v>0</v>
      </c>
      <c r="N61">
        <v>79.960000000000008</v>
      </c>
      <c r="O61">
        <v>79.960000000000008</v>
      </c>
      <c r="P61">
        <v>0</v>
      </c>
      <c r="Q61">
        <v>-2485.9</v>
      </c>
      <c r="R61">
        <v>-2485.9</v>
      </c>
      <c r="S61">
        <v>0</v>
      </c>
      <c r="T61">
        <v>-5</v>
      </c>
      <c r="U61">
        <v>-5</v>
      </c>
      <c r="V61">
        <v>0</v>
      </c>
      <c r="W61">
        <v>-5</v>
      </c>
      <c r="X61">
        <v>-5</v>
      </c>
      <c r="Y61">
        <v>0</v>
      </c>
      <c r="Z61">
        <v>3102.08</v>
      </c>
      <c r="AA61">
        <v>3102.08</v>
      </c>
      <c r="AB61">
        <v>0</v>
      </c>
      <c r="AC61">
        <v>165.88</v>
      </c>
      <c r="AD61">
        <v>124.50000000000001</v>
      </c>
      <c r="AE61">
        <v>-41.379999999999995</v>
      </c>
      <c r="AF61">
        <v>2936.2</v>
      </c>
      <c r="AG61">
        <v>2977.58</v>
      </c>
      <c r="AH61">
        <v>41.38</v>
      </c>
      <c r="AI61">
        <v>679.2199999999998</v>
      </c>
      <c r="AJ61">
        <v>12.85</v>
      </c>
      <c r="AK61">
        <v>-666.36999999999978</v>
      </c>
      <c r="AL61">
        <v>2256.9800000000018</v>
      </c>
      <c r="AM61">
        <v>2964.73</v>
      </c>
      <c r="AN61">
        <v>707.74999999999977</v>
      </c>
      <c r="AO61">
        <v>60</v>
      </c>
    </row>
    <row r="62" spans="1:41" x14ac:dyDescent="0.35">
      <c r="A62">
        <v>2024</v>
      </c>
      <c r="B62">
        <v>5</v>
      </c>
      <c r="C62">
        <v>19</v>
      </c>
      <c r="D62" s="14">
        <v>45421</v>
      </c>
      <c r="E62" t="s">
        <v>44</v>
      </c>
      <c r="F62" t="s">
        <v>47</v>
      </c>
      <c r="G62" t="s">
        <v>49</v>
      </c>
      <c r="H62">
        <v>10282.049999999999</v>
      </c>
      <c r="I62">
        <v>10282.049999999999</v>
      </c>
      <c r="J62">
        <v>0</v>
      </c>
      <c r="K62">
        <v>334.40999999999997</v>
      </c>
      <c r="L62">
        <v>334.40999999999997</v>
      </c>
      <c r="M62">
        <v>0</v>
      </c>
      <c r="N62">
        <v>108.94</v>
      </c>
      <c r="O62">
        <v>108.94</v>
      </c>
      <c r="P62">
        <v>0</v>
      </c>
      <c r="Q62">
        <v>-3495.8499999999995</v>
      </c>
      <c r="R62">
        <v>-3495.8499999999995</v>
      </c>
      <c r="S62">
        <v>0</v>
      </c>
      <c r="T62">
        <v>-54</v>
      </c>
      <c r="U62">
        <v>-54</v>
      </c>
      <c r="V62">
        <v>0</v>
      </c>
      <c r="W62">
        <v>-5</v>
      </c>
      <c r="X62">
        <v>-5</v>
      </c>
      <c r="Y62">
        <v>0</v>
      </c>
      <c r="Z62">
        <v>7170.5499999999975</v>
      </c>
      <c r="AA62">
        <v>7170.5499999999975</v>
      </c>
      <c r="AB62">
        <v>0</v>
      </c>
      <c r="AC62">
        <v>265.60000000000008</v>
      </c>
      <c r="AD62">
        <v>141.1</v>
      </c>
      <c r="AE62">
        <v>-124.49999999999999</v>
      </c>
      <c r="AF62">
        <v>6904.9499999999971</v>
      </c>
      <c r="AG62">
        <v>7029.4499999999971</v>
      </c>
      <c r="AH62">
        <v>124.49999999999999</v>
      </c>
      <c r="AI62">
        <v>1461.4000000000008</v>
      </c>
      <c r="AJ62">
        <v>0</v>
      </c>
      <c r="AK62">
        <v>-1461.4000000000008</v>
      </c>
      <c r="AL62">
        <v>5443.5500000000038</v>
      </c>
      <c r="AM62">
        <v>7029.4499999999971</v>
      </c>
      <c r="AN62">
        <v>1585.9000000000015</v>
      </c>
      <c r="AO62">
        <v>124</v>
      </c>
    </row>
    <row r="63" spans="1:41" x14ac:dyDescent="0.35">
      <c r="A63">
        <v>2024</v>
      </c>
      <c r="B63">
        <v>5</v>
      </c>
      <c r="C63">
        <v>19</v>
      </c>
      <c r="D63" s="14">
        <v>45422</v>
      </c>
      <c r="E63" t="s">
        <v>44</v>
      </c>
      <c r="F63" t="s">
        <v>47</v>
      </c>
      <c r="G63" t="s">
        <v>49</v>
      </c>
      <c r="H63">
        <v>15785.3</v>
      </c>
      <c r="I63">
        <v>15785.3</v>
      </c>
      <c r="J63">
        <v>0</v>
      </c>
      <c r="K63">
        <v>147.15</v>
      </c>
      <c r="L63">
        <v>147.15</v>
      </c>
      <c r="M63">
        <v>0</v>
      </c>
      <c r="N63">
        <v>70.95</v>
      </c>
      <c r="O63">
        <v>70.95</v>
      </c>
      <c r="P63">
        <v>0</v>
      </c>
      <c r="Q63">
        <v>-5299.2499999999964</v>
      </c>
      <c r="R63">
        <v>-5299.2499999999964</v>
      </c>
      <c r="S63">
        <v>0</v>
      </c>
      <c r="T63">
        <v>-12</v>
      </c>
      <c r="U63">
        <v>-12</v>
      </c>
      <c r="V63">
        <v>0</v>
      </c>
      <c r="W63">
        <v>-5</v>
      </c>
      <c r="X63">
        <v>-5</v>
      </c>
      <c r="Y63">
        <v>0</v>
      </c>
      <c r="Z63">
        <v>10687.149999999987</v>
      </c>
      <c r="AA63">
        <v>10687.149999999987</v>
      </c>
      <c r="AB63">
        <v>0</v>
      </c>
      <c r="AC63">
        <v>206.77000000000004</v>
      </c>
      <c r="AD63">
        <v>65.67</v>
      </c>
      <c r="AE63">
        <v>-141.1</v>
      </c>
      <c r="AF63">
        <v>10480.37999999999</v>
      </c>
      <c r="AG63">
        <v>10621.479999999987</v>
      </c>
      <c r="AH63">
        <v>141.1</v>
      </c>
      <c r="AI63">
        <v>1683.5499999999981</v>
      </c>
      <c r="AJ63">
        <v>0</v>
      </c>
      <c r="AK63">
        <v>-1683.5499999999981</v>
      </c>
      <c r="AL63">
        <v>8796.8299999999963</v>
      </c>
      <c r="AM63">
        <v>10621.479999999987</v>
      </c>
      <c r="AN63">
        <v>1824.6499999999985</v>
      </c>
      <c r="AO63">
        <v>183</v>
      </c>
    </row>
    <row r="64" spans="1:41" x14ac:dyDescent="0.35">
      <c r="A64">
        <v>2024</v>
      </c>
      <c r="B64">
        <v>5</v>
      </c>
      <c r="C64">
        <v>19</v>
      </c>
      <c r="D64" s="14">
        <v>45423</v>
      </c>
      <c r="E64" t="s">
        <v>44</v>
      </c>
      <c r="F64" t="s">
        <v>47</v>
      </c>
      <c r="G64" t="s">
        <v>49</v>
      </c>
      <c r="H64">
        <v>14213.3</v>
      </c>
      <c r="I64">
        <v>14213.3</v>
      </c>
      <c r="J64">
        <v>0</v>
      </c>
      <c r="K64">
        <v>236.95000000000002</v>
      </c>
      <c r="L64">
        <v>236.95000000000002</v>
      </c>
      <c r="M64">
        <v>0</v>
      </c>
      <c r="N64">
        <v>232.87000000000003</v>
      </c>
      <c r="O64">
        <v>232.87000000000003</v>
      </c>
      <c r="P64">
        <v>0</v>
      </c>
      <c r="Q64">
        <v>-4987.3499999999922</v>
      </c>
      <c r="R64">
        <v>-4987.3499999999922</v>
      </c>
      <c r="S64">
        <v>0</v>
      </c>
      <c r="T64">
        <v>-22.900000000000002</v>
      </c>
      <c r="U64">
        <v>-22.900000000000002</v>
      </c>
      <c r="V64">
        <v>0</v>
      </c>
      <c r="W64">
        <v>-10</v>
      </c>
      <c r="X64">
        <v>-10</v>
      </c>
      <c r="Y64">
        <v>0</v>
      </c>
      <c r="Z64">
        <v>9662.869999999979</v>
      </c>
      <c r="AA64">
        <v>9662.869999999979</v>
      </c>
      <c r="AB64">
        <v>0</v>
      </c>
      <c r="AC64">
        <v>398.1</v>
      </c>
      <c r="AD64">
        <v>332.43000000000006</v>
      </c>
      <c r="AE64">
        <v>-65.67</v>
      </c>
      <c r="AF64">
        <v>9264.7699999999859</v>
      </c>
      <c r="AG64">
        <v>9330.4399999999841</v>
      </c>
      <c r="AH64">
        <v>65.67</v>
      </c>
      <c r="AI64">
        <v>1239.7699999999991</v>
      </c>
      <c r="AJ64">
        <v>0</v>
      </c>
      <c r="AK64">
        <v>-1239.7699999999991</v>
      </c>
      <c r="AL64">
        <v>8025.0000000000045</v>
      </c>
      <c r="AM64">
        <v>9330.4399999999841</v>
      </c>
      <c r="AN64">
        <v>1305.4399999999991</v>
      </c>
      <c r="AO64">
        <v>185</v>
      </c>
    </row>
    <row r="65" spans="1:41" x14ac:dyDescent="0.35">
      <c r="A65">
        <v>2024</v>
      </c>
      <c r="B65">
        <v>5</v>
      </c>
      <c r="C65">
        <v>19</v>
      </c>
      <c r="D65" s="14">
        <v>45417</v>
      </c>
      <c r="E65" t="s">
        <v>44</v>
      </c>
      <c r="F65" t="s">
        <v>47</v>
      </c>
      <c r="G65" t="s">
        <v>50</v>
      </c>
      <c r="H65">
        <v>25791.05</v>
      </c>
      <c r="I65">
        <v>25791.05</v>
      </c>
      <c r="J65">
        <v>0</v>
      </c>
      <c r="K65">
        <v>459.59999999999951</v>
      </c>
      <c r="L65">
        <v>459.59999999999951</v>
      </c>
      <c r="M65">
        <v>0</v>
      </c>
      <c r="N65">
        <v>1019.3800000000005</v>
      </c>
      <c r="O65">
        <v>1019.3800000000005</v>
      </c>
      <c r="P65">
        <v>0</v>
      </c>
      <c r="Q65">
        <v>-8179.6200000000008</v>
      </c>
      <c r="R65">
        <v>-8069.6200000000008</v>
      </c>
      <c r="S65">
        <v>110</v>
      </c>
      <c r="T65">
        <v>-25</v>
      </c>
      <c r="U65">
        <v>-25</v>
      </c>
      <c r="V65">
        <v>0</v>
      </c>
      <c r="W65">
        <v>-45</v>
      </c>
      <c r="X65">
        <v>-45</v>
      </c>
      <c r="Y65">
        <v>0</v>
      </c>
      <c r="Z65">
        <v>19020.409999999996</v>
      </c>
      <c r="AA65">
        <v>19130.409999999996</v>
      </c>
      <c r="AB65">
        <v>110</v>
      </c>
      <c r="AC65">
        <v>3256.5900000000061</v>
      </c>
      <c r="AD65">
        <v>1947.1200000000008</v>
      </c>
      <c r="AE65">
        <v>-1309.47</v>
      </c>
      <c r="AF65">
        <v>15763.820000000009</v>
      </c>
      <c r="AG65">
        <v>17183.29</v>
      </c>
      <c r="AH65">
        <v>1419.4700000000003</v>
      </c>
      <c r="AI65">
        <v>-1084.1699999999996</v>
      </c>
      <c r="AJ65">
        <v>0</v>
      </c>
      <c r="AK65">
        <v>1084.1699999999996</v>
      </c>
      <c r="AL65">
        <v>16847.990000000016</v>
      </c>
      <c r="AM65">
        <v>17183.29</v>
      </c>
      <c r="AN65">
        <v>335.29999999999967</v>
      </c>
      <c r="AO65">
        <v>294</v>
      </c>
    </row>
    <row r="66" spans="1:41" x14ac:dyDescent="0.35">
      <c r="A66">
        <v>2024</v>
      </c>
      <c r="B66">
        <v>5</v>
      </c>
      <c r="C66">
        <v>19</v>
      </c>
      <c r="D66" s="14">
        <v>45418</v>
      </c>
      <c r="E66" t="s">
        <v>44</v>
      </c>
      <c r="F66" t="s">
        <v>47</v>
      </c>
      <c r="G66" t="s">
        <v>50</v>
      </c>
      <c r="H66">
        <v>23115</v>
      </c>
      <c r="I66">
        <v>23115</v>
      </c>
      <c r="J66">
        <v>0</v>
      </c>
      <c r="K66">
        <v>333.22999999999979</v>
      </c>
      <c r="L66">
        <v>333.22999999999979</v>
      </c>
      <c r="M66">
        <v>0</v>
      </c>
      <c r="N66">
        <v>925.4300000000004</v>
      </c>
      <c r="O66">
        <v>925.4300000000004</v>
      </c>
      <c r="P66">
        <v>0</v>
      </c>
      <c r="Q66">
        <v>-7322.17</v>
      </c>
      <c r="R66">
        <v>-7211.17</v>
      </c>
      <c r="S66">
        <v>111</v>
      </c>
      <c r="T66">
        <v>-20</v>
      </c>
      <c r="U66">
        <v>-20</v>
      </c>
      <c r="V66">
        <v>0</v>
      </c>
      <c r="W66">
        <v>-35</v>
      </c>
      <c r="X66">
        <v>-35</v>
      </c>
      <c r="Y66">
        <v>0</v>
      </c>
      <c r="Z66">
        <v>16996.489999999994</v>
      </c>
      <c r="AA66">
        <v>17107.489999999998</v>
      </c>
      <c r="AB66">
        <v>111</v>
      </c>
      <c r="AC66">
        <v>3353.4700000000039</v>
      </c>
      <c r="AD66">
        <v>1406.3500000000006</v>
      </c>
      <c r="AE66">
        <v>-1947.1200000000013</v>
      </c>
      <c r="AF66">
        <v>13643.020000000004</v>
      </c>
      <c r="AG66">
        <v>15701.139999999992</v>
      </c>
      <c r="AH66">
        <v>2058.1200000000008</v>
      </c>
      <c r="AI66">
        <v>-883.96000000000015</v>
      </c>
      <c r="AJ66">
        <v>0</v>
      </c>
      <c r="AK66">
        <v>883.96000000000015</v>
      </c>
      <c r="AL66">
        <v>14526.980000000018</v>
      </c>
      <c r="AM66">
        <v>15701.139999999992</v>
      </c>
      <c r="AN66">
        <v>1174.1599999999999</v>
      </c>
      <c r="AO66">
        <v>262</v>
      </c>
    </row>
    <row r="67" spans="1:41" x14ac:dyDescent="0.35">
      <c r="A67">
        <v>2024</v>
      </c>
      <c r="B67">
        <v>5</v>
      </c>
      <c r="C67">
        <v>19</v>
      </c>
      <c r="D67" s="14">
        <v>45419</v>
      </c>
      <c r="E67" t="s">
        <v>44</v>
      </c>
      <c r="F67" t="s">
        <v>47</v>
      </c>
      <c r="G67" t="s">
        <v>50</v>
      </c>
      <c r="H67">
        <v>15953.05</v>
      </c>
      <c r="I67">
        <v>15953.05</v>
      </c>
      <c r="J67">
        <v>0</v>
      </c>
      <c r="K67">
        <v>136.83999999999995</v>
      </c>
      <c r="L67">
        <v>136.83999999999995</v>
      </c>
      <c r="M67">
        <v>0</v>
      </c>
      <c r="N67">
        <v>590.63000000000022</v>
      </c>
      <c r="O67">
        <v>590.63000000000022</v>
      </c>
      <c r="P67">
        <v>0</v>
      </c>
      <c r="Q67">
        <v>-4594.67</v>
      </c>
      <c r="R67">
        <v>-4496.67</v>
      </c>
      <c r="S67">
        <v>98</v>
      </c>
      <c r="T67">
        <v>-10</v>
      </c>
      <c r="U67">
        <v>-10</v>
      </c>
      <c r="V67">
        <v>0</v>
      </c>
      <c r="W67">
        <v>0</v>
      </c>
      <c r="X67">
        <v>0</v>
      </c>
      <c r="Y67">
        <v>0</v>
      </c>
      <c r="Z67">
        <v>12075.849999999997</v>
      </c>
      <c r="AA67">
        <v>12173.849999999995</v>
      </c>
      <c r="AB67">
        <v>98</v>
      </c>
      <c r="AC67">
        <v>2354.1400000000026</v>
      </c>
      <c r="AD67">
        <v>947.79</v>
      </c>
      <c r="AE67">
        <v>-1406.3500000000008</v>
      </c>
      <c r="AF67">
        <v>9721.7099999999937</v>
      </c>
      <c r="AG67">
        <v>11226.059999999998</v>
      </c>
      <c r="AH67">
        <v>1504.3500000000008</v>
      </c>
      <c r="AI67">
        <v>-699.51000000000022</v>
      </c>
      <c r="AJ67">
        <v>0</v>
      </c>
      <c r="AK67">
        <v>699.51000000000022</v>
      </c>
      <c r="AL67">
        <v>10421.219999999996</v>
      </c>
      <c r="AM67">
        <v>11226.059999999998</v>
      </c>
      <c r="AN67">
        <v>804.8399999999998</v>
      </c>
      <c r="AO67">
        <v>181</v>
      </c>
    </row>
    <row r="68" spans="1:41" x14ac:dyDescent="0.35">
      <c r="A68">
        <v>2024</v>
      </c>
      <c r="B68">
        <v>5</v>
      </c>
      <c r="C68">
        <v>19</v>
      </c>
      <c r="D68" s="14">
        <v>45420</v>
      </c>
      <c r="E68" t="s">
        <v>44</v>
      </c>
      <c r="F68" t="s">
        <v>47</v>
      </c>
      <c r="G68" t="s">
        <v>50</v>
      </c>
      <c r="H68">
        <v>22247.3</v>
      </c>
      <c r="I68">
        <v>22247.3</v>
      </c>
      <c r="J68">
        <v>0</v>
      </c>
      <c r="K68">
        <v>395.76999999999975</v>
      </c>
      <c r="L68">
        <v>370.76999999999975</v>
      </c>
      <c r="M68">
        <v>-25</v>
      </c>
      <c r="N68">
        <v>829.45000000000039</v>
      </c>
      <c r="O68">
        <v>829.45000000000039</v>
      </c>
      <c r="P68">
        <v>0</v>
      </c>
      <c r="Q68">
        <v>-6228.5</v>
      </c>
      <c r="R68">
        <v>-5986</v>
      </c>
      <c r="S68">
        <v>242.5</v>
      </c>
      <c r="T68">
        <v>-25</v>
      </c>
      <c r="U68">
        <v>-25</v>
      </c>
      <c r="V68">
        <v>0</v>
      </c>
      <c r="W68">
        <v>-30.990000000000002</v>
      </c>
      <c r="X68">
        <v>-30.990000000000002</v>
      </c>
      <c r="Y68">
        <v>0</v>
      </c>
      <c r="Z68">
        <v>17188.030000000002</v>
      </c>
      <c r="AA68">
        <v>17405.530000000002</v>
      </c>
      <c r="AB68">
        <v>217.5</v>
      </c>
      <c r="AC68">
        <v>2772.0500000000043</v>
      </c>
      <c r="AD68">
        <v>1828.680000000001</v>
      </c>
      <c r="AE68">
        <v>-943.36999999999966</v>
      </c>
      <c r="AF68">
        <v>14415.980000000007</v>
      </c>
      <c r="AG68">
        <v>15576.850000000002</v>
      </c>
      <c r="AH68">
        <v>1160.8699999999999</v>
      </c>
      <c r="AI68">
        <v>-1038.1900000000003</v>
      </c>
      <c r="AJ68">
        <v>0</v>
      </c>
      <c r="AK68">
        <v>1038.1900000000003</v>
      </c>
      <c r="AL68">
        <v>15454.170000000011</v>
      </c>
      <c r="AM68">
        <v>15576.850000000002</v>
      </c>
      <c r="AN68">
        <v>122.67999999999984</v>
      </c>
      <c r="AO68">
        <v>254</v>
      </c>
    </row>
    <row r="69" spans="1:41" x14ac:dyDescent="0.35">
      <c r="A69">
        <v>2024</v>
      </c>
      <c r="B69">
        <v>5</v>
      </c>
      <c r="C69">
        <v>19</v>
      </c>
      <c r="D69" s="14">
        <v>45421</v>
      </c>
      <c r="E69" t="s">
        <v>44</v>
      </c>
      <c r="F69" t="s">
        <v>47</v>
      </c>
      <c r="G69" t="s">
        <v>50</v>
      </c>
      <c r="H69">
        <v>23877.3</v>
      </c>
      <c r="I69">
        <v>23877.3</v>
      </c>
      <c r="J69">
        <v>0</v>
      </c>
      <c r="K69">
        <v>547.22999999999979</v>
      </c>
      <c r="L69">
        <v>547.22999999999979</v>
      </c>
      <c r="M69">
        <v>0</v>
      </c>
      <c r="N69">
        <v>967.37000000000046</v>
      </c>
      <c r="O69">
        <v>941.39000000000044</v>
      </c>
      <c r="P69">
        <v>-25.98</v>
      </c>
      <c r="Q69">
        <v>-7013.24</v>
      </c>
      <c r="R69">
        <v>-6791.74</v>
      </c>
      <c r="S69">
        <v>221.5</v>
      </c>
      <c r="T69">
        <v>-40</v>
      </c>
      <c r="U69">
        <v>-40</v>
      </c>
      <c r="V69">
        <v>0</v>
      </c>
      <c r="W69">
        <v>-35</v>
      </c>
      <c r="X69">
        <v>-35</v>
      </c>
      <c r="Y69">
        <v>0</v>
      </c>
      <c r="Z69">
        <v>18303.659999999989</v>
      </c>
      <c r="AA69">
        <v>18499.179999999986</v>
      </c>
      <c r="AB69">
        <v>195.51999999999998</v>
      </c>
      <c r="AC69">
        <v>2529.4500000000044</v>
      </c>
      <c r="AD69">
        <v>700.76999999999975</v>
      </c>
      <c r="AE69">
        <v>-1828.680000000001</v>
      </c>
      <c r="AF69">
        <v>15774.210000000003</v>
      </c>
      <c r="AG69">
        <v>17798.409999999996</v>
      </c>
      <c r="AH69">
        <v>2024.2000000000007</v>
      </c>
      <c r="AI69">
        <v>-562.42999999999995</v>
      </c>
      <c r="AJ69">
        <v>0</v>
      </c>
      <c r="AK69">
        <v>562.42999999999995</v>
      </c>
      <c r="AL69">
        <v>16336.640000000009</v>
      </c>
      <c r="AM69">
        <v>17798.409999999996</v>
      </c>
      <c r="AN69">
        <v>1461.7700000000009</v>
      </c>
      <c r="AO69">
        <v>274</v>
      </c>
    </row>
    <row r="70" spans="1:41" x14ac:dyDescent="0.35">
      <c r="A70">
        <v>2024</v>
      </c>
      <c r="B70">
        <v>5</v>
      </c>
      <c r="C70">
        <v>19</v>
      </c>
      <c r="D70" s="14">
        <v>45422</v>
      </c>
      <c r="E70" t="s">
        <v>44</v>
      </c>
      <c r="F70" t="s">
        <v>47</v>
      </c>
      <c r="G70" t="s">
        <v>50</v>
      </c>
      <c r="H70">
        <v>23763.149999999998</v>
      </c>
      <c r="I70">
        <v>23763.149999999998</v>
      </c>
      <c r="J70">
        <v>0</v>
      </c>
      <c r="K70">
        <v>378.24999999999989</v>
      </c>
      <c r="L70">
        <v>378.24999999999989</v>
      </c>
      <c r="M70">
        <v>0</v>
      </c>
      <c r="N70">
        <v>1130.2800000000004</v>
      </c>
      <c r="O70">
        <v>1130.2800000000004</v>
      </c>
      <c r="P70">
        <v>0</v>
      </c>
      <c r="Q70">
        <v>-7239.0900000000011</v>
      </c>
      <c r="R70">
        <v>-7153.0900000000011</v>
      </c>
      <c r="S70">
        <v>86</v>
      </c>
      <c r="T70">
        <v>-30</v>
      </c>
      <c r="U70">
        <v>-30</v>
      </c>
      <c r="V70">
        <v>0</v>
      </c>
      <c r="W70">
        <v>-20</v>
      </c>
      <c r="X70">
        <v>-20</v>
      </c>
      <c r="Y70">
        <v>0</v>
      </c>
      <c r="Z70">
        <v>17982.589999999989</v>
      </c>
      <c r="AA70">
        <v>18068.589999999993</v>
      </c>
      <c r="AB70">
        <v>86</v>
      </c>
      <c r="AC70">
        <v>1578.5900000000004</v>
      </c>
      <c r="AD70">
        <v>877.81999999999948</v>
      </c>
      <c r="AE70">
        <v>-700.76999999999987</v>
      </c>
      <c r="AF70">
        <v>16403.999999999989</v>
      </c>
      <c r="AG70">
        <v>17190.769999999993</v>
      </c>
      <c r="AH70">
        <v>786.77</v>
      </c>
      <c r="AI70">
        <v>-672.06999999999948</v>
      </c>
      <c r="AJ70">
        <v>0</v>
      </c>
      <c r="AK70">
        <v>672.06999999999948</v>
      </c>
      <c r="AL70">
        <v>17076.070000000007</v>
      </c>
      <c r="AM70">
        <v>17190.769999999993</v>
      </c>
      <c r="AN70">
        <v>114.69999999999982</v>
      </c>
      <c r="AO70">
        <v>277</v>
      </c>
    </row>
    <row r="71" spans="1:41" x14ac:dyDescent="0.35">
      <c r="A71">
        <v>2024</v>
      </c>
      <c r="B71">
        <v>5</v>
      </c>
      <c r="C71">
        <v>19</v>
      </c>
      <c r="D71" s="14">
        <v>45423</v>
      </c>
      <c r="E71" t="s">
        <v>44</v>
      </c>
      <c r="F71" t="s">
        <v>47</v>
      </c>
      <c r="G71" t="s">
        <v>50</v>
      </c>
      <c r="H71">
        <v>23041.399999999994</v>
      </c>
      <c r="I71">
        <v>23041.399999999994</v>
      </c>
      <c r="J71">
        <v>0</v>
      </c>
      <c r="K71">
        <v>361.78999999999945</v>
      </c>
      <c r="L71">
        <v>361.78999999999945</v>
      </c>
      <c r="M71">
        <v>0</v>
      </c>
      <c r="N71">
        <v>1229.2200000000005</v>
      </c>
      <c r="O71">
        <v>1229.2200000000005</v>
      </c>
      <c r="P71">
        <v>0</v>
      </c>
      <c r="Q71">
        <v>-7413.1100000000006</v>
      </c>
      <c r="R71">
        <v>-7299.1100000000006</v>
      </c>
      <c r="S71">
        <v>114</v>
      </c>
      <c r="T71">
        <v>-25.95</v>
      </c>
      <c r="U71">
        <v>-25.95</v>
      </c>
      <c r="V71">
        <v>0</v>
      </c>
      <c r="W71">
        <v>-20</v>
      </c>
      <c r="X71">
        <v>-20</v>
      </c>
      <c r="Y71">
        <v>0</v>
      </c>
      <c r="Z71">
        <v>17173.349999999984</v>
      </c>
      <c r="AA71">
        <v>17287.349999999984</v>
      </c>
      <c r="AB71">
        <v>114</v>
      </c>
      <c r="AC71">
        <v>2880.0600000000045</v>
      </c>
      <c r="AD71">
        <v>2002.2400000000011</v>
      </c>
      <c r="AE71">
        <v>-877.81999999999994</v>
      </c>
      <c r="AF71">
        <v>14293.289999999997</v>
      </c>
      <c r="AG71">
        <v>15285.109999999986</v>
      </c>
      <c r="AH71">
        <v>991.81999999999994</v>
      </c>
      <c r="AI71">
        <v>-1151.1100000000006</v>
      </c>
      <c r="AJ71">
        <v>0</v>
      </c>
      <c r="AK71">
        <v>1151.1100000000006</v>
      </c>
      <c r="AL71">
        <v>15444.400000000005</v>
      </c>
      <c r="AM71">
        <v>15285.109999999986</v>
      </c>
      <c r="AN71">
        <v>-159.29000000000033</v>
      </c>
      <c r="AO71">
        <v>274</v>
      </c>
    </row>
    <row r="72" spans="1:41" x14ac:dyDescent="0.35">
      <c r="A72">
        <v>2024</v>
      </c>
      <c r="B72">
        <v>5</v>
      </c>
      <c r="C72">
        <v>19</v>
      </c>
      <c r="D72" s="14">
        <v>45417</v>
      </c>
      <c r="E72" t="s">
        <v>44</v>
      </c>
      <c r="F72" t="s">
        <v>47</v>
      </c>
      <c r="G72" t="s">
        <v>51</v>
      </c>
      <c r="H72">
        <v>16977</v>
      </c>
      <c r="I72">
        <v>16977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-5626.75</v>
      </c>
      <c r="R72">
        <v>-5626.75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11350.250000000002</v>
      </c>
      <c r="AA72">
        <v>11350.250000000002</v>
      </c>
      <c r="AB72">
        <v>0</v>
      </c>
      <c r="AC72">
        <v>35.85</v>
      </c>
      <c r="AD72">
        <v>13.76</v>
      </c>
      <c r="AE72">
        <v>-22.09</v>
      </c>
      <c r="AF72">
        <v>11314.400000000001</v>
      </c>
      <c r="AG72">
        <v>11336.490000000002</v>
      </c>
      <c r="AH72">
        <v>22.089999999999996</v>
      </c>
      <c r="AI72">
        <v>4822.1300000000074</v>
      </c>
      <c r="AJ72">
        <v>5.47</v>
      </c>
      <c r="AK72">
        <v>-4816.6600000000071</v>
      </c>
      <c r="AL72">
        <v>6492.2699999999959</v>
      </c>
      <c r="AM72">
        <v>11331.020000000002</v>
      </c>
      <c r="AN72">
        <v>4838.7500000000064</v>
      </c>
      <c r="AO72">
        <v>280</v>
      </c>
    </row>
    <row r="73" spans="1:41" x14ac:dyDescent="0.35">
      <c r="A73">
        <v>2024</v>
      </c>
      <c r="B73">
        <v>5</v>
      </c>
      <c r="C73">
        <v>19</v>
      </c>
      <c r="D73" s="14">
        <v>45418</v>
      </c>
      <c r="E73" t="s">
        <v>44</v>
      </c>
      <c r="F73" t="s">
        <v>47</v>
      </c>
      <c r="G73" t="s">
        <v>51</v>
      </c>
      <c r="H73">
        <v>1209.75</v>
      </c>
      <c r="I73">
        <v>1209.75</v>
      </c>
      <c r="J73">
        <v>0</v>
      </c>
      <c r="K73">
        <v>5</v>
      </c>
      <c r="L73">
        <v>5</v>
      </c>
      <c r="M73">
        <v>0</v>
      </c>
      <c r="N73">
        <v>0</v>
      </c>
      <c r="O73">
        <v>0</v>
      </c>
      <c r="P73">
        <v>0</v>
      </c>
      <c r="Q73">
        <v>-232.35000000000002</v>
      </c>
      <c r="R73">
        <v>-232.35000000000002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982.40000000000009</v>
      </c>
      <c r="AA73">
        <v>982.40000000000009</v>
      </c>
      <c r="AB73">
        <v>0</v>
      </c>
      <c r="AC73">
        <v>13.76</v>
      </c>
      <c r="AE73">
        <v>-13.76</v>
      </c>
      <c r="AF73">
        <v>968.6400000000001</v>
      </c>
      <c r="AG73">
        <v>982.40000000000009</v>
      </c>
      <c r="AH73">
        <v>13.759999999999998</v>
      </c>
      <c r="AI73">
        <v>353.92999999999989</v>
      </c>
      <c r="AJ73">
        <v>0</v>
      </c>
      <c r="AK73">
        <v>-353.92999999999989</v>
      </c>
      <c r="AL73">
        <v>614.71</v>
      </c>
      <c r="AM73">
        <v>982.40000000000009</v>
      </c>
      <c r="AN73">
        <v>367.68999999999983</v>
      </c>
      <c r="AO73">
        <v>22</v>
      </c>
    </row>
    <row r="74" spans="1:41" x14ac:dyDescent="0.35">
      <c r="A74">
        <v>2024</v>
      </c>
      <c r="B74">
        <v>5</v>
      </c>
      <c r="C74">
        <v>19</v>
      </c>
      <c r="D74" s="14">
        <v>45419</v>
      </c>
      <c r="E74" t="s">
        <v>44</v>
      </c>
      <c r="F74" t="s">
        <v>47</v>
      </c>
      <c r="G74" t="s">
        <v>51</v>
      </c>
      <c r="H74">
        <v>306</v>
      </c>
      <c r="I74">
        <v>306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-85.5</v>
      </c>
      <c r="R74">
        <v>-85.5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220.5</v>
      </c>
      <c r="AA74">
        <v>220.5</v>
      </c>
      <c r="AB74">
        <v>0</v>
      </c>
      <c r="AE74">
        <v>0</v>
      </c>
      <c r="AF74">
        <v>220.5</v>
      </c>
      <c r="AG74">
        <v>220.5</v>
      </c>
      <c r="AH74">
        <v>0</v>
      </c>
      <c r="AI74">
        <v>14.81</v>
      </c>
      <c r="AJ74">
        <v>0</v>
      </c>
      <c r="AK74">
        <v>-14.81</v>
      </c>
      <c r="AL74">
        <v>205.69</v>
      </c>
      <c r="AM74">
        <v>220.5</v>
      </c>
      <c r="AN74">
        <v>14.809999999999999</v>
      </c>
      <c r="AO74">
        <v>4</v>
      </c>
    </row>
    <row r="75" spans="1:41" x14ac:dyDescent="0.35">
      <c r="A75">
        <v>2024</v>
      </c>
      <c r="B75">
        <v>5</v>
      </c>
      <c r="C75">
        <v>19</v>
      </c>
      <c r="D75" s="14">
        <v>45420</v>
      </c>
      <c r="E75" t="s">
        <v>44</v>
      </c>
      <c r="F75" t="s">
        <v>47</v>
      </c>
      <c r="G75" t="s">
        <v>51</v>
      </c>
      <c r="H75">
        <v>10779.399999999992</v>
      </c>
      <c r="I75">
        <v>10779.399999999992</v>
      </c>
      <c r="J75">
        <v>0</v>
      </c>
      <c r="K75">
        <v>20</v>
      </c>
      <c r="L75">
        <v>20</v>
      </c>
      <c r="M75">
        <v>0</v>
      </c>
      <c r="N75">
        <v>18.990000000000002</v>
      </c>
      <c r="O75">
        <v>18.990000000000002</v>
      </c>
      <c r="P75">
        <v>0</v>
      </c>
      <c r="Q75">
        <v>-2493.4499999999971</v>
      </c>
      <c r="R75">
        <v>-2493.4499999999971</v>
      </c>
      <c r="S75">
        <v>0</v>
      </c>
      <c r="T75">
        <v>-8</v>
      </c>
      <c r="U75">
        <v>-8</v>
      </c>
      <c r="V75">
        <v>0</v>
      </c>
      <c r="W75">
        <v>0</v>
      </c>
      <c r="X75">
        <v>0</v>
      </c>
      <c r="Y75">
        <v>0</v>
      </c>
      <c r="Z75">
        <v>8316.9399999999914</v>
      </c>
      <c r="AA75">
        <v>8316.9399999999914</v>
      </c>
      <c r="AB75">
        <v>0</v>
      </c>
      <c r="AC75">
        <v>45.82</v>
      </c>
      <c r="AD75">
        <v>45.82</v>
      </c>
      <c r="AE75">
        <v>0</v>
      </c>
      <c r="AF75">
        <v>8271.1199999999917</v>
      </c>
      <c r="AG75">
        <v>8271.1199999999917</v>
      </c>
      <c r="AH75">
        <v>0</v>
      </c>
      <c r="AI75">
        <v>1819.8400000000004</v>
      </c>
      <c r="AJ75">
        <v>0</v>
      </c>
      <c r="AK75">
        <v>-1819.8400000000004</v>
      </c>
      <c r="AL75">
        <v>6451.2799999999897</v>
      </c>
      <c r="AM75">
        <v>8271.1199999999917</v>
      </c>
      <c r="AN75">
        <v>1819.8400000000001</v>
      </c>
      <c r="AO75">
        <v>181</v>
      </c>
    </row>
    <row r="76" spans="1:41" x14ac:dyDescent="0.35">
      <c r="A76">
        <v>2024</v>
      </c>
      <c r="B76">
        <v>5</v>
      </c>
      <c r="C76">
        <v>19</v>
      </c>
      <c r="D76" s="14">
        <v>45421</v>
      </c>
      <c r="E76" t="s">
        <v>44</v>
      </c>
      <c r="F76" t="s">
        <v>47</v>
      </c>
      <c r="G76" t="s">
        <v>51</v>
      </c>
      <c r="H76">
        <v>2803</v>
      </c>
      <c r="I76">
        <v>2803</v>
      </c>
      <c r="J76">
        <v>0</v>
      </c>
      <c r="K76">
        <v>10</v>
      </c>
      <c r="L76">
        <v>10</v>
      </c>
      <c r="M76">
        <v>0</v>
      </c>
      <c r="N76">
        <v>0</v>
      </c>
      <c r="O76">
        <v>0</v>
      </c>
      <c r="P76">
        <v>0</v>
      </c>
      <c r="Q76">
        <v>-625.80000000000007</v>
      </c>
      <c r="R76">
        <v>-625.80000000000007</v>
      </c>
      <c r="S76">
        <v>0</v>
      </c>
      <c r="T76">
        <v>-4</v>
      </c>
      <c r="U76">
        <v>-4</v>
      </c>
      <c r="V76">
        <v>0</v>
      </c>
      <c r="W76">
        <v>0</v>
      </c>
      <c r="X76">
        <v>0</v>
      </c>
      <c r="Y76">
        <v>0</v>
      </c>
      <c r="Z76">
        <v>2183.1999999999998</v>
      </c>
      <c r="AA76">
        <v>2183.1999999999998</v>
      </c>
      <c r="AB76">
        <v>0</v>
      </c>
      <c r="AC76">
        <v>68.73</v>
      </c>
      <c r="AD76">
        <v>22.91</v>
      </c>
      <c r="AE76">
        <v>-45.82</v>
      </c>
      <c r="AF76">
        <v>2114.4699999999998</v>
      </c>
      <c r="AG76">
        <v>2160.29</v>
      </c>
      <c r="AH76">
        <v>45.82</v>
      </c>
      <c r="AI76">
        <v>692.12000000000035</v>
      </c>
      <c r="AJ76">
        <v>0</v>
      </c>
      <c r="AK76">
        <v>-692.12000000000035</v>
      </c>
      <c r="AL76">
        <v>1422.3499999999995</v>
      </c>
      <c r="AM76">
        <v>2160.29</v>
      </c>
      <c r="AN76">
        <v>737.94000000000051</v>
      </c>
      <c r="AO76">
        <v>47</v>
      </c>
    </row>
    <row r="77" spans="1:41" x14ac:dyDescent="0.35">
      <c r="A77">
        <v>2024</v>
      </c>
      <c r="B77">
        <v>5</v>
      </c>
      <c r="C77">
        <v>19</v>
      </c>
      <c r="D77" s="14">
        <v>45422</v>
      </c>
      <c r="E77" t="s">
        <v>44</v>
      </c>
      <c r="F77" t="s">
        <v>47</v>
      </c>
      <c r="G77" t="s">
        <v>51</v>
      </c>
      <c r="H77">
        <v>4678.4500000000016</v>
      </c>
      <c r="I77">
        <v>4678.4500000000016</v>
      </c>
      <c r="J77">
        <v>0</v>
      </c>
      <c r="K77">
        <v>140</v>
      </c>
      <c r="L77">
        <v>140</v>
      </c>
      <c r="M77">
        <v>0</v>
      </c>
      <c r="N77">
        <v>0</v>
      </c>
      <c r="O77">
        <v>0</v>
      </c>
      <c r="P77">
        <v>0</v>
      </c>
      <c r="Q77">
        <v>-1459.4</v>
      </c>
      <c r="R77">
        <v>-1459.4</v>
      </c>
      <c r="S77">
        <v>0</v>
      </c>
      <c r="T77">
        <v>-8</v>
      </c>
      <c r="U77">
        <v>-8</v>
      </c>
      <c r="V77">
        <v>0</v>
      </c>
      <c r="W77">
        <v>0</v>
      </c>
      <c r="X77">
        <v>0</v>
      </c>
      <c r="Y77">
        <v>0</v>
      </c>
      <c r="Z77">
        <v>3351.0500000000006</v>
      </c>
      <c r="AA77">
        <v>3351.0500000000006</v>
      </c>
      <c r="AB77">
        <v>0</v>
      </c>
      <c r="AC77">
        <v>81.22</v>
      </c>
      <c r="AD77">
        <v>58.309999999999995</v>
      </c>
      <c r="AE77">
        <v>-22.91</v>
      </c>
      <c r="AF77">
        <v>3269.8300000000013</v>
      </c>
      <c r="AG77">
        <v>3292.7400000000011</v>
      </c>
      <c r="AH77">
        <v>22.909999999999997</v>
      </c>
      <c r="AI77">
        <v>565.69000000000005</v>
      </c>
      <c r="AJ77">
        <v>0</v>
      </c>
      <c r="AK77">
        <v>-565.69000000000005</v>
      </c>
      <c r="AL77">
        <v>2704.1400000000017</v>
      </c>
      <c r="AM77">
        <v>3292.7400000000011</v>
      </c>
      <c r="AN77">
        <v>588.6</v>
      </c>
      <c r="AO77">
        <v>71</v>
      </c>
    </row>
    <row r="78" spans="1:41" x14ac:dyDescent="0.35">
      <c r="A78">
        <v>2024</v>
      </c>
      <c r="B78">
        <v>5</v>
      </c>
      <c r="C78">
        <v>19</v>
      </c>
      <c r="D78" s="14">
        <v>45423</v>
      </c>
      <c r="E78" t="s">
        <v>44</v>
      </c>
      <c r="F78" t="s">
        <v>47</v>
      </c>
      <c r="G78" t="s">
        <v>51</v>
      </c>
      <c r="H78">
        <v>5180.3000000000011</v>
      </c>
      <c r="I78">
        <v>5180.3000000000011</v>
      </c>
      <c r="J78">
        <v>0</v>
      </c>
      <c r="K78">
        <v>20</v>
      </c>
      <c r="L78">
        <v>20</v>
      </c>
      <c r="M78">
        <v>0</v>
      </c>
      <c r="N78">
        <v>0</v>
      </c>
      <c r="O78">
        <v>0</v>
      </c>
      <c r="P78">
        <v>0</v>
      </c>
      <c r="Q78">
        <v>-1513.1999999999998</v>
      </c>
      <c r="R78">
        <v>-1513.1999999999998</v>
      </c>
      <c r="S78">
        <v>0</v>
      </c>
      <c r="T78">
        <v>-8</v>
      </c>
      <c r="U78">
        <v>-8</v>
      </c>
      <c r="V78">
        <v>0</v>
      </c>
      <c r="W78">
        <v>0</v>
      </c>
      <c r="X78">
        <v>0</v>
      </c>
      <c r="Y78">
        <v>0</v>
      </c>
      <c r="Z78">
        <v>3679.0999999999995</v>
      </c>
      <c r="AA78">
        <v>3679.0999999999995</v>
      </c>
      <c r="AB78">
        <v>0</v>
      </c>
      <c r="AC78">
        <v>124.94999999999999</v>
      </c>
      <c r="AD78">
        <v>66.64</v>
      </c>
      <c r="AE78">
        <v>-58.309999999999995</v>
      </c>
      <c r="AF78">
        <v>3554.1500000000005</v>
      </c>
      <c r="AG78">
        <v>3612.46</v>
      </c>
      <c r="AH78">
        <v>58.309999999999988</v>
      </c>
      <c r="AI78">
        <v>606.08999999999992</v>
      </c>
      <c r="AJ78">
        <v>0</v>
      </c>
      <c r="AK78">
        <v>-606.08999999999992</v>
      </c>
      <c r="AL78">
        <v>2948.06</v>
      </c>
      <c r="AM78">
        <v>3612.46</v>
      </c>
      <c r="AN78">
        <v>664.4</v>
      </c>
      <c r="AO78">
        <v>80</v>
      </c>
    </row>
    <row r="79" spans="1:41" x14ac:dyDescent="0.35">
      <c r="A79">
        <v>2024</v>
      </c>
      <c r="B79">
        <v>5</v>
      </c>
      <c r="C79">
        <v>20</v>
      </c>
      <c r="D79" s="14">
        <v>45424</v>
      </c>
      <c r="E79" t="s">
        <v>41</v>
      </c>
      <c r="F79" t="s">
        <v>42</v>
      </c>
      <c r="G79" t="s">
        <v>43</v>
      </c>
      <c r="H79">
        <v>118295.5</v>
      </c>
      <c r="I79">
        <v>118295.5</v>
      </c>
      <c r="J79">
        <v>0</v>
      </c>
      <c r="K79">
        <v>1257.1300000000188</v>
      </c>
      <c r="L79">
        <v>1257.1300000000188</v>
      </c>
      <c r="M79">
        <v>0</v>
      </c>
      <c r="N79">
        <v>2633.1899999999923</v>
      </c>
      <c r="O79">
        <v>2620.1999999999925</v>
      </c>
      <c r="P79">
        <v>-12.99</v>
      </c>
      <c r="Q79">
        <v>-11738.1</v>
      </c>
      <c r="R79">
        <v>-10796.1</v>
      </c>
      <c r="S79">
        <v>942</v>
      </c>
      <c r="T79">
        <v>-8.3800000000000008</v>
      </c>
      <c r="U79">
        <v>-8.3800000000000008</v>
      </c>
      <c r="V79">
        <v>0</v>
      </c>
      <c r="W79">
        <v>-61.5</v>
      </c>
      <c r="X79">
        <v>-61.5</v>
      </c>
      <c r="Y79">
        <v>0</v>
      </c>
      <c r="Z79">
        <v>110377.84000000091</v>
      </c>
      <c r="AA79">
        <v>111306.85000000092</v>
      </c>
      <c r="AB79">
        <v>929.01</v>
      </c>
      <c r="AC79">
        <v>41686.759999999587</v>
      </c>
      <c r="AD79">
        <v>23543.149999999969</v>
      </c>
      <c r="AE79">
        <v>-18143.60999999995</v>
      </c>
      <c r="AF79">
        <v>68691.080000000366</v>
      </c>
      <c r="AG79">
        <v>87763.700000000419</v>
      </c>
      <c r="AH79">
        <v>19072.619999999944</v>
      </c>
      <c r="AI79">
        <v>-12243.329999999991</v>
      </c>
      <c r="AJ79">
        <v>0</v>
      </c>
      <c r="AK79">
        <v>12243.329999999991</v>
      </c>
      <c r="AL79">
        <v>80934.41000000028</v>
      </c>
      <c r="AM79">
        <v>87763.700000000419</v>
      </c>
      <c r="AN79">
        <v>6829.2900000000473</v>
      </c>
      <c r="AO79">
        <v>2041</v>
      </c>
    </row>
    <row r="80" spans="1:41" x14ac:dyDescent="0.35">
      <c r="A80">
        <v>2024</v>
      </c>
      <c r="B80">
        <v>5</v>
      </c>
      <c r="C80">
        <v>20</v>
      </c>
      <c r="D80" s="14">
        <v>45425</v>
      </c>
      <c r="E80" t="s">
        <v>41</v>
      </c>
      <c r="F80" t="s">
        <v>42</v>
      </c>
      <c r="G80" t="s">
        <v>43</v>
      </c>
      <c r="H80">
        <v>118640</v>
      </c>
      <c r="I80">
        <v>118640</v>
      </c>
      <c r="J80">
        <v>0</v>
      </c>
      <c r="K80">
        <v>1098.9300000000112</v>
      </c>
      <c r="L80">
        <v>1088.930000000011</v>
      </c>
      <c r="M80">
        <v>-10</v>
      </c>
      <c r="N80">
        <v>2619.2299999999927</v>
      </c>
      <c r="O80">
        <v>2603.239999999993</v>
      </c>
      <c r="P80">
        <v>-15.99</v>
      </c>
      <c r="Q80">
        <v>-12223.35</v>
      </c>
      <c r="R80">
        <v>-10896.35</v>
      </c>
      <c r="S80">
        <v>1327</v>
      </c>
      <c r="T80">
        <v>-11.45</v>
      </c>
      <c r="U80">
        <v>-11.45</v>
      </c>
      <c r="V80">
        <v>0</v>
      </c>
      <c r="W80">
        <v>-59.49</v>
      </c>
      <c r="X80">
        <v>-54.49</v>
      </c>
      <c r="Y80">
        <v>5</v>
      </c>
      <c r="Z80">
        <v>110063.8700000011</v>
      </c>
      <c r="AA80">
        <v>111369.88000000114</v>
      </c>
      <c r="AB80">
        <v>1306.01</v>
      </c>
      <c r="AC80">
        <v>41730.809999999561</v>
      </c>
      <c r="AD80">
        <v>18640.349999999886</v>
      </c>
      <c r="AE80">
        <v>-23090.459999999915</v>
      </c>
      <c r="AF80">
        <v>68333.060000000609</v>
      </c>
      <c r="AG80">
        <v>92729.530000000741</v>
      </c>
      <c r="AH80">
        <v>24396.469999999917</v>
      </c>
      <c r="AI80">
        <v>-9848.7999999999793</v>
      </c>
      <c r="AJ80">
        <v>0</v>
      </c>
      <c r="AK80">
        <v>9848.7999999999793</v>
      </c>
      <c r="AL80">
        <v>78181.860000000292</v>
      </c>
      <c r="AM80">
        <v>92729.530000000741</v>
      </c>
      <c r="AN80">
        <v>14547.669999999891</v>
      </c>
      <c r="AO80">
        <v>2031</v>
      </c>
    </row>
    <row r="81" spans="1:41" x14ac:dyDescent="0.35">
      <c r="A81">
        <v>2024</v>
      </c>
      <c r="B81">
        <v>5</v>
      </c>
      <c r="C81">
        <v>20</v>
      </c>
      <c r="D81" s="14">
        <v>45426</v>
      </c>
      <c r="E81" t="s">
        <v>41</v>
      </c>
      <c r="F81" t="s">
        <v>42</v>
      </c>
      <c r="G81" t="s">
        <v>43</v>
      </c>
      <c r="H81">
        <v>67374.75</v>
      </c>
      <c r="I81">
        <v>67374.75</v>
      </c>
      <c r="J81">
        <v>0</v>
      </c>
      <c r="K81">
        <v>551.05999999999915</v>
      </c>
      <c r="L81">
        <v>551.05999999999915</v>
      </c>
      <c r="M81">
        <v>0</v>
      </c>
      <c r="N81">
        <v>1312.0900000000006</v>
      </c>
      <c r="O81">
        <v>1312.0900000000006</v>
      </c>
      <c r="P81">
        <v>0</v>
      </c>
      <c r="Q81">
        <v>-6751</v>
      </c>
      <c r="R81">
        <v>-5820</v>
      </c>
      <c r="S81">
        <v>931</v>
      </c>
      <c r="T81">
        <v>-3.9</v>
      </c>
      <c r="U81">
        <v>-3.9</v>
      </c>
      <c r="V81">
        <v>0</v>
      </c>
      <c r="W81">
        <v>-22.990000000000002</v>
      </c>
      <c r="X81">
        <v>-22.990000000000002</v>
      </c>
      <c r="Y81">
        <v>0</v>
      </c>
      <c r="Z81">
        <v>62460.009999999646</v>
      </c>
      <c r="AA81">
        <v>63391.009999999646</v>
      </c>
      <c r="AB81">
        <v>931</v>
      </c>
      <c r="AC81">
        <v>24083.379999999983</v>
      </c>
      <c r="AD81">
        <v>5583.5200000000132</v>
      </c>
      <c r="AE81">
        <v>-18499.859999999913</v>
      </c>
      <c r="AF81">
        <v>38376.630000000216</v>
      </c>
      <c r="AG81">
        <v>57807.48999999986</v>
      </c>
      <c r="AH81">
        <v>19430.859999999939</v>
      </c>
      <c r="AI81">
        <v>-2990.37</v>
      </c>
      <c r="AJ81">
        <v>0</v>
      </c>
      <c r="AK81">
        <v>2990.37</v>
      </c>
      <c r="AL81">
        <v>41367.000000000284</v>
      </c>
      <c r="AM81">
        <v>57807.48999999986</v>
      </c>
      <c r="AN81">
        <v>16440.489999999896</v>
      </c>
      <c r="AO81">
        <v>1154</v>
      </c>
    </row>
    <row r="82" spans="1:41" x14ac:dyDescent="0.35">
      <c r="A82">
        <v>2024</v>
      </c>
      <c r="B82">
        <v>5</v>
      </c>
      <c r="C82">
        <v>20</v>
      </c>
      <c r="D82" s="14">
        <v>45427</v>
      </c>
      <c r="E82" t="s">
        <v>41</v>
      </c>
      <c r="F82" t="s">
        <v>42</v>
      </c>
      <c r="G82" t="s">
        <v>43</v>
      </c>
      <c r="H82">
        <v>101923.5</v>
      </c>
      <c r="I82">
        <v>101923.5</v>
      </c>
      <c r="J82">
        <v>0</v>
      </c>
      <c r="K82">
        <v>1028.1400000000103</v>
      </c>
      <c r="L82">
        <v>1028.1400000000103</v>
      </c>
      <c r="M82">
        <v>0</v>
      </c>
      <c r="N82">
        <v>2156.5299999999993</v>
      </c>
      <c r="O82">
        <v>2156.5299999999993</v>
      </c>
      <c r="P82">
        <v>0</v>
      </c>
      <c r="Q82">
        <v>-10102.75</v>
      </c>
      <c r="R82">
        <v>-9426.75</v>
      </c>
      <c r="S82">
        <v>676</v>
      </c>
      <c r="T82">
        <v>-1.52</v>
      </c>
      <c r="U82">
        <v>-1.52</v>
      </c>
      <c r="V82">
        <v>0</v>
      </c>
      <c r="W82">
        <v>-67.989999999999995</v>
      </c>
      <c r="X82">
        <v>-67.989999999999995</v>
      </c>
      <c r="Y82">
        <v>0</v>
      </c>
      <c r="Z82">
        <v>94935.910000000615</v>
      </c>
      <c r="AA82">
        <v>95611.910000000644</v>
      </c>
      <c r="AB82">
        <v>676</v>
      </c>
      <c r="AC82">
        <v>34669.619999999966</v>
      </c>
      <c r="AD82">
        <v>29112.030000000035</v>
      </c>
      <c r="AE82">
        <v>-5557.5900000000129</v>
      </c>
      <c r="AF82">
        <v>60266.290000000547</v>
      </c>
      <c r="AG82">
        <v>66499.880000000398</v>
      </c>
      <c r="AH82">
        <v>6233.5900000000129</v>
      </c>
      <c r="AI82">
        <v>-15028.379999999992</v>
      </c>
      <c r="AJ82">
        <v>0</v>
      </c>
      <c r="AK82">
        <v>15028.379999999992</v>
      </c>
      <c r="AL82">
        <v>75294.670000000071</v>
      </c>
      <c r="AM82">
        <v>66499.880000000398</v>
      </c>
      <c r="AN82">
        <v>-8794.7899999999645</v>
      </c>
      <c r="AO82">
        <v>1739</v>
      </c>
    </row>
    <row r="83" spans="1:41" x14ac:dyDescent="0.35">
      <c r="A83">
        <v>2024</v>
      </c>
      <c r="B83">
        <v>5</v>
      </c>
      <c r="C83">
        <v>20</v>
      </c>
      <c r="D83" s="14">
        <v>45428</v>
      </c>
      <c r="E83" t="s">
        <v>41</v>
      </c>
      <c r="F83" t="s">
        <v>42</v>
      </c>
      <c r="G83" t="s">
        <v>43</v>
      </c>
      <c r="H83">
        <v>130192.5</v>
      </c>
      <c r="I83">
        <v>130192.5</v>
      </c>
      <c r="J83">
        <v>0</v>
      </c>
      <c r="K83">
        <v>1546.7100000000241</v>
      </c>
      <c r="L83">
        <v>1539.7100000000241</v>
      </c>
      <c r="M83">
        <v>-7</v>
      </c>
      <c r="N83">
        <v>3057.9099999999862</v>
      </c>
      <c r="O83">
        <v>3057.9099999999862</v>
      </c>
      <c r="P83">
        <v>0</v>
      </c>
      <c r="Q83">
        <v>-13163.75</v>
      </c>
      <c r="R83">
        <v>-11777.75</v>
      </c>
      <c r="S83">
        <v>1386</v>
      </c>
      <c r="T83">
        <v>-5.3800000000000008</v>
      </c>
      <c r="U83">
        <v>-5.3800000000000008</v>
      </c>
      <c r="V83">
        <v>0</v>
      </c>
      <c r="W83">
        <v>-98.98</v>
      </c>
      <c r="X83">
        <v>-98.98</v>
      </c>
      <c r="Y83">
        <v>0</v>
      </c>
      <c r="Z83">
        <v>121529.01000000138</v>
      </c>
      <c r="AA83">
        <v>122908.01000000141</v>
      </c>
      <c r="AB83">
        <v>1379</v>
      </c>
      <c r="AC83">
        <v>46493.569999999323</v>
      </c>
      <c r="AD83">
        <v>17626.699999999953</v>
      </c>
      <c r="AE83">
        <v>-28866.870000000054</v>
      </c>
      <c r="AF83">
        <v>75035.440000000483</v>
      </c>
      <c r="AG83">
        <v>105281.31000000064</v>
      </c>
      <c r="AH83">
        <v>30245.870000000064</v>
      </c>
      <c r="AI83">
        <v>-9306.1699999999928</v>
      </c>
      <c r="AJ83">
        <v>0</v>
      </c>
      <c r="AK83">
        <v>9306.1699999999928</v>
      </c>
      <c r="AL83">
        <v>84341.610000000175</v>
      </c>
      <c r="AM83">
        <v>105281.31000000064</v>
      </c>
      <c r="AN83">
        <v>20939.699999999953</v>
      </c>
      <c r="AO83">
        <v>2242</v>
      </c>
    </row>
    <row r="84" spans="1:41" x14ac:dyDescent="0.35">
      <c r="A84">
        <v>2024</v>
      </c>
      <c r="B84">
        <v>5</v>
      </c>
      <c r="C84">
        <v>20</v>
      </c>
      <c r="D84" s="14">
        <v>45429</v>
      </c>
      <c r="E84" t="s">
        <v>41</v>
      </c>
      <c r="F84" t="s">
        <v>42</v>
      </c>
      <c r="G84" t="s">
        <v>43</v>
      </c>
      <c r="H84">
        <v>97966.25</v>
      </c>
      <c r="I84">
        <v>97966.25</v>
      </c>
      <c r="J84">
        <v>0</v>
      </c>
      <c r="K84">
        <v>1345.220000000015</v>
      </c>
      <c r="L84">
        <v>1338.220000000015</v>
      </c>
      <c r="M84">
        <v>-7</v>
      </c>
      <c r="N84">
        <v>2470.2599999999948</v>
      </c>
      <c r="O84">
        <v>2470.2599999999948</v>
      </c>
      <c r="P84">
        <v>0</v>
      </c>
      <c r="Q84">
        <v>-10041.35</v>
      </c>
      <c r="R84">
        <v>-9270.35</v>
      </c>
      <c r="S84">
        <v>771</v>
      </c>
      <c r="T84">
        <v>-6.0600000000000014</v>
      </c>
      <c r="U84">
        <v>-5.6000000000000014</v>
      </c>
      <c r="V84">
        <v>0.46</v>
      </c>
      <c r="W84">
        <v>-89.98</v>
      </c>
      <c r="X84">
        <v>-89.98</v>
      </c>
      <c r="Y84">
        <v>0</v>
      </c>
      <c r="Z84">
        <v>91644.340000000535</v>
      </c>
      <c r="AA84">
        <v>92408.80000000057</v>
      </c>
      <c r="AB84">
        <v>764.46</v>
      </c>
      <c r="AC84">
        <v>34229.039999999863</v>
      </c>
      <c r="AD84">
        <v>16895.109999999961</v>
      </c>
      <c r="AE84">
        <v>-17333.929999999953</v>
      </c>
      <c r="AF84">
        <v>57415.30000000025</v>
      </c>
      <c r="AG84">
        <v>75513.690000000119</v>
      </c>
      <c r="AH84">
        <v>18098.389999999948</v>
      </c>
      <c r="AI84">
        <v>-8774.1999999999771</v>
      </c>
      <c r="AJ84">
        <v>0</v>
      </c>
      <c r="AK84">
        <v>8774.1999999999771</v>
      </c>
      <c r="AL84">
        <v>66189.500000000262</v>
      </c>
      <c r="AM84">
        <v>75513.690000000119</v>
      </c>
      <c r="AN84">
        <v>9324.1900000000351</v>
      </c>
      <c r="AO84">
        <v>1697</v>
      </c>
    </row>
    <row r="85" spans="1:41" x14ac:dyDescent="0.35">
      <c r="A85">
        <v>2024</v>
      </c>
      <c r="B85">
        <v>5</v>
      </c>
      <c r="C85">
        <v>20</v>
      </c>
      <c r="D85" s="14">
        <v>45430</v>
      </c>
      <c r="E85" t="s">
        <v>41</v>
      </c>
      <c r="F85" t="s">
        <v>42</v>
      </c>
      <c r="G85" t="s">
        <v>43</v>
      </c>
      <c r="H85">
        <v>96778</v>
      </c>
      <c r="I85">
        <v>96778</v>
      </c>
      <c r="J85">
        <v>0</v>
      </c>
      <c r="K85">
        <v>1151.8800000000097</v>
      </c>
      <c r="L85">
        <v>1141.8800000000087</v>
      </c>
      <c r="M85">
        <v>-10</v>
      </c>
      <c r="N85">
        <v>2543.1499999999933</v>
      </c>
      <c r="O85">
        <v>2543.1499999999933</v>
      </c>
      <c r="P85">
        <v>0</v>
      </c>
      <c r="Q85">
        <v>-9334.4500000000007</v>
      </c>
      <c r="R85">
        <v>-8632.4500000000007</v>
      </c>
      <c r="S85">
        <v>702</v>
      </c>
      <c r="T85">
        <v>-3.93</v>
      </c>
      <c r="U85">
        <v>-3.93</v>
      </c>
      <c r="V85">
        <v>0</v>
      </c>
      <c r="W85">
        <v>-101.97999999999999</v>
      </c>
      <c r="X85">
        <v>-101.97999999999999</v>
      </c>
      <c r="Y85">
        <v>0</v>
      </c>
      <c r="Z85">
        <v>91032.670000000158</v>
      </c>
      <c r="AA85">
        <v>91724.670000000202</v>
      </c>
      <c r="AB85">
        <v>692</v>
      </c>
      <c r="AC85">
        <v>33147.87999999991</v>
      </c>
      <c r="AD85">
        <v>16377.209999999959</v>
      </c>
      <c r="AE85">
        <v>-16770.669999999966</v>
      </c>
      <c r="AF85">
        <v>57884.790000000095</v>
      </c>
      <c r="AG85">
        <v>75347.45999999989</v>
      </c>
      <c r="AH85">
        <v>17462.669999999969</v>
      </c>
      <c r="AI85">
        <v>-8569.9799999999959</v>
      </c>
      <c r="AJ85">
        <v>0</v>
      </c>
      <c r="AK85">
        <v>8569.9799999999959</v>
      </c>
      <c r="AL85">
        <v>66454.770000000048</v>
      </c>
      <c r="AM85">
        <v>75347.45999999989</v>
      </c>
      <c r="AN85">
        <v>8892.6900000000187</v>
      </c>
      <c r="AO85">
        <v>1667</v>
      </c>
    </row>
    <row r="86" spans="1:41" x14ac:dyDescent="0.35">
      <c r="A86">
        <v>2024</v>
      </c>
      <c r="B86">
        <v>5</v>
      </c>
      <c r="C86">
        <v>20</v>
      </c>
      <c r="D86" s="14">
        <v>45424</v>
      </c>
      <c r="E86" t="s">
        <v>44</v>
      </c>
      <c r="F86" t="s">
        <v>42</v>
      </c>
      <c r="G86" t="s">
        <v>45</v>
      </c>
      <c r="H86">
        <v>139184.5</v>
      </c>
      <c r="I86">
        <v>139184.5</v>
      </c>
      <c r="J86">
        <v>0</v>
      </c>
      <c r="K86">
        <v>1107.5000000000082</v>
      </c>
      <c r="L86">
        <v>1107.5000000000082</v>
      </c>
      <c r="M86">
        <v>0</v>
      </c>
      <c r="N86">
        <v>6307.9999999999427</v>
      </c>
      <c r="O86">
        <v>6307.9999999999427</v>
      </c>
      <c r="P86">
        <v>0</v>
      </c>
      <c r="Q86">
        <v>-23487.05</v>
      </c>
      <c r="R86">
        <v>-23120.05</v>
      </c>
      <c r="S86">
        <v>367</v>
      </c>
      <c r="T86">
        <v>-20.079999999999998</v>
      </c>
      <c r="U86">
        <v>-20.079999999999998</v>
      </c>
      <c r="V86">
        <v>0</v>
      </c>
      <c r="W86">
        <v>-139.70000000000002</v>
      </c>
      <c r="X86">
        <v>-139.70000000000002</v>
      </c>
      <c r="Y86">
        <v>0</v>
      </c>
      <c r="Z86">
        <v>122953.17000000078</v>
      </c>
      <c r="AA86">
        <v>123320.17000000077</v>
      </c>
      <c r="AB86">
        <v>367</v>
      </c>
      <c r="AC86">
        <v>31310.929999999782</v>
      </c>
      <c r="AD86">
        <v>19511.469999999892</v>
      </c>
      <c r="AE86">
        <v>-11799.459999999966</v>
      </c>
      <c r="AF86">
        <v>91642.240000000413</v>
      </c>
      <c r="AG86">
        <v>103808.70000000054</v>
      </c>
      <c r="AH86">
        <v>12166.459999999963</v>
      </c>
      <c r="AI86">
        <v>-9933.8700000000063</v>
      </c>
      <c r="AJ86">
        <v>0</v>
      </c>
      <c r="AK86">
        <v>9933.8700000000063</v>
      </c>
      <c r="AL86">
        <v>101576.11000000013</v>
      </c>
      <c r="AM86">
        <v>103808.70000000054</v>
      </c>
      <c r="AN86">
        <v>2232.5900000000029</v>
      </c>
      <c r="AO86">
        <v>1792</v>
      </c>
    </row>
    <row r="87" spans="1:41" x14ac:dyDescent="0.35">
      <c r="A87">
        <v>2024</v>
      </c>
      <c r="B87">
        <v>5</v>
      </c>
      <c r="C87">
        <v>20</v>
      </c>
      <c r="D87" s="14">
        <v>45425</v>
      </c>
      <c r="E87" t="s">
        <v>44</v>
      </c>
      <c r="F87" t="s">
        <v>42</v>
      </c>
      <c r="G87" t="s">
        <v>45</v>
      </c>
      <c r="H87">
        <v>157437</v>
      </c>
      <c r="I87">
        <v>157437</v>
      </c>
      <c r="J87">
        <v>0</v>
      </c>
      <c r="K87">
        <v>1319.700000000016</v>
      </c>
      <c r="L87">
        <v>1319.700000000016</v>
      </c>
      <c r="M87">
        <v>0</v>
      </c>
      <c r="N87">
        <v>7728.139999999923</v>
      </c>
      <c r="O87">
        <v>7712.1499999999232</v>
      </c>
      <c r="P87">
        <v>-15.99</v>
      </c>
      <c r="Q87">
        <v>-27865.370000000003</v>
      </c>
      <c r="R87">
        <v>-27359.870000000003</v>
      </c>
      <c r="S87">
        <v>505.5</v>
      </c>
      <c r="T87">
        <v>-29.340000000000003</v>
      </c>
      <c r="U87">
        <v>-29.340000000000003</v>
      </c>
      <c r="V87">
        <v>0</v>
      </c>
      <c r="W87">
        <v>-182.9</v>
      </c>
      <c r="X87">
        <v>-182.9</v>
      </c>
      <c r="Y87">
        <v>0</v>
      </c>
      <c r="Z87">
        <v>138407.23000000109</v>
      </c>
      <c r="AA87">
        <v>138896.74000000107</v>
      </c>
      <c r="AB87">
        <v>489.51</v>
      </c>
      <c r="AC87">
        <v>37000.919999999322</v>
      </c>
      <c r="AD87">
        <v>18035.279999999915</v>
      </c>
      <c r="AE87">
        <v>-18965.639999999919</v>
      </c>
      <c r="AF87">
        <v>101406.31000000064</v>
      </c>
      <c r="AG87">
        <v>120861.46000000111</v>
      </c>
      <c r="AH87">
        <v>19455.149999999921</v>
      </c>
      <c r="AI87">
        <v>-9223.630000000001</v>
      </c>
      <c r="AJ87">
        <v>0</v>
      </c>
      <c r="AK87">
        <v>9223.630000000001</v>
      </c>
      <c r="AL87">
        <v>110629.94000000034</v>
      </c>
      <c r="AM87">
        <v>120861.46000000111</v>
      </c>
      <c r="AN87">
        <v>10231.52000000001</v>
      </c>
      <c r="AO87">
        <v>1989</v>
      </c>
    </row>
    <row r="88" spans="1:41" x14ac:dyDescent="0.35">
      <c r="A88">
        <v>2024</v>
      </c>
      <c r="B88">
        <v>5</v>
      </c>
      <c r="C88">
        <v>20</v>
      </c>
      <c r="D88" s="14">
        <v>45426</v>
      </c>
      <c r="E88" t="s">
        <v>44</v>
      </c>
      <c r="F88" t="s">
        <v>42</v>
      </c>
      <c r="G88" t="s">
        <v>45</v>
      </c>
      <c r="H88">
        <v>86152</v>
      </c>
      <c r="I88">
        <v>86152</v>
      </c>
      <c r="J88">
        <v>0</v>
      </c>
      <c r="K88">
        <v>683.74000000000024</v>
      </c>
      <c r="L88">
        <v>683.74000000000024</v>
      </c>
      <c r="M88">
        <v>0</v>
      </c>
      <c r="N88">
        <v>3947.4899999999748</v>
      </c>
      <c r="O88">
        <v>3915.5099999999752</v>
      </c>
      <c r="P88">
        <v>-31.98</v>
      </c>
      <c r="Q88">
        <v>-15428.9</v>
      </c>
      <c r="R88">
        <v>-14716.9</v>
      </c>
      <c r="S88">
        <v>712</v>
      </c>
      <c r="T88">
        <v>-13.270000000000001</v>
      </c>
      <c r="U88">
        <v>-13.270000000000001</v>
      </c>
      <c r="V88">
        <v>0</v>
      </c>
      <c r="W88">
        <v>-84.19</v>
      </c>
      <c r="X88">
        <v>-76.19</v>
      </c>
      <c r="Y88">
        <v>8</v>
      </c>
      <c r="Z88">
        <v>75256.869999999937</v>
      </c>
      <c r="AA88">
        <v>75944.889999999941</v>
      </c>
      <c r="AB88">
        <v>688.02</v>
      </c>
      <c r="AC88">
        <v>22184.289999999826</v>
      </c>
      <c r="AD88">
        <v>4678.5900000000065</v>
      </c>
      <c r="AE88">
        <v>-17505.699999999928</v>
      </c>
      <c r="AF88">
        <v>53072.580000000307</v>
      </c>
      <c r="AG88">
        <v>71266.3</v>
      </c>
      <c r="AH88">
        <v>18193.719999999917</v>
      </c>
      <c r="AI88">
        <v>-2267.6899999999978</v>
      </c>
      <c r="AJ88">
        <v>0</v>
      </c>
      <c r="AK88">
        <v>2267.6899999999978</v>
      </c>
      <c r="AL88">
        <v>55340.270000000222</v>
      </c>
      <c r="AM88">
        <v>71266.3</v>
      </c>
      <c r="AN88">
        <v>15926.029999999948</v>
      </c>
      <c r="AO88">
        <v>1091</v>
      </c>
    </row>
    <row r="89" spans="1:41" x14ac:dyDescent="0.35">
      <c r="A89">
        <v>2024</v>
      </c>
      <c r="B89">
        <v>5</v>
      </c>
      <c r="C89">
        <v>20</v>
      </c>
      <c r="D89" s="14">
        <v>45427</v>
      </c>
      <c r="E89" t="s">
        <v>44</v>
      </c>
      <c r="F89" t="s">
        <v>42</v>
      </c>
      <c r="G89" t="s">
        <v>45</v>
      </c>
      <c r="H89">
        <v>124939.5</v>
      </c>
      <c r="I89">
        <v>124939.5</v>
      </c>
      <c r="J89">
        <v>0</v>
      </c>
      <c r="K89">
        <v>1012.5800000000071</v>
      </c>
      <c r="L89">
        <v>1012.5800000000071</v>
      </c>
      <c r="M89">
        <v>0</v>
      </c>
      <c r="N89">
        <v>5612.4499999999516</v>
      </c>
      <c r="O89">
        <v>5596.4599999999518</v>
      </c>
      <c r="P89">
        <v>-15.99</v>
      </c>
      <c r="Q89">
        <v>-20835.150000000001</v>
      </c>
      <c r="R89">
        <v>-20682.150000000001</v>
      </c>
      <c r="S89">
        <v>153</v>
      </c>
      <c r="T89">
        <v>-8.9800000000000022</v>
      </c>
      <c r="U89">
        <v>-8.9800000000000022</v>
      </c>
      <c r="V89">
        <v>0</v>
      </c>
      <c r="W89">
        <v>-139.87</v>
      </c>
      <c r="X89">
        <v>-139.87</v>
      </c>
      <c r="Y89">
        <v>0</v>
      </c>
      <c r="Z89">
        <v>110580.53000000078</v>
      </c>
      <c r="AA89">
        <v>110717.54000000079</v>
      </c>
      <c r="AB89">
        <v>137.01</v>
      </c>
      <c r="AC89">
        <v>25945.28999999967</v>
      </c>
      <c r="AD89">
        <v>21360.949999999826</v>
      </c>
      <c r="AE89">
        <v>-4584.3400000000092</v>
      </c>
      <c r="AF89">
        <v>84635.240000000602</v>
      </c>
      <c r="AG89">
        <v>89356.590000000622</v>
      </c>
      <c r="AH89">
        <v>4721.3500000000095</v>
      </c>
      <c r="AI89">
        <v>-10800.849999999969</v>
      </c>
      <c r="AJ89">
        <v>0</v>
      </c>
      <c r="AK89">
        <v>10800.849999999969</v>
      </c>
      <c r="AL89">
        <v>95436.090000000026</v>
      </c>
      <c r="AM89">
        <v>89356.590000000622</v>
      </c>
      <c r="AN89">
        <v>-6079.49999999999</v>
      </c>
      <c r="AO89">
        <v>1590</v>
      </c>
    </row>
    <row r="90" spans="1:41" x14ac:dyDescent="0.35">
      <c r="A90">
        <v>2024</v>
      </c>
      <c r="B90">
        <v>5</v>
      </c>
      <c r="C90">
        <v>20</v>
      </c>
      <c r="D90" s="14">
        <v>45428</v>
      </c>
      <c r="E90" t="s">
        <v>44</v>
      </c>
      <c r="F90" t="s">
        <v>42</v>
      </c>
      <c r="G90" t="s">
        <v>45</v>
      </c>
      <c r="H90">
        <v>162971.75</v>
      </c>
      <c r="I90">
        <v>162971.75</v>
      </c>
      <c r="J90">
        <v>0</v>
      </c>
      <c r="K90">
        <v>1103.6900000000082</v>
      </c>
      <c r="L90">
        <v>1103.6900000000082</v>
      </c>
      <c r="M90">
        <v>0</v>
      </c>
      <c r="N90">
        <v>7390.239999999927</v>
      </c>
      <c r="O90">
        <v>7362.2599999999275</v>
      </c>
      <c r="P90">
        <v>-27.980000000000004</v>
      </c>
      <c r="Q90">
        <v>-28288.75</v>
      </c>
      <c r="R90">
        <v>-27432.75</v>
      </c>
      <c r="S90">
        <v>856</v>
      </c>
      <c r="T90">
        <v>-3.3300000000000005</v>
      </c>
      <c r="U90">
        <v>-3.3300000000000005</v>
      </c>
      <c r="V90">
        <v>0</v>
      </c>
      <c r="W90">
        <v>-146.80000000000001</v>
      </c>
      <c r="X90">
        <v>-146.80000000000001</v>
      </c>
      <c r="Y90">
        <v>0</v>
      </c>
      <c r="Z90">
        <v>143026.80000000098</v>
      </c>
      <c r="AA90">
        <v>143854.82000000094</v>
      </c>
      <c r="AB90">
        <v>828.02</v>
      </c>
      <c r="AC90">
        <v>35877.499999999476</v>
      </c>
      <c r="AD90">
        <v>14996.849999999944</v>
      </c>
      <c r="AE90">
        <v>-20880.64999999986</v>
      </c>
      <c r="AF90">
        <v>107149.30000000082</v>
      </c>
      <c r="AG90">
        <v>128857.9700000008</v>
      </c>
      <c r="AH90">
        <v>21708.669999999816</v>
      </c>
      <c r="AI90">
        <v>-7622.1199999999817</v>
      </c>
      <c r="AJ90">
        <v>0</v>
      </c>
      <c r="AK90">
        <v>7622.1199999999817</v>
      </c>
      <c r="AL90">
        <v>114771.42000000074</v>
      </c>
      <c r="AM90">
        <v>128857.9700000008</v>
      </c>
      <c r="AN90">
        <v>14086.549999999932</v>
      </c>
      <c r="AO90">
        <v>2076</v>
      </c>
    </row>
    <row r="91" spans="1:41" x14ac:dyDescent="0.35">
      <c r="A91">
        <v>2024</v>
      </c>
      <c r="B91">
        <v>5</v>
      </c>
      <c r="C91">
        <v>20</v>
      </c>
      <c r="D91" s="14">
        <v>45429</v>
      </c>
      <c r="E91" t="s">
        <v>44</v>
      </c>
      <c r="F91" t="s">
        <v>42</v>
      </c>
      <c r="G91" t="s">
        <v>45</v>
      </c>
      <c r="H91">
        <v>124069.68</v>
      </c>
      <c r="I91">
        <v>124069.68</v>
      </c>
      <c r="J91">
        <v>0</v>
      </c>
      <c r="K91">
        <v>796.5900000000031</v>
      </c>
      <c r="L91">
        <v>796.5900000000031</v>
      </c>
      <c r="M91">
        <v>0</v>
      </c>
      <c r="N91">
        <v>5928.1599999999462</v>
      </c>
      <c r="O91">
        <v>5893.1799999999466</v>
      </c>
      <c r="P91">
        <v>-34.980000000000004</v>
      </c>
      <c r="Q91">
        <v>-21771.149999999998</v>
      </c>
      <c r="R91">
        <v>-21407.149999999998</v>
      </c>
      <c r="S91">
        <v>364</v>
      </c>
      <c r="T91">
        <v>-14.120000000000005</v>
      </c>
      <c r="U91">
        <v>-14.120000000000005</v>
      </c>
      <c r="V91">
        <v>0</v>
      </c>
      <c r="W91">
        <v>-163.48999999999995</v>
      </c>
      <c r="X91">
        <v>-163.48999999999995</v>
      </c>
      <c r="Y91">
        <v>0</v>
      </c>
      <c r="Z91">
        <v>108845.67000000078</v>
      </c>
      <c r="AA91">
        <v>109174.69000000079</v>
      </c>
      <c r="AB91">
        <v>329.02</v>
      </c>
      <c r="AC91">
        <v>27403.119999999875</v>
      </c>
      <c r="AD91">
        <v>12832.769999999955</v>
      </c>
      <c r="AE91">
        <v>-14570.349999999964</v>
      </c>
      <c r="AF91">
        <v>81442.550000000279</v>
      </c>
      <c r="AG91">
        <v>96341.92000000042</v>
      </c>
      <c r="AH91">
        <v>14899.369999999963</v>
      </c>
      <c r="AI91">
        <v>-6652.5699999999915</v>
      </c>
      <c r="AJ91">
        <v>0</v>
      </c>
      <c r="AK91">
        <v>6652.5699999999915</v>
      </c>
      <c r="AL91">
        <v>88095.120000000185</v>
      </c>
      <c r="AM91">
        <v>96341.92000000042</v>
      </c>
      <c r="AN91">
        <v>8246.8000000000284</v>
      </c>
      <c r="AO91">
        <v>1594</v>
      </c>
    </row>
    <row r="92" spans="1:41" x14ac:dyDescent="0.35">
      <c r="A92">
        <v>2024</v>
      </c>
      <c r="B92">
        <v>5</v>
      </c>
      <c r="C92">
        <v>20</v>
      </c>
      <c r="D92" s="14">
        <v>45430</v>
      </c>
      <c r="E92" t="s">
        <v>44</v>
      </c>
      <c r="F92" t="s">
        <v>42</v>
      </c>
      <c r="G92" t="s">
        <v>45</v>
      </c>
      <c r="H92">
        <v>118386.5</v>
      </c>
      <c r="I92">
        <v>118386.5</v>
      </c>
      <c r="J92">
        <v>0</v>
      </c>
      <c r="K92">
        <v>899.83000000000254</v>
      </c>
      <c r="L92">
        <v>899.83000000000254</v>
      </c>
      <c r="M92">
        <v>0</v>
      </c>
      <c r="N92">
        <v>5042.7099999999591</v>
      </c>
      <c r="O92">
        <v>5042.7099999999591</v>
      </c>
      <c r="P92">
        <v>0</v>
      </c>
      <c r="Q92">
        <v>-19760.61</v>
      </c>
      <c r="R92">
        <v>-19389.61</v>
      </c>
      <c r="S92">
        <v>371</v>
      </c>
      <c r="T92">
        <v>-7.89</v>
      </c>
      <c r="U92">
        <v>-7.89</v>
      </c>
      <c r="V92">
        <v>0</v>
      </c>
      <c r="W92">
        <v>-129.19999999999999</v>
      </c>
      <c r="X92">
        <v>-129.19999999999999</v>
      </c>
      <c r="Y92">
        <v>0</v>
      </c>
      <c r="Z92">
        <v>104431.34000000052</v>
      </c>
      <c r="AA92">
        <v>104802.34000000053</v>
      </c>
      <c r="AB92">
        <v>371</v>
      </c>
      <c r="AC92">
        <v>26237.889999999868</v>
      </c>
      <c r="AD92">
        <v>13807.819999999971</v>
      </c>
      <c r="AE92">
        <v>-12430.069999999978</v>
      </c>
      <c r="AF92">
        <v>78193.450000000084</v>
      </c>
      <c r="AG92">
        <v>90994.520000000281</v>
      </c>
      <c r="AH92">
        <v>12801.069999999976</v>
      </c>
      <c r="AI92">
        <v>-6948.5700000000006</v>
      </c>
      <c r="AJ92">
        <v>0</v>
      </c>
      <c r="AK92">
        <v>6948.5700000000006</v>
      </c>
      <c r="AL92">
        <v>85142.02000000015</v>
      </c>
      <c r="AM92">
        <v>90994.520000000281</v>
      </c>
      <c r="AN92">
        <v>5852.5000000000209</v>
      </c>
      <c r="AO92">
        <v>1499</v>
      </c>
    </row>
    <row r="93" spans="1:41" x14ac:dyDescent="0.35">
      <c r="A93">
        <v>2024</v>
      </c>
      <c r="B93">
        <v>5</v>
      </c>
      <c r="C93">
        <v>20</v>
      </c>
      <c r="D93" s="14">
        <v>45424</v>
      </c>
      <c r="E93" t="s">
        <v>44</v>
      </c>
      <c r="F93" t="s">
        <v>42</v>
      </c>
      <c r="G93" t="s">
        <v>46</v>
      </c>
      <c r="H93">
        <v>39840.14</v>
      </c>
      <c r="I93">
        <v>39840.14</v>
      </c>
      <c r="J93">
        <v>0</v>
      </c>
      <c r="K93">
        <v>272.7499999999996</v>
      </c>
      <c r="L93">
        <v>272.7499999999996</v>
      </c>
      <c r="M93">
        <v>0</v>
      </c>
      <c r="N93">
        <v>968.39000000000044</v>
      </c>
      <c r="O93">
        <v>968.39000000000044</v>
      </c>
      <c r="P93">
        <v>0</v>
      </c>
      <c r="Q93">
        <v>-13462.39</v>
      </c>
      <c r="R93">
        <v>-13361.39</v>
      </c>
      <c r="S93">
        <v>101</v>
      </c>
      <c r="T93">
        <v>0</v>
      </c>
      <c r="U93">
        <v>0</v>
      </c>
      <c r="V93">
        <v>0</v>
      </c>
      <c r="W93">
        <v>-10</v>
      </c>
      <c r="X93">
        <v>-10</v>
      </c>
      <c r="Y93">
        <v>0</v>
      </c>
      <c r="Z93">
        <v>27608.889999999996</v>
      </c>
      <c r="AA93">
        <v>27709.889999999996</v>
      </c>
      <c r="AB93">
        <v>101.00000000000001</v>
      </c>
      <c r="AC93">
        <v>8083.6400000000185</v>
      </c>
      <c r="AD93">
        <v>4312.910000000008</v>
      </c>
      <c r="AE93">
        <v>-3770.7300000000059</v>
      </c>
      <c r="AF93">
        <v>19525.250000000025</v>
      </c>
      <c r="AG93">
        <v>23396.980000000025</v>
      </c>
      <c r="AH93">
        <v>3871.7300000000055</v>
      </c>
      <c r="AI93">
        <v>-1107.55</v>
      </c>
      <c r="AJ93">
        <v>0</v>
      </c>
      <c r="AK93">
        <v>1107.55</v>
      </c>
      <c r="AL93">
        <v>20632.800000000014</v>
      </c>
      <c r="AM93">
        <v>23396.980000000025</v>
      </c>
      <c r="AN93">
        <v>2764.1800000000012</v>
      </c>
      <c r="AO93">
        <v>467</v>
      </c>
    </row>
    <row r="94" spans="1:41" x14ac:dyDescent="0.35">
      <c r="A94">
        <v>2024</v>
      </c>
      <c r="B94">
        <v>5</v>
      </c>
      <c r="C94">
        <v>20</v>
      </c>
      <c r="D94" s="14">
        <v>45425</v>
      </c>
      <c r="E94" t="s">
        <v>44</v>
      </c>
      <c r="F94" t="s">
        <v>42</v>
      </c>
      <c r="G94" t="s">
        <v>46</v>
      </c>
      <c r="H94">
        <v>38423.86</v>
      </c>
      <c r="I94">
        <v>38423.86</v>
      </c>
      <c r="J94">
        <v>0</v>
      </c>
      <c r="K94">
        <v>174.8299999999999</v>
      </c>
      <c r="L94">
        <v>174.8299999999999</v>
      </c>
      <c r="M94">
        <v>0</v>
      </c>
      <c r="N94">
        <v>931.39000000000044</v>
      </c>
      <c r="O94">
        <v>931.39000000000044</v>
      </c>
      <c r="P94">
        <v>0</v>
      </c>
      <c r="Q94">
        <v>-13575.460000000001</v>
      </c>
      <c r="R94">
        <v>-13393.460000000001</v>
      </c>
      <c r="S94">
        <v>182</v>
      </c>
      <c r="T94">
        <v>0</v>
      </c>
      <c r="U94">
        <v>0</v>
      </c>
      <c r="V94">
        <v>0</v>
      </c>
      <c r="W94">
        <v>-5</v>
      </c>
      <c r="X94">
        <v>-5</v>
      </c>
      <c r="Y94">
        <v>0</v>
      </c>
      <c r="Z94">
        <v>25949.620000000014</v>
      </c>
      <c r="AA94">
        <v>26131.62000000001</v>
      </c>
      <c r="AB94">
        <v>182</v>
      </c>
      <c r="AC94">
        <v>7824.5800000000199</v>
      </c>
      <c r="AD94">
        <v>3663.530000000007</v>
      </c>
      <c r="AE94">
        <v>-4161.0500000000075</v>
      </c>
      <c r="AF94">
        <v>18125.040000000041</v>
      </c>
      <c r="AG94">
        <v>22468.090000000029</v>
      </c>
      <c r="AH94">
        <v>4343.0500000000075</v>
      </c>
      <c r="AI94">
        <v>-1514.7399999999989</v>
      </c>
      <c r="AJ94">
        <v>0</v>
      </c>
      <c r="AK94">
        <v>1514.7399999999989</v>
      </c>
      <c r="AL94">
        <v>19639.780000000017</v>
      </c>
      <c r="AM94">
        <v>22468.090000000029</v>
      </c>
      <c r="AN94">
        <v>2828.3100000000049</v>
      </c>
      <c r="AO94">
        <v>429</v>
      </c>
    </row>
    <row r="95" spans="1:41" x14ac:dyDescent="0.35">
      <c r="A95">
        <v>2024</v>
      </c>
      <c r="B95">
        <v>5</v>
      </c>
      <c r="C95">
        <v>20</v>
      </c>
      <c r="D95" s="14">
        <v>45426</v>
      </c>
      <c r="E95" t="s">
        <v>44</v>
      </c>
      <c r="F95" t="s">
        <v>42</v>
      </c>
      <c r="G95" t="s">
        <v>46</v>
      </c>
      <c r="H95">
        <v>20989.22</v>
      </c>
      <c r="I95">
        <v>20989.22</v>
      </c>
      <c r="J95">
        <v>0</v>
      </c>
      <c r="K95">
        <v>137.61000000000001</v>
      </c>
      <c r="L95">
        <v>137.61000000000001</v>
      </c>
      <c r="M95">
        <v>0</v>
      </c>
      <c r="N95">
        <v>544.64000000000021</v>
      </c>
      <c r="O95">
        <v>531.6500000000002</v>
      </c>
      <c r="P95">
        <v>-12.99</v>
      </c>
      <c r="Q95">
        <v>-7439.52</v>
      </c>
      <c r="R95">
        <v>-7282.52</v>
      </c>
      <c r="S95">
        <v>157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14231.949999999988</v>
      </c>
      <c r="AA95">
        <v>14375.959999999988</v>
      </c>
      <c r="AB95">
        <v>144.01</v>
      </c>
      <c r="AC95">
        <v>4726.9800000000105</v>
      </c>
      <c r="AD95">
        <v>1235.1299999999997</v>
      </c>
      <c r="AE95">
        <v>-3491.8500000000058</v>
      </c>
      <c r="AF95">
        <v>9504.9699999999884</v>
      </c>
      <c r="AG95">
        <v>13140.829999999996</v>
      </c>
      <c r="AH95">
        <v>3635.8600000000047</v>
      </c>
      <c r="AI95">
        <v>-460.77000000000004</v>
      </c>
      <c r="AJ95">
        <v>0</v>
      </c>
      <c r="AK95">
        <v>460.77000000000004</v>
      </c>
      <c r="AL95">
        <v>9965.7399999999961</v>
      </c>
      <c r="AM95">
        <v>13140.829999999996</v>
      </c>
      <c r="AN95">
        <v>3175.0900000000047</v>
      </c>
      <c r="AO95">
        <v>237</v>
      </c>
    </row>
    <row r="96" spans="1:41" x14ac:dyDescent="0.35">
      <c r="A96">
        <v>2024</v>
      </c>
      <c r="B96">
        <v>5</v>
      </c>
      <c r="C96">
        <v>20</v>
      </c>
      <c r="D96" s="14">
        <v>45427</v>
      </c>
      <c r="E96" t="s">
        <v>44</v>
      </c>
      <c r="F96" t="s">
        <v>42</v>
      </c>
      <c r="G96" t="s">
        <v>46</v>
      </c>
      <c r="H96">
        <v>38464.11</v>
      </c>
      <c r="I96">
        <v>38464.11</v>
      </c>
      <c r="J96">
        <v>0</v>
      </c>
      <c r="K96">
        <v>223.81000000000006</v>
      </c>
      <c r="L96">
        <v>223.81000000000006</v>
      </c>
      <c r="M96">
        <v>0</v>
      </c>
      <c r="N96">
        <v>917.41000000000042</v>
      </c>
      <c r="O96">
        <v>917.41000000000042</v>
      </c>
      <c r="P96">
        <v>0</v>
      </c>
      <c r="Q96">
        <v>-13109.460000000003</v>
      </c>
      <c r="R96">
        <v>-13029.460000000003</v>
      </c>
      <c r="S96">
        <v>80</v>
      </c>
      <c r="T96">
        <v>-0.6</v>
      </c>
      <c r="U96">
        <v>-0.6</v>
      </c>
      <c r="V96">
        <v>0</v>
      </c>
      <c r="W96">
        <v>0</v>
      </c>
      <c r="X96">
        <v>0</v>
      </c>
      <c r="Y96">
        <v>0</v>
      </c>
      <c r="Z96">
        <v>26495.269999999997</v>
      </c>
      <c r="AA96">
        <v>26575.27</v>
      </c>
      <c r="AB96">
        <v>80</v>
      </c>
      <c r="AC96">
        <v>7764.9000000000206</v>
      </c>
      <c r="AD96">
        <v>6529.7700000000168</v>
      </c>
      <c r="AE96">
        <v>-1235.1299999999997</v>
      </c>
      <c r="AF96">
        <v>18730.370000000021</v>
      </c>
      <c r="AG96">
        <v>20045.500000000015</v>
      </c>
      <c r="AH96">
        <v>1315.1299999999997</v>
      </c>
      <c r="AI96">
        <v>-2396.2799999999993</v>
      </c>
      <c r="AJ96">
        <v>0</v>
      </c>
      <c r="AK96">
        <v>2396.2799999999993</v>
      </c>
      <c r="AL96">
        <v>21126.649999999998</v>
      </c>
      <c r="AM96">
        <v>20045.500000000015</v>
      </c>
      <c r="AN96">
        <v>-1081.1500000000001</v>
      </c>
      <c r="AO96">
        <v>439</v>
      </c>
    </row>
    <row r="97" spans="1:41" x14ac:dyDescent="0.35">
      <c r="A97">
        <v>2024</v>
      </c>
      <c r="B97">
        <v>5</v>
      </c>
      <c r="C97">
        <v>20</v>
      </c>
      <c r="D97" s="14">
        <v>45428</v>
      </c>
      <c r="E97" t="s">
        <v>44</v>
      </c>
      <c r="F97" t="s">
        <v>42</v>
      </c>
      <c r="G97" t="s">
        <v>46</v>
      </c>
      <c r="H97">
        <v>49769.75</v>
      </c>
      <c r="I97">
        <v>49769.75</v>
      </c>
      <c r="J97">
        <v>0</v>
      </c>
      <c r="K97">
        <v>386.06999999999852</v>
      </c>
      <c r="L97">
        <v>386.06999999999852</v>
      </c>
      <c r="M97">
        <v>0</v>
      </c>
      <c r="N97">
        <v>1445.0800000000006</v>
      </c>
      <c r="O97">
        <v>1394.1100000000006</v>
      </c>
      <c r="P97">
        <v>-50.970000000000006</v>
      </c>
      <c r="Q97">
        <v>-16645.650000000001</v>
      </c>
      <c r="R97">
        <v>-16453.650000000001</v>
      </c>
      <c r="S97">
        <v>192</v>
      </c>
      <c r="T97">
        <v>-0.6</v>
      </c>
      <c r="U97">
        <v>-0.6</v>
      </c>
      <c r="V97">
        <v>0</v>
      </c>
      <c r="W97">
        <v>-5</v>
      </c>
      <c r="X97">
        <v>-5</v>
      </c>
      <c r="Y97">
        <v>0</v>
      </c>
      <c r="Z97">
        <v>34949.650000000016</v>
      </c>
      <c r="AA97">
        <v>35090.680000000015</v>
      </c>
      <c r="AB97">
        <v>141.03000000000003</v>
      </c>
      <c r="AC97">
        <v>10142.760000000007</v>
      </c>
      <c r="AD97">
        <v>3971.2500000000055</v>
      </c>
      <c r="AE97">
        <v>-6171.5100000000157</v>
      </c>
      <c r="AF97">
        <v>24806.890000000094</v>
      </c>
      <c r="AG97">
        <v>31119.430000000066</v>
      </c>
      <c r="AH97">
        <v>6312.5400000000163</v>
      </c>
      <c r="AI97">
        <v>-1276.6999999999985</v>
      </c>
      <c r="AJ97">
        <v>0</v>
      </c>
      <c r="AK97">
        <v>1276.6999999999985</v>
      </c>
      <c r="AL97">
        <v>26083.590000000058</v>
      </c>
      <c r="AM97">
        <v>31119.430000000066</v>
      </c>
      <c r="AN97">
        <v>5035.8400000000065</v>
      </c>
      <c r="AO97">
        <v>573</v>
      </c>
    </row>
    <row r="98" spans="1:41" x14ac:dyDescent="0.35">
      <c r="A98">
        <v>2024</v>
      </c>
      <c r="B98">
        <v>5</v>
      </c>
      <c r="C98">
        <v>20</v>
      </c>
      <c r="D98" s="14">
        <v>45429</v>
      </c>
      <c r="E98" t="s">
        <v>44</v>
      </c>
      <c r="F98" t="s">
        <v>42</v>
      </c>
      <c r="G98" t="s">
        <v>46</v>
      </c>
      <c r="H98">
        <v>39573.85</v>
      </c>
      <c r="I98">
        <v>39573.85</v>
      </c>
      <c r="J98">
        <v>0</v>
      </c>
      <c r="K98">
        <v>192.96999999999991</v>
      </c>
      <c r="L98">
        <v>192.96999999999991</v>
      </c>
      <c r="M98">
        <v>0</v>
      </c>
      <c r="N98">
        <v>1248.1800000000005</v>
      </c>
      <c r="O98">
        <v>1248.1800000000005</v>
      </c>
      <c r="P98">
        <v>0</v>
      </c>
      <c r="Q98">
        <v>-12865.49</v>
      </c>
      <c r="R98">
        <v>-12742.49</v>
      </c>
      <c r="S98">
        <v>123</v>
      </c>
      <c r="T98">
        <v>-0.63</v>
      </c>
      <c r="U98">
        <v>-0.63</v>
      </c>
      <c r="V98">
        <v>0</v>
      </c>
      <c r="W98">
        <v>-5</v>
      </c>
      <c r="X98">
        <v>-5</v>
      </c>
      <c r="Y98">
        <v>0</v>
      </c>
      <c r="Z98">
        <v>28143.880000000008</v>
      </c>
      <c r="AA98">
        <v>28266.880000000008</v>
      </c>
      <c r="AB98">
        <v>123</v>
      </c>
      <c r="AC98">
        <v>7467.780000000017</v>
      </c>
      <c r="AD98">
        <v>3610.1300000000037</v>
      </c>
      <c r="AE98">
        <v>-3857.6500000000069</v>
      </c>
      <c r="AF98">
        <v>20676.100000000028</v>
      </c>
      <c r="AG98">
        <v>24656.750000000029</v>
      </c>
      <c r="AH98">
        <v>3980.6500000000065</v>
      </c>
      <c r="AI98">
        <v>-1029.7999999999995</v>
      </c>
      <c r="AJ98">
        <v>0</v>
      </c>
      <c r="AK98">
        <v>1029.7999999999995</v>
      </c>
      <c r="AL98">
        <v>21705.900000000012</v>
      </c>
      <c r="AM98">
        <v>24656.750000000029</v>
      </c>
      <c r="AN98">
        <v>2950.8500000000022</v>
      </c>
      <c r="AO98">
        <v>460</v>
      </c>
    </row>
    <row r="99" spans="1:41" x14ac:dyDescent="0.35">
      <c r="A99">
        <v>2024</v>
      </c>
      <c r="B99">
        <v>5</v>
      </c>
      <c r="C99">
        <v>20</v>
      </c>
      <c r="D99" s="14">
        <v>45430</v>
      </c>
      <c r="E99" t="s">
        <v>44</v>
      </c>
      <c r="F99" t="s">
        <v>42</v>
      </c>
      <c r="G99" t="s">
        <v>46</v>
      </c>
      <c r="H99">
        <v>35197.279999999999</v>
      </c>
      <c r="I99">
        <v>35197.279999999999</v>
      </c>
      <c r="J99">
        <v>0</v>
      </c>
      <c r="K99">
        <v>240.20999999999975</v>
      </c>
      <c r="L99">
        <v>240.20999999999975</v>
      </c>
      <c r="M99">
        <v>0</v>
      </c>
      <c r="N99">
        <v>1026.3500000000004</v>
      </c>
      <c r="O99">
        <v>1026.3500000000004</v>
      </c>
      <c r="P99">
        <v>0</v>
      </c>
      <c r="Q99">
        <v>-11808.98</v>
      </c>
      <c r="R99">
        <v>-11669.98</v>
      </c>
      <c r="S99">
        <v>139</v>
      </c>
      <c r="T99">
        <v>-6.58</v>
      </c>
      <c r="U99">
        <v>-6.58</v>
      </c>
      <c r="V99">
        <v>0</v>
      </c>
      <c r="W99">
        <v>-28.990000000000002</v>
      </c>
      <c r="X99">
        <v>-28.990000000000002</v>
      </c>
      <c r="Y99">
        <v>0</v>
      </c>
      <c r="Z99">
        <v>24619.290000000012</v>
      </c>
      <c r="AA99">
        <v>24758.290000000012</v>
      </c>
      <c r="AB99">
        <v>139</v>
      </c>
      <c r="AC99">
        <v>7718.3300000000163</v>
      </c>
      <c r="AD99">
        <v>4133.2500000000073</v>
      </c>
      <c r="AE99">
        <v>-3585.0800000000054</v>
      </c>
      <c r="AF99">
        <v>16900.960000000017</v>
      </c>
      <c r="AG99">
        <v>20625.04</v>
      </c>
      <c r="AH99">
        <v>3724.0800000000049</v>
      </c>
      <c r="AI99">
        <v>-1289.7499999999991</v>
      </c>
      <c r="AJ99">
        <v>0</v>
      </c>
      <c r="AK99">
        <v>1289.7499999999991</v>
      </c>
      <c r="AL99">
        <v>18190.710000000003</v>
      </c>
      <c r="AM99">
        <v>20625.04</v>
      </c>
      <c r="AN99">
        <v>2434.3300000000008</v>
      </c>
      <c r="AO99">
        <v>413</v>
      </c>
    </row>
    <row r="100" spans="1:41" x14ac:dyDescent="0.35">
      <c r="A100">
        <v>2024</v>
      </c>
      <c r="B100">
        <v>5</v>
      </c>
      <c r="C100">
        <v>20</v>
      </c>
      <c r="D100" s="14">
        <v>45424</v>
      </c>
      <c r="E100" t="s">
        <v>44</v>
      </c>
      <c r="F100" t="s">
        <v>47</v>
      </c>
      <c r="G100" t="s">
        <v>48</v>
      </c>
      <c r="H100">
        <v>6231.4100000000135</v>
      </c>
      <c r="I100">
        <v>6231.4100000000135</v>
      </c>
      <c r="J100">
        <v>0</v>
      </c>
      <c r="K100">
        <v>583.29000000000008</v>
      </c>
      <c r="L100">
        <v>583.29000000000008</v>
      </c>
      <c r="M100">
        <v>0</v>
      </c>
      <c r="N100">
        <v>53.970000000000006</v>
      </c>
      <c r="O100">
        <v>53.970000000000006</v>
      </c>
      <c r="P100">
        <v>0</v>
      </c>
      <c r="Q100">
        <v>-702.45</v>
      </c>
      <c r="R100">
        <v>-702.45</v>
      </c>
      <c r="S100">
        <v>0</v>
      </c>
      <c r="T100">
        <v>-4.4000000000000004</v>
      </c>
      <c r="U100">
        <v>-4.4000000000000004</v>
      </c>
      <c r="V100">
        <v>0</v>
      </c>
      <c r="W100">
        <v>0</v>
      </c>
      <c r="X100">
        <v>0</v>
      </c>
      <c r="Y100">
        <v>0</v>
      </c>
      <c r="Z100">
        <v>6161.8200000000106</v>
      </c>
      <c r="AA100">
        <v>6161.8200000000106</v>
      </c>
      <c r="AB100">
        <v>0</v>
      </c>
      <c r="AE100">
        <v>0</v>
      </c>
      <c r="AF100">
        <v>6161.8200000000106</v>
      </c>
      <c r="AG100">
        <v>6161.8200000000106</v>
      </c>
      <c r="AH100">
        <v>0</v>
      </c>
      <c r="AI100">
        <v>1555.7399999999993</v>
      </c>
      <c r="AJ100">
        <v>0</v>
      </c>
      <c r="AK100">
        <v>-1555.7399999999993</v>
      </c>
      <c r="AL100">
        <v>4606.0800000000017</v>
      </c>
      <c r="AM100">
        <v>6161.8200000000106</v>
      </c>
      <c r="AN100">
        <v>1555.7399999999993</v>
      </c>
      <c r="AO100">
        <v>216</v>
      </c>
    </row>
    <row r="101" spans="1:41" x14ac:dyDescent="0.35">
      <c r="A101">
        <v>2024</v>
      </c>
      <c r="B101">
        <v>5</v>
      </c>
      <c r="C101">
        <v>20</v>
      </c>
      <c r="D101" s="14">
        <v>45425</v>
      </c>
      <c r="E101" t="s">
        <v>44</v>
      </c>
      <c r="F101" t="s">
        <v>47</v>
      </c>
      <c r="G101" t="s">
        <v>48</v>
      </c>
      <c r="H101">
        <v>2836.400000000001</v>
      </c>
      <c r="I101">
        <v>2836.400000000001</v>
      </c>
      <c r="J101">
        <v>0</v>
      </c>
      <c r="K101">
        <v>53.65</v>
      </c>
      <c r="L101">
        <v>53.65</v>
      </c>
      <c r="M101">
        <v>0</v>
      </c>
      <c r="N101">
        <v>12.99</v>
      </c>
      <c r="O101">
        <v>12.99</v>
      </c>
      <c r="P101">
        <v>0</v>
      </c>
      <c r="Q101">
        <v>-674.68000000000029</v>
      </c>
      <c r="R101">
        <v>-674.68000000000029</v>
      </c>
      <c r="S101">
        <v>0</v>
      </c>
      <c r="T101">
        <v>-5.5</v>
      </c>
      <c r="U101">
        <v>-5.5</v>
      </c>
      <c r="V101">
        <v>0</v>
      </c>
      <c r="W101">
        <v>0</v>
      </c>
      <c r="X101">
        <v>0</v>
      </c>
      <c r="Y101">
        <v>0</v>
      </c>
      <c r="Z101">
        <v>2222.8600000000006</v>
      </c>
      <c r="AA101">
        <v>2222.8600000000006</v>
      </c>
      <c r="AB101">
        <v>0</v>
      </c>
      <c r="AC101">
        <v>29.759999999999998</v>
      </c>
      <c r="AD101">
        <v>29.759999999999998</v>
      </c>
      <c r="AE101">
        <v>0</v>
      </c>
      <c r="AF101">
        <v>2193.1000000000008</v>
      </c>
      <c r="AG101">
        <v>2193.1000000000008</v>
      </c>
      <c r="AH101">
        <v>0</v>
      </c>
      <c r="AI101">
        <v>821.49999999999966</v>
      </c>
      <c r="AJ101">
        <v>0</v>
      </c>
      <c r="AK101">
        <v>-821.49999999999966</v>
      </c>
      <c r="AL101">
        <v>1371.6000000000001</v>
      </c>
      <c r="AM101">
        <v>2193.1000000000008</v>
      </c>
      <c r="AN101">
        <v>821.49999999999977</v>
      </c>
      <c r="AO101">
        <v>48</v>
      </c>
    </row>
    <row r="102" spans="1:41" x14ac:dyDescent="0.35">
      <c r="A102">
        <v>2024</v>
      </c>
      <c r="B102">
        <v>5</v>
      </c>
      <c r="C102">
        <v>20</v>
      </c>
      <c r="D102" s="14">
        <v>45426</v>
      </c>
      <c r="E102" t="s">
        <v>44</v>
      </c>
      <c r="F102" t="s">
        <v>47</v>
      </c>
      <c r="G102" t="s">
        <v>48</v>
      </c>
      <c r="H102">
        <v>403</v>
      </c>
      <c r="I102">
        <v>403</v>
      </c>
      <c r="J102">
        <v>0</v>
      </c>
      <c r="K102">
        <v>1.4100000000000001</v>
      </c>
      <c r="L102">
        <v>1.4100000000000001</v>
      </c>
      <c r="M102">
        <v>0</v>
      </c>
      <c r="N102">
        <v>0</v>
      </c>
      <c r="O102">
        <v>0</v>
      </c>
      <c r="P102">
        <v>0</v>
      </c>
      <c r="Q102">
        <v>-113</v>
      </c>
      <c r="R102">
        <v>-113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291.40999999999997</v>
      </c>
      <c r="AA102">
        <v>291.40999999999997</v>
      </c>
      <c r="AB102">
        <v>0</v>
      </c>
      <c r="AC102">
        <v>34.89</v>
      </c>
      <c r="AD102">
        <v>5.13</v>
      </c>
      <c r="AE102">
        <v>-29.759999999999998</v>
      </c>
      <c r="AF102">
        <v>256.52</v>
      </c>
      <c r="AG102">
        <v>286.27999999999997</v>
      </c>
      <c r="AH102">
        <v>29.760000000000005</v>
      </c>
      <c r="AI102">
        <v>-7.37</v>
      </c>
      <c r="AJ102">
        <v>0</v>
      </c>
      <c r="AK102">
        <v>7.37</v>
      </c>
      <c r="AL102">
        <v>263.89</v>
      </c>
      <c r="AM102">
        <v>286.27999999999997</v>
      </c>
      <c r="AN102">
        <v>22.39</v>
      </c>
      <c r="AO102">
        <v>4</v>
      </c>
    </row>
    <row r="103" spans="1:41" x14ac:dyDescent="0.35">
      <c r="A103">
        <v>2024</v>
      </c>
      <c r="B103">
        <v>5</v>
      </c>
      <c r="C103">
        <v>20</v>
      </c>
      <c r="D103" s="14">
        <v>45427</v>
      </c>
      <c r="E103" t="s">
        <v>44</v>
      </c>
      <c r="F103" t="s">
        <v>47</v>
      </c>
      <c r="G103" t="s">
        <v>48</v>
      </c>
      <c r="H103">
        <v>6579.5500000000329</v>
      </c>
      <c r="I103">
        <v>6579.5500000000329</v>
      </c>
      <c r="J103">
        <v>0</v>
      </c>
      <c r="K103">
        <v>723.07000000000016</v>
      </c>
      <c r="L103">
        <v>723.07000000000016</v>
      </c>
      <c r="M103">
        <v>0</v>
      </c>
      <c r="N103">
        <v>0</v>
      </c>
      <c r="O103">
        <v>0</v>
      </c>
      <c r="P103">
        <v>0</v>
      </c>
      <c r="Q103">
        <v>-166.60000000000002</v>
      </c>
      <c r="R103">
        <v>-162.60000000000002</v>
      </c>
      <c r="S103">
        <v>4</v>
      </c>
      <c r="T103">
        <v>-8</v>
      </c>
      <c r="U103">
        <v>-8</v>
      </c>
      <c r="V103">
        <v>0</v>
      </c>
      <c r="W103">
        <v>0</v>
      </c>
      <c r="X103">
        <v>0</v>
      </c>
      <c r="Y103">
        <v>0</v>
      </c>
      <c r="Z103">
        <v>7128.0200000000323</v>
      </c>
      <c r="AA103">
        <v>7132.0200000000323</v>
      </c>
      <c r="AB103">
        <v>4</v>
      </c>
      <c r="AC103">
        <v>58.100000000000009</v>
      </c>
      <c r="AD103">
        <v>52.970000000000006</v>
      </c>
      <c r="AE103">
        <v>-5.13</v>
      </c>
      <c r="AF103">
        <v>7069.9200000000319</v>
      </c>
      <c r="AG103">
        <v>7079.050000000032</v>
      </c>
      <c r="AH103">
        <v>9.1300000000000026</v>
      </c>
      <c r="AI103">
        <v>2998.7699999999959</v>
      </c>
      <c r="AJ103">
        <v>0</v>
      </c>
      <c r="AK103">
        <v>-2998.7699999999959</v>
      </c>
      <c r="AL103">
        <v>4071.149999999996</v>
      </c>
      <c r="AM103">
        <v>7079.050000000032</v>
      </c>
      <c r="AN103">
        <v>3007.899999999996</v>
      </c>
      <c r="AO103">
        <v>320</v>
      </c>
    </row>
    <row r="104" spans="1:41" x14ac:dyDescent="0.35">
      <c r="A104">
        <v>2024</v>
      </c>
      <c r="B104">
        <v>5</v>
      </c>
      <c r="C104">
        <v>20</v>
      </c>
      <c r="D104" s="14">
        <v>45428</v>
      </c>
      <c r="E104" t="s">
        <v>44</v>
      </c>
      <c r="F104" t="s">
        <v>47</v>
      </c>
      <c r="G104" t="s">
        <v>48</v>
      </c>
      <c r="H104">
        <v>9348.4000000000251</v>
      </c>
      <c r="I104">
        <v>9348.4000000000251</v>
      </c>
      <c r="J104">
        <v>0</v>
      </c>
      <c r="K104">
        <v>860.36000000000035</v>
      </c>
      <c r="L104">
        <v>860.36000000000035</v>
      </c>
      <c r="M104">
        <v>0</v>
      </c>
      <c r="N104">
        <v>0</v>
      </c>
      <c r="O104">
        <v>0</v>
      </c>
      <c r="P104">
        <v>0</v>
      </c>
      <c r="Q104">
        <v>-2515.2799999999997</v>
      </c>
      <c r="R104">
        <v>-2515.2799999999997</v>
      </c>
      <c r="S104">
        <v>0</v>
      </c>
      <c r="T104">
        <v>-10.200000000000001</v>
      </c>
      <c r="U104">
        <v>-10.200000000000001</v>
      </c>
      <c r="V104">
        <v>0</v>
      </c>
      <c r="W104">
        <v>0</v>
      </c>
      <c r="X104">
        <v>0</v>
      </c>
      <c r="Y104">
        <v>0</v>
      </c>
      <c r="Z104">
        <v>7683.2800000000252</v>
      </c>
      <c r="AA104">
        <v>7683.2800000000252</v>
      </c>
      <c r="AB104">
        <v>0</v>
      </c>
      <c r="AC104">
        <v>52.970000000000006</v>
      </c>
      <c r="AE104">
        <v>-52.970000000000006</v>
      </c>
      <c r="AF104">
        <v>7630.310000000025</v>
      </c>
      <c r="AG104">
        <v>7683.2800000000252</v>
      </c>
      <c r="AH104">
        <v>52.970000000000006</v>
      </c>
      <c r="AI104">
        <v>2896.6799999999994</v>
      </c>
      <c r="AJ104">
        <v>0</v>
      </c>
      <c r="AK104">
        <v>-2896.6799999999994</v>
      </c>
      <c r="AL104">
        <v>4733.6299999999974</v>
      </c>
      <c r="AM104">
        <v>7683.2800000000252</v>
      </c>
      <c r="AN104">
        <v>2949.6499999999996</v>
      </c>
      <c r="AO104">
        <v>288</v>
      </c>
    </row>
    <row r="105" spans="1:41" x14ac:dyDescent="0.35">
      <c r="A105">
        <v>2024</v>
      </c>
      <c r="B105">
        <v>5</v>
      </c>
      <c r="C105">
        <v>20</v>
      </c>
      <c r="D105" s="14">
        <v>45429</v>
      </c>
      <c r="E105" t="s">
        <v>44</v>
      </c>
      <c r="F105" t="s">
        <v>47</v>
      </c>
      <c r="G105" t="s">
        <v>48</v>
      </c>
      <c r="H105">
        <v>9771.4000000000142</v>
      </c>
      <c r="I105">
        <v>9771.4000000000142</v>
      </c>
      <c r="J105">
        <v>0</v>
      </c>
      <c r="K105">
        <v>1243.4500000000007</v>
      </c>
      <c r="L105">
        <v>1243.4500000000007</v>
      </c>
      <c r="M105">
        <v>0</v>
      </c>
      <c r="N105">
        <v>0</v>
      </c>
      <c r="O105">
        <v>0</v>
      </c>
      <c r="P105">
        <v>0</v>
      </c>
      <c r="Q105">
        <v>-1076.4000000000001</v>
      </c>
      <c r="R105">
        <v>-1076.4000000000001</v>
      </c>
      <c r="S105">
        <v>0</v>
      </c>
      <c r="T105">
        <v>-5</v>
      </c>
      <c r="U105">
        <v>-5</v>
      </c>
      <c r="V105">
        <v>0</v>
      </c>
      <c r="W105">
        <v>0</v>
      </c>
      <c r="X105">
        <v>0</v>
      </c>
      <c r="Y105">
        <v>0</v>
      </c>
      <c r="Z105">
        <v>9933.4500000000044</v>
      </c>
      <c r="AA105">
        <v>9933.4500000000044</v>
      </c>
      <c r="AB105">
        <v>0</v>
      </c>
      <c r="AC105">
        <v>30.75</v>
      </c>
      <c r="AD105">
        <v>30.75</v>
      </c>
      <c r="AE105">
        <v>0</v>
      </c>
      <c r="AF105">
        <v>9902.7000000000044</v>
      </c>
      <c r="AG105">
        <v>9902.7000000000044</v>
      </c>
      <c r="AH105">
        <v>0</v>
      </c>
      <c r="AI105">
        <v>3723.5699999999947</v>
      </c>
      <c r="AJ105">
        <v>0</v>
      </c>
      <c r="AK105">
        <v>-3723.5699999999947</v>
      </c>
      <c r="AL105">
        <v>6179.1299999999947</v>
      </c>
      <c r="AM105">
        <v>9902.7000000000044</v>
      </c>
      <c r="AN105">
        <v>3723.5699999999947</v>
      </c>
      <c r="AO105">
        <v>329</v>
      </c>
    </row>
    <row r="106" spans="1:41" x14ac:dyDescent="0.35">
      <c r="A106">
        <v>2024</v>
      </c>
      <c r="B106">
        <v>5</v>
      </c>
      <c r="C106">
        <v>20</v>
      </c>
      <c r="D106" s="14">
        <v>45430</v>
      </c>
      <c r="E106" t="s">
        <v>44</v>
      </c>
      <c r="F106" t="s">
        <v>47</v>
      </c>
      <c r="G106" t="s">
        <v>48</v>
      </c>
      <c r="H106">
        <v>28233.379999999892</v>
      </c>
      <c r="I106">
        <v>28233.379999999892</v>
      </c>
      <c r="J106">
        <v>0</v>
      </c>
      <c r="K106">
        <v>775.1700000000003</v>
      </c>
      <c r="L106">
        <v>744.47000000000025</v>
      </c>
      <c r="M106">
        <v>-30.7</v>
      </c>
      <c r="N106">
        <v>559.7700000000001</v>
      </c>
      <c r="O106">
        <v>559.7700000000001</v>
      </c>
      <c r="P106">
        <v>0</v>
      </c>
      <c r="Q106">
        <v>-9576.68</v>
      </c>
      <c r="R106">
        <v>-9598.6400000000031</v>
      </c>
      <c r="S106">
        <v>-21.960000000000036</v>
      </c>
      <c r="T106">
        <v>0</v>
      </c>
      <c r="U106">
        <v>0</v>
      </c>
      <c r="V106">
        <v>0</v>
      </c>
      <c r="W106">
        <v>-18.990000000000002</v>
      </c>
      <c r="X106">
        <v>-18.990000000000002</v>
      </c>
      <c r="Y106">
        <v>0</v>
      </c>
      <c r="Z106">
        <v>19972.649999999976</v>
      </c>
      <c r="AA106">
        <v>19919.989999999976</v>
      </c>
      <c r="AB106">
        <v>-52.660000000000011</v>
      </c>
      <c r="AC106">
        <v>504.04000000000019</v>
      </c>
      <c r="AD106">
        <v>504.04000000000019</v>
      </c>
      <c r="AE106">
        <v>0</v>
      </c>
      <c r="AF106">
        <v>19468.609999999971</v>
      </c>
      <c r="AG106">
        <v>19415.949999999972</v>
      </c>
      <c r="AH106">
        <v>-52.660000000000018</v>
      </c>
      <c r="AI106">
        <v>6042.4000000000215</v>
      </c>
      <c r="AJ106">
        <v>0</v>
      </c>
      <c r="AK106">
        <v>-6042.4000000000215</v>
      </c>
      <c r="AL106">
        <v>13426.210000000074</v>
      </c>
      <c r="AM106">
        <v>19415.949999999972</v>
      </c>
      <c r="AN106">
        <v>5989.7400000000152</v>
      </c>
      <c r="AO106">
        <v>615</v>
      </c>
    </row>
    <row r="107" spans="1:41" x14ac:dyDescent="0.35">
      <c r="A107">
        <v>2024</v>
      </c>
      <c r="B107">
        <v>5</v>
      </c>
      <c r="C107">
        <v>20</v>
      </c>
      <c r="D107" s="14">
        <v>45424</v>
      </c>
      <c r="E107" t="s">
        <v>44</v>
      </c>
      <c r="F107" t="s">
        <v>47</v>
      </c>
      <c r="G107" t="s">
        <v>49</v>
      </c>
      <c r="H107">
        <v>11679.05</v>
      </c>
      <c r="I107">
        <v>11679.05</v>
      </c>
      <c r="J107">
        <v>0</v>
      </c>
      <c r="K107">
        <v>129.35</v>
      </c>
      <c r="L107">
        <v>129.35</v>
      </c>
      <c r="M107">
        <v>0</v>
      </c>
      <c r="N107">
        <v>155.9</v>
      </c>
      <c r="O107">
        <v>155.9</v>
      </c>
      <c r="P107">
        <v>0</v>
      </c>
      <c r="Q107">
        <v>-4092.9999999999991</v>
      </c>
      <c r="R107">
        <v>-4092.9999999999991</v>
      </c>
      <c r="S107">
        <v>0</v>
      </c>
      <c r="T107">
        <v>-10.7</v>
      </c>
      <c r="U107">
        <v>-10.7</v>
      </c>
      <c r="V107">
        <v>0</v>
      </c>
      <c r="W107">
        <v>-15</v>
      </c>
      <c r="X107">
        <v>-15</v>
      </c>
      <c r="Y107">
        <v>0</v>
      </c>
      <c r="Z107">
        <v>7845.5999999999985</v>
      </c>
      <c r="AA107">
        <v>7845.5999999999985</v>
      </c>
      <c r="AB107">
        <v>0</v>
      </c>
      <c r="AC107">
        <v>614.69999999999925</v>
      </c>
      <c r="AD107">
        <v>285.24</v>
      </c>
      <c r="AE107">
        <v>-329.46</v>
      </c>
      <c r="AF107">
        <v>7230.8999999999933</v>
      </c>
      <c r="AG107">
        <v>7560.3599999999933</v>
      </c>
      <c r="AH107">
        <v>329.46</v>
      </c>
      <c r="AI107">
        <v>1371.8199999999993</v>
      </c>
      <c r="AJ107">
        <v>12.4</v>
      </c>
      <c r="AK107">
        <v>-1359.4199999999992</v>
      </c>
      <c r="AL107">
        <v>5859.0800000000072</v>
      </c>
      <c r="AM107">
        <v>7547.9599999999937</v>
      </c>
      <c r="AN107">
        <v>1688.8799999999994</v>
      </c>
      <c r="AO107">
        <v>154</v>
      </c>
    </row>
    <row r="108" spans="1:41" x14ac:dyDescent="0.35">
      <c r="A108">
        <v>2024</v>
      </c>
      <c r="B108">
        <v>5</v>
      </c>
      <c r="C108">
        <v>20</v>
      </c>
      <c r="D108" s="14">
        <v>45425</v>
      </c>
      <c r="E108" t="s">
        <v>44</v>
      </c>
      <c r="F108" t="s">
        <v>47</v>
      </c>
      <c r="G108" t="s">
        <v>49</v>
      </c>
      <c r="H108">
        <v>13286</v>
      </c>
      <c r="I108">
        <v>13286</v>
      </c>
      <c r="J108">
        <v>0</v>
      </c>
      <c r="K108">
        <v>78.87</v>
      </c>
      <c r="L108">
        <v>78.87</v>
      </c>
      <c r="M108">
        <v>0</v>
      </c>
      <c r="N108">
        <v>124.91999999999999</v>
      </c>
      <c r="O108">
        <v>124.91999999999999</v>
      </c>
      <c r="P108">
        <v>0</v>
      </c>
      <c r="Q108">
        <v>-4237.6000000000013</v>
      </c>
      <c r="R108">
        <v>-4215.6000000000013</v>
      </c>
      <c r="S108">
        <v>21.999999999999993</v>
      </c>
      <c r="T108">
        <v>-10</v>
      </c>
      <c r="U108">
        <v>-10</v>
      </c>
      <c r="V108">
        <v>0</v>
      </c>
      <c r="W108">
        <v>-10</v>
      </c>
      <c r="X108">
        <v>-10</v>
      </c>
      <c r="Y108">
        <v>0</v>
      </c>
      <c r="Z108">
        <v>9232.19</v>
      </c>
      <c r="AA108">
        <v>9254.19</v>
      </c>
      <c r="AB108">
        <v>22.000000000000004</v>
      </c>
      <c r="AC108">
        <v>368.76</v>
      </c>
      <c r="AD108">
        <v>83.52000000000001</v>
      </c>
      <c r="AE108">
        <v>-285.24</v>
      </c>
      <c r="AF108">
        <v>8863.4300000000021</v>
      </c>
      <c r="AG108">
        <v>9170.6700000000019</v>
      </c>
      <c r="AH108">
        <v>307.24</v>
      </c>
      <c r="AI108">
        <v>2110.5299999999993</v>
      </c>
      <c r="AJ108">
        <v>0</v>
      </c>
      <c r="AK108">
        <v>-2110.5299999999993</v>
      </c>
      <c r="AL108">
        <v>6752.9000000000005</v>
      </c>
      <c r="AM108">
        <v>9170.6700000000019</v>
      </c>
      <c r="AN108">
        <v>2417.7700000000009</v>
      </c>
      <c r="AO108">
        <v>196</v>
      </c>
    </row>
    <row r="109" spans="1:41" x14ac:dyDescent="0.35">
      <c r="A109">
        <v>2024</v>
      </c>
      <c r="B109">
        <v>5</v>
      </c>
      <c r="C109">
        <v>20</v>
      </c>
      <c r="D109" s="14">
        <v>45426</v>
      </c>
      <c r="E109" t="s">
        <v>44</v>
      </c>
      <c r="F109" t="s">
        <v>47</v>
      </c>
      <c r="G109" t="s">
        <v>49</v>
      </c>
      <c r="H109">
        <v>894</v>
      </c>
      <c r="I109">
        <v>824</v>
      </c>
      <c r="J109">
        <v>-70</v>
      </c>
      <c r="K109">
        <v>0.46</v>
      </c>
      <c r="L109">
        <v>0.46</v>
      </c>
      <c r="M109">
        <v>0</v>
      </c>
      <c r="N109">
        <v>28.98</v>
      </c>
      <c r="O109">
        <v>28.98</v>
      </c>
      <c r="P109">
        <v>0</v>
      </c>
      <c r="Q109">
        <v>-242.54999999999998</v>
      </c>
      <c r="R109">
        <v>-242.54999999999998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680.89</v>
      </c>
      <c r="AA109">
        <v>610.89</v>
      </c>
      <c r="AB109">
        <v>-70</v>
      </c>
      <c r="AC109">
        <v>83.52000000000001</v>
      </c>
      <c r="AE109">
        <v>-83.52000000000001</v>
      </c>
      <c r="AF109">
        <v>597.37</v>
      </c>
      <c r="AG109">
        <v>610.89</v>
      </c>
      <c r="AH109">
        <v>13.519999999999989</v>
      </c>
      <c r="AI109">
        <v>0</v>
      </c>
      <c r="AJ109">
        <v>0</v>
      </c>
      <c r="AK109">
        <v>0</v>
      </c>
      <c r="AL109">
        <v>597.37</v>
      </c>
      <c r="AM109">
        <v>610.89</v>
      </c>
      <c r="AN109">
        <v>13.519999999999989</v>
      </c>
      <c r="AO109">
        <v>8</v>
      </c>
    </row>
    <row r="110" spans="1:41" x14ac:dyDescent="0.35">
      <c r="A110">
        <v>2024</v>
      </c>
      <c r="B110">
        <v>5</v>
      </c>
      <c r="C110">
        <v>20</v>
      </c>
      <c r="D110" s="14">
        <v>45427</v>
      </c>
      <c r="E110" t="s">
        <v>44</v>
      </c>
      <c r="F110" t="s">
        <v>47</v>
      </c>
      <c r="G110" t="s">
        <v>49</v>
      </c>
      <c r="H110">
        <v>4742.25</v>
      </c>
      <c r="I110">
        <v>4742.25</v>
      </c>
      <c r="J110">
        <v>0</v>
      </c>
      <c r="K110">
        <v>122.53999999999998</v>
      </c>
      <c r="L110">
        <v>122.53999999999998</v>
      </c>
      <c r="M110">
        <v>0</v>
      </c>
      <c r="N110">
        <v>124.91000000000001</v>
      </c>
      <c r="O110">
        <v>124.91000000000001</v>
      </c>
      <c r="P110">
        <v>0</v>
      </c>
      <c r="Q110">
        <v>-1894.75</v>
      </c>
      <c r="R110">
        <v>-1884.75</v>
      </c>
      <c r="S110">
        <v>10</v>
      </c>
      <c r="T110">
        <v>-15</v>
      </c>
      <c r="U110">
        <v>-15</v>
      </c>
      <c r="V110">
        <v>0</v>
      </c>
      <c r="W110">
        <v>-5</v>
      </c>
      <c r="X110">
        <v>-5</v>
      </c>
      <c r="Y110">
        <v>0</v>
      </c>
      <c r="Z110">
        <v>3074.9499999999989</v>
      </c>
      <c r="AA110">
        <v>3084.9499999999989</v>
      </c>
      <c r="AB110">
        <v>10</v>
      </c>
      <c r="AC110">
        <v>613.54000000000008</v>
      </c>
      <c r="AD110">
        <v>613.54000000000008</v>
      </c>
      <c r="AE110">
        <v>0</v>
      </c>
      <c r="AF110">
        <v>2461.41</v>
      </c>
      <c r="AG110">
        <v>2471.41</v>
      </c>
      <c r="AH110">
        <v>10</v>
      </c>
      <c r="AI110">
        <v>-46.79</v>
      </c>
      <c r="AJ110">
        <v>0</v>
      </c>
      <c r="AK110">
        <v>46.79</v>
      </c>
      <c r="AL110">
        <v>2508.1999999999994</v>
      </c>
      <c r="AM110">
        <v>2471.41</v>
      </c>
      <c r="AN110">
        <v>-36.79</v>
      </c>
      <c r="AO110">
        <v>57</v>
      </c>
    </row>
    <row r="111" spans="1:41" x14ac:dyDescent="0.35">
      <c r="A111">
        <v>2024</v>
      </c>
      <c r="B111">
        <v>5</v>
      </c>
      <c r="C111">
        <v>20</v>
      </c>
      <c r="D111" s="14">
        <v>45428</v>
      </c>
      <c r="E111" t="s">
        <v>44</v>
      </c>
      <c r="F111" t="s">
        <v>47</v>
      </c>
      <c r="G111" t="s">
        <v>49</v>
      </c>
      <c r="H111">
        <v>10126.1</v>
      </c>
      <c r="I111">
        <v>10126.1</v>
      </c>
      <c r="J111">
        <v>0</v>
      </c>
      <c r="K111">
        <v>158.03000000000003</v>
      </c>
      <c r="L111">
        <v>158.03000000000003</v>
      </c>
      <c r="M111">
        <v>0</v>
      </c>
      <c r="N111">
        <v>204.86000000000004</v>
      </c>
      <c r="O111">
        <v>204.86000000000004</v>
      </c>
      <c r="P111">
        <v>0</v>
      </c>
      <c r="Q111">
        <v>-3795.7499999999995</v>
      </c>
      <c r="R111">
        <v>-3800.7499999999995</v>
      </c>
      <c r="S111">
        <v>-5</v>
      </c>
      <c r="T111">
        <v>-12.2</v>
      </c>
      <c r="U111">
        <v>-12.2</v>
      </c>
      <c r="V111">
        <v>0</v>
      </c>
      <c r="W111">
        <v>-5</v>
      </c>
      <c r="X111">
        <v>-5</v>
      </c>
      <c r="Y111">
        <v>0</v>
      </c>
      <c r="Z111">
        <v>6676.04</v>
      </c>
      <c r="AA111">
        <v>6671.04</v>
      </c>
      <c r="AB111">
        <v>-5</v>
      </c>
      <c r="AC111">
        <v>846.9499999999997</v>
      </c>
      <c r="AD111">
        <v>207.24000000000009</v>
      </c>
      <c r="AE111">
        <v>-639.70999999999992</v>
      </c>
      <c r="AF111">
        <v>5829.09</v>
      </c>
      <c r="AG111">
        <v>6463.7999999999993</v>
      </c>
      <c r="AH111">
        <v>634.71</v>
      </c>
      <c r="AI111">
        <v>893.7399999999999</v>
      </c>
      <c r="AJ111">
        <v>0</v>
      </c>
      <c r="AK111">
        <v>-893.7399999999999</v>
      </c>
      <c r="AL111">
        <v>4935.3499999999995</v>
      </c>
      <c r="AM111">
        <v>6463.7999999999993</v>
      </c>
      <c r="AN111">
        <v>1528.4500000000003</v>
      </c>
      <c r="AO111">
        <v>121</v>
      </c>
    </row>
    <row r="112" spans="1:41" x14ac:dyDescent="0.35">
      <c r="A112">
        <v>2024</v>
      </c>
      <c r="B112">
        <v>5</v>
      </c>
      <c r="C112">
        <v>20</v>
      </c>
      <c r="D112" s="14">
        <v>45429</v>
      </c>
      <c r="E112" t="s">
        <v>44</v>
      </c>
      <c r="F112" t="s">
        <v>47</v>
      </c>
      <c r="G112" t="s">
        <v>49</v>
      </c>
      <c r="H112">
        <v>14231.699999999997</v>
      </c>
      <c r="I112">
        <v>14231.699999999997</v>
      </c>
      <c r="J112">
        <v>0</v>
      </c>
      <c r="K112">
        <v>239.94000000000003</v>
      </c>
      <c r="L112">
        <v>239.94000000000003</v>
      </c>
      <c r="M112">
        <v>0</v>
      </c>
      <c r="N112">
        <v>170.89000000000004</v>
      </c>
      <c r="O112">
        <v>170.89000000000004</v>
      </c>
      <c r="P112">
        <v>0</v>
      </c>
      <c r="Q112">
        <v>-5387.5500000000011</v>
      </c>
      <c r="R112">
        <v>-5387.5500000000011</v>
      </c>
      <c r="S112">
        <v>0</v>
      </c>
      <c r="T112">
        <v>-15.5</v>
      </c>
      <c r="U112">
        <v>-15.5</v>
      </c>
      <c r="V112">
        <v>0</v>
      </c>
      <c r="W112">
        <v>-10</v>
      </c>
      <c r="X112">
        <v>-10</v>
      </c>
      <c r="Y112">
        <v>0</v>
      </c>
      <c r="Z112">
        <v>9229.4799999999959</v>
      </c>
      <c r="AA112">
        <v>9229.4799999999959</v>
      </c>
      <c r="AB112">
        <v>0</v>
      </c>
      <c r="AC112">
        <v>414.46999999999991</v>
      </c>
      <c r="AD112">
        <v>207.23</v>
      </c>
      <c r="AE112">
        <v>-207.23999999999992</v>
      </c>
      <c r="AF112">
        <v>8815.0099999999966</v>
      </c>
      <c r="AG112">
        <v>9022.2499999999964</v>
      </c>
      <c r="AH112">
        <v>207.24000000000007</v>
      </c>
      <c r="AI112">
        <v>1610.0999999999981</v>
      </c>
      <c r="AJ112">
        <v>0</v>
      </c>
      <c r="AK112">
        <v>-1610.0999999999981</v>
      </c>
      <c r="AL112">
        <v>7204.9099999999971</v>
      </c>
      <c r="AM112">
        <v>9022.2499999999964</v>
      </c>
      <c r="AN112">
        <v>1817.3399999999986</v>
      </c>
      <c r="AO112">
        <v>176</v>
      </c>
    </row>
    <row r="113" spans="1:41" x14ac:dyDescent="0.35">
      <c r="A113">
        <v>2024</v>
      </c>
      <c r="B113">
        <v>5</v>
      </c>
      <c r="C113">
        <v>20</v>
      </c>
      <c r="D113" s="14">
        <v>45430</v>
      </c>
      <c r="E113" t="s">
        <v>44</v>
      </c>
      <c r="F113" t="s">
        <v>47</v>
      </c>
      <c r="G113" t="s">
        <v>49</v>
      </c>
      <c r="H113">
        <v>9253</v>
      </c>
      <c r="I113">
        <v>9253</v>
      </c>
      <c r="J113">
        <v>0</v>
      </c>
      <c r="K113">
        <v>113.67999999999998</v>
      </c>
      <c r="L113">
        <v>113.67999999999998</v>
      </c>
      <c r="M113">
        <v>0</v>
      </c>
      <c r="N113">
        <v>104.94</v>
      </c>
      <c r="O113">
        <v>104.94</v>
      </c>
      <c r="P113">
        <v>0</v>
      </c>
      <c r="Q113">
        <v>-3410.1999999999985</v>
      </c>
      <c r="R113">
        <v>-3399.1999999999985</v>
      </c>
      <c r="S113">
        <v>11</v>
      </c>
      <c r="T113">
        <v>-11</v>
      </c>
      <c r="U113">
        <v>-11</v>
      </c>
      <c r="V113">
        <v>0</v>
      </c>
      <c r="W113">
        <v>-5</v>
      </c>
      <c r="X113">
        <v>-5</v>
      </c>
      <c r="Y113">
        <v>0</v>
      </c>
      <c r="Z113">
        <v>6045.420000000001</v>
      </c>
      <c r="AA113">
        <v>6056.420000000001</v>
      </c>
      <c r="AB113">
        <v>11</v>
      </c>
      <c r="AC113">
        <v>434.96</v>
      </c>
      <c r="AD113">
        <v>234.05999999999997</v>
      </c>
      <c r="AE113">
        <v>-200.90000000000006</v>
      </c>
      <c r="AF113">
        <v>5610.4600000000019</v>
      </c>
      <c r="AG113">
        <v>5822.3600000000015</v>
      </c>
      <c r="AH113">
        <v>211.89999999999998</v>
      </c>
      <c r="AI113">
        <v>932.08999999999958</v>
      </c>
      <c r="AJ113">
        <v>3.21</v>
      </c>
      <c r="AK113">
        <v>-928.87999999999954</v>
      </c>
      <c r="AL113">
        <v>4678.3700000000017</v>
      </c>
      <c r="AM113">
        <v>5819.1500000000024</v>
      </c>
      <c r="AN113">
        <v>1140.7799999999993</v>
      </c>
      <c r="AO113">
        <v>115</v>
      </c>
    </row>
    <row r="114" spans="1:41" x14ac:dyDescent="0.35">
      <c r="A114">
        <v>2024</v>
      </c>
      <c r="B114">
        <v>5</v>
      </c>
      <c r="C114">
        <v>20</v>
      </c>
      <c r="D114" s="14">
        <v>45424</v>
      </c>
      <c r="E114" t="s">
        <v>44</v>
      </c>
      <c r="F114" t="s">
        <v>47</v>
      </c>
      <c r="G114" t="s">
        <v>50</v>
      </c>
      <c r="H114">
        <v>29192.05</v>
      </c>
      <c r="I114">
        <v>29192.05</v>
      </c>
      <c r="J114">
        <v>0</v>
      </c>
      <c r="K114">
        <v>407.67999999999955</v>
      </c>
      <c r="L114">
        <v>407.67999999999955</v>
      </c>
      <c r="M114">
        <v>0</v>
      </c>
      <c r="N114">
        <v>1187.2300000000005</v>
      </c>
      <c r="O114">
        <v>1187.2300000000005</v>
      </c>
      <c r="P114">
        <v>0</v>
      </c>
      <c r="Q114">
        <v>-9585.93</v>
      </c>
      <c r="R114">
        <v>-9481.93</v>
      </c>
      <c r="S114">
        <v>104</v>
      </c>
      <c r="T114">
        <v>-35.950000000000003</v>
      </c>
      <c r="U114">
        <v>-35.950000000000003</v>
      </c>
      <c r="V114">
        <v>0</v>
      </c>
      <c r="W114">
        <v>-20</v>
      </c>
      <c r="X114">
        <v>-20</v>
      </c>
      <c r="Y114">
        <v>0</v>
      </c>
      <c r="Z114">
        <v>21145.080000000013</v>
      </c>
      <c r="AA114">
        <v>21249.080000000013</v>
      </c>
      <c r="AB114">
        <v>104</v>
      </c>
      <c r="AC114">
        <v>5217.2900000000091</v>
      </c>
      <c r="AD114">
        <v>3215.0500000000052</v>
      </c>
      <c r="AE114">
        <v>-2002.2400000000005</v>
      </c>
      <c r="AF114">
        <v>15927.789999999997</v>
      </c>
      <c r="AG114">
        <v>18034.030000000002</v>
      </c>
      <c r="AH114">
        <v>2106.2400000000002</v>
      </c>
      <c r="AI114">
        <v>-1781.4500000000012</v>
      </c>
      <c r="AJ114">
        <v>0</v>
      </c>
      <c r="AK114">
        <v>1781.4500000000012</v>
      </c>
      <c r="AL114">
        <v>17709.239999999994</v>
      </c>
      <c r="AM114">
        <v>18034.030000000002</v>
      </c>
      <c r="AN114">
        <v>324.78999999999996</v>
      </c>
      <c r="AO114">
        <v>334</v>
      </c>
    </row>
    <row r="115" spans="1:41" x14ac:dyDescent="0.35">
      <c r="A115">
        <v>2024</v>
      </c>
      <c r="B115">
        <v>5</v>
      </c>
      <c r="C115">
        <v>20</v>
      </c>
      <c r="D115" s="14">
        <v>45425</v>
      </c>
      <c r="E115" t="s">
        <v>44</v>
      </c>
      <c r="F115" t="s">
        <v>47</v>
      </c>
      <c r="G115" t="s">
        <v>50</v>
      </c>
      <c r="H115">
        <v>28387</v>
      </c>
      <c r="I115">
        <v>28387</v>
      </c>
      <c r="J115">
        <v>0</v>
      </c>
      <c r="K115">
        <v>413.91999999999916</v>
      </c>
      <c r="L115">
        <v>413.91999999999916</v>
      </c>
      <c r="M115">
        <v>0</v>
      </c>
      <c r="N115">
        <v>1155.2900000000004</v>
      </c>
      <c r="O115">
        <v>1155.2900000000004</v>
      </c>
      <c r="P115">
        <v>0</v>
      </c>
      <c r="Q115">
        <v>-8827.75</v>
      </c>
      <c r="R115">
        <v>-8439.75</v>
      </c>
      <c r="S115">
        <v>388</v>
      </c>
      <c r="T115">
        <v>-35.46</v>
      </c>
      <c r="U115">
        <v>-35.46</v>
      </c>
      <c r="V115">
        <v>0</v>
      </c>
      <c r="W115">
        <v>-44.980000000000004</v>
      </c>
      <c r="X115">
        <v>-44.980000000000004</v>
      </c>
      <c r="Y115">
        <v>0</v>
      </c>
      <c r="Z115">
        <v>21048.020000000008</v>
      </c>
      <c r="AA115">
        <v>21436.020000000008</v>
      </c>
      <c r="AB115">
        <v>388</v>
      </c>
      <c r="AC115">
        <v>5234.3100000000122</v>
      </c>
      <c r="AD115">
        <v>2147.3900000000026</v>
      </c>
      <c r="AE115">
        <v>-3086.9200000000046</v>
      </c>
      <c r="AF115">
        <v>15813.710000000008</v>
      </c>
      <c r="AG115">
        <v>19288.630000000019</v>
      </c>
      <c r="AH115">
        <v>3474.9200000000042</v>
      </c>
      <c r="AI115">
        <v>-1152.7099999999994</v>
      </c>
      <c r="AJ115">
        <v>0</v>
      </c>
      <c r="AK115">
        <v>1152.7099999999994</v>
      </c>
      <c r="AL115">
        <v>16966.420000000009</v>
      </c>
      <c r="AM115">
        <v>19288.630000000019</v>
      </c>
      <c r="AN115">
        <v>2322.2100000000005</v>
      </c>
      <c r="AO115">
        <v>324</v>
      </c>
    </row>
    <row r="116" spans="1:41" x14ac:dyDescent="0.35">
      <c r="A116">
        <v>2024</v>
      </c>
      <c r="B116">
        <v>5</v>
      </c>
      <c r="C116">
        <v>20</v>
      </c>
      <c r="D116" s="14">
        <v>45426</v>
      </c>
      <c r="E116" t="s">
        <v>44</v>
      </c>
      <c r="F116" t="s">
        <v>47</v>
      </c>
      <c r="G116" t="s">
        <v>50</v>
      </c>
      <c r="H116">
        <v>13309</v>
      </c>
      <c r="I116">
        <v>13309</v>
      </c>
      <c r="J116">
        <v>0</v>
      </c>
      <c r="K116">
        <v>169.00000000000006</v>
      </c>
      <c r="L116">
        <v>169.00000000000006</v>
      </c>
      <c r="M116">
        <v>0</v>
      </c>
      <c r="N116">
        <v>583.6500000000002</v>
      </c>
      <c r="O116">
        <v>583.6500000000002</v>
      </c>
      <c r="P116">
        <v>0</v>
      </c>
      <c r="Q116">
        <v>-3911.5</v>
      </c>
      <c r="R116">
        <v>-3799.5</v>
      </c>
      <c r="S116">
        <v>112</v>
      </c>
      <c r="T116">
        <v>-10.46</v>
      </c>
      <c r="U116">
        <v>-10.46</v>
      </c>
      <c r="V116">
        <v>0</v>
      </c>
      <c r="W116">
        <v>-23.990000000000002</v>
      </c>
      <c r="X116">
        <v>-23.990000000000002</v>
      </c>
      <c r="Y116">
        <v>0</v>
      </c>
      <c r="Z116">
        <v>10115.699999999993</v>
      </c>
      <c r="AA116">
        <v>10227.699999999993</v>
      </c>
      <c r="AB116">
        <v>112</v>
      </c>
      <c r="AC116">
        <v>2466.3800000000042</v>
      </c>
      <c r="AD116">
        <v>328.91000000000008</v>
      </c>
      <c r="AE116">
        <v>-2137.4700000000034</v>
      </c>
      <c r="AF116">
        <v>7649.3199999999933</v>
      </c>
      <c r="AG116">
        <v>9898.7899999999936</v>
      </c>
      <c r="AH116">
        <v>2249.470000000003</v>
      </c>
      <c r="AI116">
        <v>-196.56000000000006</v>
      </c>
      <c r="AJ116">
        <v>0</v>
      </c>
      <c r="AK116">
        <v>196.56000000000006</v>
      </c>
      <c r="AL116">
        <v>7845.8799999999947</v>
      </c>
      <c r="AM116">
        <v>9898.7899999999936</v>
      </c>
      <c r="AN116">
        <v>2052.910000000003</v>
      </c>
      <c r="AO116">
        <v>150</v>
      </c>
    </row>
    <row r="117" spans="1:41" x14ac:dyDescent="0.35">
      <c r="A117">
        <v>2024</v>
      </c>
      <c r="B117">
        <v>5</v>
      </c>
      <c r="C117">
        <v>20</v>
      </c>
      <c r="D117" s="14">
        <v>45427</v>
      </c>
      <c r="E117" t="s">
        <v>44</v>
      </c>
      <c r="F117" t="s">
        <v>47</v>
      </c>
      <c r="G117" t="s">
        <v>50</v>
      </c>
      <c r="H117">
        <v>28597.149999999998</v>
      </c>
      <c r="I117">
        <v>28597.149999999998</v>
      </c>
      <c r="J117">
        <v>0</v>
      </c>
      <c r="K117">
        <v>367.52999999999963</v>
      </c>
      <c r="L117">
        <v>367.52999999999963</v>
      </c>
      <c r="M117">
        <v>0</v>
      </c>
      <c r="N117">
        <v>992.41000000000042</v>
      </c>
      <c r="O117">
        <v>992.41000000000042</v>
      </c>
      <c r="P117">
        <v>0</v>
      </c>
      <c r="Q117">
        <v>-8123.2000000000007</v>
      </c>
      <c r="R117">
        <v>-8041.2000000000007</v>
      </c>
      <c r="S117">
        <v>82</v>
      </c>
      <c r="T117">
        <v>-5.95</v>
      </c>
      <c r="U117">
        <v>-5.95</v>
      </c>
      <c r="V117">
        <v>0</v>
      </c>
      <c r="W117">
        <v>-10</v>
      </c>
      <c r="X117">
        <v>-10</v>
      </c>
      <c r="Y117">
        <v>0</v>
      </c>
      <c r="Z117">
        <v>21817.94</v>
      </c>
      <c r="AA117">
        <v>21899.94</v>
      </c>
      <c r="AB117">
        <v>82</v>
      </c>
      <c r="AC117">
        <v>4285.5300000000107</v>
      </c>
      <c r="AD117">
        <v>3966.5400000000091</v>
      </c>
      <c r="AE117">
        <v>-318.98999999999995</v>
      </c>
      <c r="AF117">
        <v>17532.410000000018</v>
      </c>
      <c r="AG117">
        <v>17933.400000000016</v>
      </c>
      <c r="AH117">
        <v>400.99000000000012</v>
      </c>
      <c r="AI117">
        <v>-2217.4999999999991</v>
      </c>
      <c r="AJ117">
        <v>0</v>
      </c>
      <c r="AK117">
        <v>2217.4999999999991</v>
      </c>
      <c r="AL117">
        <v>19749.910000000014</v>
      </c>
      <c r="AM117">
        <v>17933.400000000016</v>
      </c>
      <c r="AN117">
        <v>-1816.5100000000002</v>
      </c>
      <c r="AO117">
        <v>330</v>
      </c>
    </row>
    <row r="118" spans="1:41" x14ac:dyDescent="0.35">
      <c r="A118">
        <v>2024</v>
      </c>
      <c r="B118">
        <v>5</v>
      </c>
      <c r="C118">
        <v>20</v>
      </c>
      <c r="D118" s="14">
        <v>45428</v>
      </c>
      <c r="E118" t="s">
        <v>44</v>
      </c>
      <c r="F118" t="s">
        <v>47</v>
      </c>
      <c r="G118" t="s">
        <v>50</v>
      </c>
      <c r="H118">
        <v>34467.050000000003</v>
      </c>
      <c r="I118">
        <v>34467.050000000003</v>
      </c>
      <c r="J118">
        <v>0</v>
      </c>
      <c r="K118">
        <v>487.5199999999993</v>
      </c>
      <c r="L118">
        <v>487.5199999999993</v>
      </c>
      <c r="M118">
        <v>0</v>
      </c>
      <c r="N118">
        <v>1414.1300000000006</v>
      </c>
      <c r="O118">
        <v>1414.1300000000006</v>
      </c>
      <c r="P118">
        <v>0</v>
      </c>
      <c r="Q118">
        <v>-10446.32</v>
      </c>
      <c r="R118">
        <v>-9962.32</v>
      </c>
      <c r="S118">
        <v>484</v>
      </c>
      <c r="T118">
        <v>-10.95</v>
      </c>
      <c r="U118">
        <v>-10.95</v>
      </c>
      <c r="V118">
        <v>0</v>
      </c>
      <c r="W118">
        <v>-35</v>
      </c>
      <c r="X118">
        <v>-35</v>
      </c>
      <c r="Y118">
        <v>0</v>
      </c>
      <c r="Z118">
        <v>25876.430000000018</v>
      </c>
      <c r="AA118">
        <v>26360.430000000022</v>
      </c>
      <c r="AB118">
        <v>484</v>
      </c>
      <c r="AC118">
        <v>5610.7900000000136</v>
      </c>
      <c r="AD118">
        <v>1676.640000000001</v>
      </c>
      <c r="AE118">
        <v>-3934.1500000000092</v>
      </c>
      <c r="AF118">
        <v>20265.640000000061</v>
      </c>
      <c r="AG118">
        <v>24683.790000000019</v>
      </c>
      <c r="AH118">
        <v>4418.1500000000096</v>
      </c>
      <c r="AI118">
        <v>-967.59999999999945</v>
      </c>
      <c r="AJ118">
        <v>0</v>
      </c>
      <c r="AK118">
        <v>967.59999999999945</v>
      </c>
      <c r="AL118">
        <v>21233.240000000049</v>
      </c>
      <c r="AM118">
        <v>24683.790000000019</v>
      </c>
      <c r="AN118">
        <v>3450.5500000000102</v>
      </c>
      <c r="AO118">
        <v>393</v>
      </c>
    </row>
    <row r="119" spans="1:41" x14ac:dyDescent="0.35">
      <c r="A119">
        <v>2024</v>
      </c>
      <c r="B119">
        <v>5</v>
      </c>
      <c r="C119">
        <v>20</v>
      </c>
      <c r="D119" s="14">
        <v>45429</v>
      </c>
      <c r="E119" t="s">
        <v>44</v>
      </c>
      <c r="F119" t="s">
        <v>47</v>
      </c>
      <c r="G119" t="s">
        <v>50</v>
      </c>
      <c r="H119">
        <v>22122.299999999996</v>
      </c>
      <c r="I119">
        <v>22122.299999999996</v>
      </c>
      <c r="J119">
        <v>0</v>
      </c>
      <c r="K119">
        <v>338.80999999999949</v>
      </c>
      <c r="L119">
        <v>338.80999999999949</v>
      </c>
      <c r="M119">
        <v>0</v>
      </c>
      <c r="N119">
        <v>1088.3100000000004</v>
      </c>
      <c r="O119">
        <v>1088.3100000000004</v>
      </c>
      <c r="P119">
        <v>0</v>
      </c>
      <c r="Q119">
        <v>-7056.4100000000008</v>
      </c>
      <c r="R119">
        <v>-6931.4100000000008</v>
      </c>
      <c r="S119">
        <v>125</v>
      </c>
      <c r="T119">
        <v>-15</v>
      </c>
      <c r="U119">
        <v>-15</v>
      </c>
      <c r="V119">
        <v>0</v>
      </c>
      <c r="W119">
        <v>-30</v>
      </c>
      <c r="X119">
        <v>-30</v>
      </c>
      <c r="Y119">
        <v>0</v>
      </c>
      <c r="Z119">
        <v>16448.00999999998</v>
      </c>
      <c r="AA119">
        <v>16573.00999999998</v>
      </c>
      <c r="AB119">
        <v>125</v>
      </c>
      <c r="AC119">
        <v>2916.7500000000045</v>
      </c>
      <c r="AD119">
        <v>1292.7399999999998</v>
      </c>
      <c r="AE119">
        <v>-1624.0100000000007</v>
      </c>
      <c r="AF119">
        <v>13531.259999999993</v>
      </c>
      <c r="AG119">
        <v>15280.269999999984</v>
      </c>
      <c r="AH119">
        <v>1749.0100000000007</v>
      </c>
      <c r="AI119">
        <v>-750.36000000000081</v>
      </c>
      <c r="AJ119">
        <v>0</v>
      </c>
      <c r="AK119">
        <v>750.36000000000081</v>
      </c>
      <c r="AL119">
        <v>14281.620000000015</v>
      </c>
      <c r="AM119">
        <v>15280.269999999984</v>
      </c>
      <c r="AN119">
        <v>998.64999999999986</v>
      </c>
      <c r="AO119">
        <v>257</v>
      </c>
    </row>
    <row r="120" spans="1:41" x14ac:dyDescent="0.35">
      <c r="A120">
        <v>2024</v>
      </c>
      <c r="B120">
        <v>5</v>
      </c>
      <c r="C120">
        <v>20</v>
      </c>
      <c r="D120" s="14">
        <v>45430</v>
      </c>
      <c r="E120" t="s">
        <v>44</v>
      </c>
      <c r="F120" t="s">
        <v>47</v>
      </c>
      <c r="G120" t="s">
        <v>50</v>
      </c>
      <c r="H120">
        <v>20253.25</v>
      </c>
      <c r="I120">
        <v>20253.25</v>
      </c>
      <c r="J120">
        <v>0</v>
      </c>
      <c r="K120">
        <v>484.62999999999971</v>
      </c>
      <c r="L120">
        <v>484.62999999999971</v>
      </c>
      <c r="M120">
        <v>0</v>
      </c>
      <c r="N120">
        <v>1065.3300000000004</v>
      </c>
      <c r="O120">
        <v>1065.3300000000004</v>
      </c>
      <c r="P120">
        <v>0</v>
      </c>
      <c r="Q120">
        <v>-6509</v>
      </c>
      <c r="R120">
        <v>-6345</v>
      </c>
      <c r="S120">
        <v>164</v>
      </c>
      <c r="T120">
        <v>-20</v>
      </c>
      <c r="U120">
        <v>-20</v>
      </c>
      <c r="V120">
        <v>0</v>
      </c>
      <c r="W120">
        <v>-40</v>
      </c>
      <c r="X120">
        <v>-40</v>
      </c>
      <c r="Y120">
        <v>0</v>
      </c>
      <c r="Z120">
        <v>15234.209999999985</v>
      </c>
      <c r="AA120">
        <v>15398.209999999986</v>
      </c>
      <c r="AB120">
        <v>164</v>
      </c>
      <c r="AC120">
        <v>3044.2600000000034</v>
      </c>
      <c r="AD120">
        <v>1751.5200000000011</v>
      </c>
      <c r="AE120">
        <v>-1292.7400000000002</v>
      </c>
      <c r="AF120">
        <v>12189.949999999992</v>
      </c>
      <c r="AG120">
        <v>13646.689999999993</v>
      </c>
      <c r="AH120">
        <v>1456.7400000000007</v>
      </c>
      <c r="AI120">
        <v>-1054.54</v>
      </c>
      <c r="AJ120">
        <v>0</v>
      </c>
      <c r="AK120">
        <v>1054.54</v>
      </c>
      <c r="AL120">
        <v>13244.489999999998</v>
      </c>
      <c r="AM120">
        <v>13646.689999999993</v>
      </c>
      <c r="AN120">
        <v>402.19999999999942</v>
      </c>
      <c r="AO120">
        <v>235</v>
      </c>
    </row>
    <row r="121" spans="1:41" x14ac:dyDescent="0.35">
      <c r="A121">
        <v>2024</v>
      </c>
      <c r="B121">
        <v>5</v>
      </c>
      <c r="C121">
        <v>20</v>
      </c>
      <c r="D121" s="14">
        <v>45424</v>
      </c>
      <c r="E121" t="s">
        <v>44</v>
      </c>
      <c r="F121" t="s">
        <v>47</v>
      </c>
      <c r="G121" t="s">
        <v>51</v>
      </c>
      <c r="H121">
        <v>6344.2000000000007</v>
      </c>
      <c r="I121">
        <v>6344.2000000000007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-1942.5500000000011</v>
      </c>
      <c r="R121">
        <v>-1942.5500000000011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4401.6500000000005</v>
      </c>
      <c r="AA121">
        <v>4401.6500000000005</v>
      </c>
      <c r="AB121">
        <v>0</v>
      </c>
      <c r="AC121">
        <v>192.21000000000006</v>
      </c>
      <c r="AD121">
        <v>125.57</v>
      </c>
      <c r="AE121">
        <v>-66.64</v>
      </c>
      <c r="AF121">
        <v>4209.4400000000005</v>
      </c>
      <c r="AG121">
        <v>4276.0800000000008</v>
      </c>
      <c r="AH121">
        <v>66.639999999999986</v>
      </c>
      <c r="AI121">
        <v>822.71999999999957</v>
      </c>
      <c r="AJ121">
        <v>0</v>
      </c>
      <c r="AK121">
        <v>-822.71999999999957</v>
      </c>
      <c r="AL121">
        <v>3386.72</v>
      </c>
      <c r="AM121">
        <v>4276.0800000000008</v>
      </c>
      <c r="AN121">
        <v>889.35999999999956</v>
      </c>
      <c r="AO121">
        <v>96</v>
      </c>
    </row>
    <row r="122" spans="1:41" x14ac:dyDescent="0.35">
      <c r="A122">
        <v>2024</v>
      </c>
      <c r="B122">
        <v>5</v>
      </c>
      <c r="C122">
        <v>20</v>
      </c>
      <c r="D122" s="14">
        <v>45425</v>
      </c>
      <c r="E122" t="s">
        <v>44</v>
      </c>
      <c r="F122" t="s">
        <v>47</v>
      </c>
      <c r="G122" t="s">
        <v>51</v>
      </c>
      <c r="H122">
        <v>3126</v>
      </c>
      <c r="I122">
        <v>3126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-652.94999999999993</v>
      </c>
      <c r="R122">
        <v>-652.94999999999993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2473.0499999999997</v>
      </c>
      <c r="AA122">
        <v>2473.0499999999997</v>
      </c>
      <c r="AB122">
        <v>0</v>
      </c>
      <c r="AC122">
        <v>135.48999999999998</v>
      </c>
      <c r="AD122">
        <v>9.92</v>
      </c>
      <c r="AE122">
        <v>-125.57</v>
      </c>
      <c r="AF122">
        <v>2337.56</v>
      </c>
      <c r="AG122">
        <v>2463.1299999999997</v>
      </c>
      <c r="AH122">
        <v>125.57</v>
      </c>
      <c r="AI122">
        <v>276.37</v>
      </c>
      <c r="AJ122">
        <v>0</v>
      </c>
      <c r="AK122">
        <v>-276.37</v>
      </c>
      <c r="AL122">
        <v>2061.1900000000005</v>
      </c>
      <c r="AM122">
        <v>2463.1299999999997</v>
      </c>
      <c r="AN122">
        <v>401.94</v>
      </c>
      <c r="AO122">
        <v>53</v>
      </c>
    </row>
    <row r="123" spans="1:41" x14ac:dyDescent="0.35">
      <c r="A123">
        <v>2024</v>
      </c>
      <c r="B123">
        <v>5</v>
      </c>
      <c r="C123">
        <v>20</v>
      </c>
      <c r="D123" s="14">
        <v>45426</v>
      </c>
      <c r="E123" t="s">
        <v>44</v>
      </c>
      <c r="F123" t="s">
        <v>47</v>
      </c>
      <c r="G123" t="s">
        <v>51</v>
      </c>
      <c r="H123">
        <v>255</v>
      </c>
      <c r="I123">
        <v>255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-36</v>
      </c>
      <c r="R123">
        <v>-36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219</v>
      </c>
      <c r="AA123">
        <v>219</v>
      </c>
      <c r="AB123">
        <v>0</v>
      </c>
      <c r="AC123">
        <v>9.92</v>
      </c>
      <c r="AE123">
        <v>-9.92</v>
      </c>
      <c r="AF123">
        <v>209.07999999999998</v>
      </c>
      <c r="AG123">
        <v>219</v>
      </c>
      <c r="AH123">
        <v>9.9200000000000017</v>
      </c>
      <c r="AI123">
        <v>0</v>
      </c>
      <c r="AJ123">
        <v>0</v>
      </c>
      <c r="AK123">
        <v>0</v>
      </c>
      <c r="AL123">
        <v>209.07999999999998</v>
      </c>
      <c r="AM123">
        <v>219</v>
      </c>
      <c r="AN123">
        <v>9.9200000000000017</v>
      </c>
      <c r="AO123">
        <v>5</v>
      </c>
    </row>
    <row r="124" spans="1:41" x14ac:dyDescent="0.35">
      <c r="A124">
        <v>2024</v>
      </c>
      <c r="B124">
        <v>5</v>
      </c>
      <c r="C124">
        <v>20</v>
      </c>
      <c r="D124" s="14">
        <v>45427</v>
      </c>
      <c r="E124" t="s">
        <v>44</v>
      </c>
      <c r="F124" t="s">
        <v>47</v>
      </c>
      <c r="G124" t="s">
        <v>51</v>
      </c>
      <c r="H124">
        <v>1556.8</v>
      </c>
      <c r="I124">
        <v>1556.8</v>
      </c>
      <c r="J124">
        <v>0</v>
      </c>
      <c r="K124">
        <v>10.950000000000001</v>
      </c>
      <c r="L124">
        <v>10.950000000000001</v>
      </c>
      <c r="M124">
        <v>0</v>
      </c>
      <c r="N124">
        <v>0</v>
      </c>
      <c r="O124">
        <v>0</v>
      </c>
      <c r="P124">
        <v>0</v>
      </c>
      <c r="Q124">
        <v>-473.6</v>
      </c>
      <c r="R124">
        <v>-473.6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1094.1500000000001</v>
      </c>
      <c r="AA124">
        <v>1094.1500000000001</v>
      </c>
      <c r="AB124">
        <v>0</v>
      </c>
      <c r="AC124">
        <v>81.17</v>
      </c>
      <c r="AD124">
        <v>81.17</v>
      </c>
      <c r="AE124">
        <v>0</v>
      </c>
      <c r="AF124">
        <v>1012.9799999999999</v>
      </c>
      <c r="AG124">
        <v>1012.9799999999999</v>
      </c>
      <c r="AH124">
        <v>0</v>
      </c>
      <c r="AI124">
        <v>201.47000000000006</v>
      </c>
      <c r="AJ124">
        <v>0</v>
      </c>
      <c r="AK124">
        <v>-201.47000000000006</v>
      </c>
      <c r="AL124">
        <v>811.51000000000022</v>
      </c>
      <c r="AM124">
        <v>1012.9799999999999</v>
      </c>
      <c r="AN124">
        <v>201.47000000000006</v>
      </c>
      <c r="AO124">
        <v>23</v>
      </c>
    </row>
    <row r="125" spans="1:41" x14ac:dyDescent="0.35">
      <c r="A125">
        <v>2024</v>
      </c>
      <c r="B125">
        <v>5</v>
      </c>
      <c r="C125">
        <v>20</v>
      </c>
      <c r="D125" s="14">
        <v>45428</v>
      </c>
      <c r="E125" t="s">
        <v>44</v>
      </c>
      <c r="F125" t="s">
        <v>47</v>
      </c>
      <c r="G125" t="s">
        <v>51</v>
      </c>
      <c r="H125">
        <v>10750.45</v>
      </c>
      <c r="I125">
        <v>10750.45</v>
      </c>
      <c r="J125">
        <v>0</v>
      </c>
      <c r="K125">
        <v>20.950000000000003</v>
      </c>
      <c r="L125">
        <v>20.950000000000003</v>
      </c>
      <c r="M125">
        <v>0</v>
      </c>
      <c r="N125">
        <v>15.99</v>
      </c>
      <c r="O125">
        <v>15.99</v>
      </c>
      <c r="P125">
        <v>0</v>
      </c>
      <c r="Q125">
        <v>-3285.9000000000005</v>
      </c>
      <c r="R125">
        <v>-3285.9000000000005</v>
      </c>
      <c r="S125">
        <v>0</v>
      </c>
      <c r="T125">
        <v>-4</v>
      </c>
      <c r="U125">
        <v>-4</v>
      </c>
      <c r="V125">
        <v>0</v>
      </c>
      <c r="W125">
        <v>0</v>
      </c>
      <c r="X125">
        <v>0</v>
      </c>
      <c r="Y125">
        <v>0</v>
      </c>
      <c r="Z125">
        <v>7497.4900000000016</v>
      </c>
      <c r="AA125">
        <v>7497.4900000000016</v>
      </c>
      <c r="AB125">
        <v>0</v>
      </c>
      <c r="AC125">
        <v>134.83000000000001</v>
      </c>
      <c r="AD125">
        <v>53.66</v>
      </c>
      <c r="AE125">
        <v>-81.17</v>
      </c>
      <c r="AF125">
        <v>7362.6600000000017</v>
      </c>
      <c r="AG125">
        <v>7443.8300000000008</v>
      </c>
      <c r="AH125">
        <v>81.17</v>
      </c>
      <c r="AI125">
        <v>2272.6899999999987</v>
      </c>
      <c r="AJ125">
        <v>0</v>
      </c>
      <c r="AK125">
        <v>-2272.6899999999987</v>
      </c>
      <c r="AL125">
        <v>5089.9700000000093</v>
      </c>
      <c r="AM125">
        <v>7443.8300000000008</v>
      </c>
      <c r="AN125">
        <v>2353.8599999999979</v>
      </c>
      <c r="AO125">
        <v>167</v>
      </c>
    </row>
    <row r="126" spans="1:41" x14ac:dyDescent="0.35">
      <c r="A126">
        <v>2024</v>
      </c>
      <c r="B126">
        <v>5</v>
      </c>
      <c r="C126">
        <v>20</v>
      </c>
      <c r="D126" s="14">
        <v>45429</v>
      </c>
      <c r="E126" t="s">
        <v>44</v>
      </c>
      <c r="F126" t="s">
        <v>47</v>
      </c>
      <c r="G126" t="s">
        <v>51</v>
      </c>
      <c r="H126">
        <v>8753.6500000000015</v>
      </c>
      <c r="I126">
        <v>8753.6500000000015</v>
      </c>
      <c r="J126">
        <v>0</v>
      </c>
      <c r="K126">
        <v>20</v>
      </c>
      <c r="L126">
        <v>20</v>
      </c>
      <c r="M126">
        <v>0</v>
      </c>
      <c r="N126">
        <v>0</v>
      </c>
      <c r="O126">
        <v>0</v>
      </c>
      <c r="P126">
        <v>0</v>
      </c>
      <c r="Q126">
        <v>-2119.8499999999995</v>
      </c>
      <c r="R126">
        <v>-2119.8499999999995</v>
      </c>
      <c r="S126">
        <v>0</v>
      </c>
      <c r="T126">
        <v>-8</v>
      </c>
      <c r="U126">
        <v>-8</v>
      </c>
      <c r="V126">
        <v>0</v>
      </c>
      <c r="W126">
        <v>0</v>
      </c>
      <c r="X126">
        <v>0</v>
      </c>
      <c r="Y126">
        <v>0</v>
      </c>
      <c r="Z126">
        <v>6645.8000000000011</v>
      </c>
      <c r="AA126">
        <v>6645.8000000000011</v>
      </c>
      <c r="AB126">
        <v>0</v>
      </c>
      <c r="AC126">
        <v>53.66</v>
      </c>
      <c r="AE126">
        <v>-53.66</v>
      </c>
      <c r="AF126">
        <v>6592.1400000000012</v>
      </c>
      <c r="AG126">
        <v>6645.8000000000011</v>
      </c>
      <c r="AH126">
        <v>53.66</v>
      </c>
      <c r="AI126">
        <v>1372.0700000000004</v>
      </c>
      <c r="AJ126">
        <v>0</v>
      </c>
      <c r="AK126">
        <v>-1372.0700000000004</v>
      </c>
      <c r="AL126">
        <v>5220.0700000000061</v>
      </c>
      <c r="AM126">
        <v>6645.8000000000011</v>
      </c>
      <c r="AN126">
        <v>1425.7300000000005</v>
      </c>
      <c r="AO126">
        <v>169</v>
      </c>
    </row>
    <row r="127" spans="1:41" x14ac:dyDescent="0.35">
      <c r="A127">
        <v>2024</v>
      </c>
      <c r="B127">
        <v>5</v>
      </c>
      <c r="C127">
        <v>20</v>
      </c>
      <c r="D127" s="14">
        <v>45430</v>
      </c>
      <c r="E127" t="s">
        <v>44</v>
      </c>
      <c r="F127" t="s">
        <v>47</v>
      </c>
      <c r="G127" t="s">
        <v>51</v>
      </c>
      <c r="H127">
        <v>7917.8500000000022</v>
      </c>
      <c r="I127">
        <v>7917.8500000000022</v>
      </c>
      <c r="J127">
        <v>0</v>
      </c>
      <c r="K127">
        <v>78.650000000000006</v>
      </c>
      <c r="L127">
        <v>78.650000000000006</v>
      </c>
      <c r="M127">
        <v>0</v>
      </c>
      <c r="N127">
        <v>0</v>
      </c>
      <c r="O127">
        <v>0</v>
      </c>
      <c r="P127">
        <v>0</v>
      </c>
      <c r="Q127">
        <v>-2308.9499999999994</v>
      </c>
      <c r="R127">
        <v>-2308.9499999999994</v>
      </c>
      <c r="S127">
        <v>0</v>
      </c>
      <c r="T127">
        <v>-12</v>
      </c>
      <c r="U127">
        <v>-12</v>
      </c>
      <c r="V127">
        <v>0</v>
      </c>
      <c r="W127">
        <v>0</v>
      </c>
      <c r="X127">
        <v>0</v>
      </c>
      <c r="Y127">
        <v>0</v>
      </c>
      <c r="Z127">
        <v>5675.55</v>
      </c>
      <c r="AA127">
        <v>5675.55</v>
      </c>
      <c r="AB127">
        <v>0</v>
      </c>
      <c r="AC127">
        <v>60.540000000000006</v>
      </c>
      <c r="AD127">
        <v>60.540000000000006</v>
      </c>
      <c r="AE127">
        <v>0</v>
      </c>
      <c r="AF127">
        <v>5615.01</v>
      </c>
      <c r="AG127">
        <v>5615.01</v>
      </c>
      <c r="AH127">
        <v>0</v>
      </c>
      <c r="AI127">
        <v>1186.9800000000005</v>
      </c>
      <c r="AJ127">
        <v>0</v>
      </c>
      <c r="AK127">
        <v>-1186.9800000000005</v>
      </c>
      <c r="AL127">
        <v>4428.0300000000061</v>
      </c>
      <c r="AM127">
        <v>5615.01</v>
      </c>
      <c r="AN127">
        <v>1186.9800000000002</v>
      </c>
      <c r="AO127">
        <v>126</v>
      </c>
    </row>
    <row r="128" spans="1:41" x14ac:dyDescent="0.35">
      <c r="A128">
        <v>2024</v>
      </c>
      <c r="B128">
        <v>5</v>
      </c>
      <c r="C128">
        <v>21</v>
      </c>
      <c r="D128" s="14">
        <v>45431</v>
      </c>
      <c r="E128" t="s">
        <v>41</v>
      </c>
      <c r="F128" t="s">
        <v>42</v>
      </c>
      <c r="G128" t="s">
        <v>43</v>
      </c>
      <c r="H128">
        <v>111174.75</v>
      </c>
      <c r="I128">
        <v>111174.75</v>
      </c>
      <c r="J128">
        <v>0</v>
      </c>
      <c r="K128">
        <v>1341.8100000000184</v>
      </c>
      <c r="L128">
        <v>1341.8100000000184</v>
      </c>
      <c r="M128">
        <v>0</v>
      </c>
      <c r="N128">
        <v>2913.909999999988</v>
      </c>
      <c r="O128">
        <v>2913.909999999988</v>
      </c>
      <c r="P128">
        <v>0</v>
      </c>
      <c r="Q128">
        <v>-10844.7</v>
      </c>
      <c r="R128">
        <v>-10411.700000000001</v>
      </c>
      <c r="S128">
        <v>433</v>
      </c>
      <c r="T128">
        <v>-7.5800000000000027</v>
      </c>
      <c r="U128">
        <v>-7.5800000000000027</v>
      </c>
      <c r="V128">
        <v>0</v>
      </c>
      <c r="W128">
        <v>-75.990000000000009</v>
      </c>
      <c r="X128">
        <v>-75.990000000000009</v>
      </c>
      <c r="Y128">
        <v>0</v>
      </c>
      <c r="Z128">
        <v>104502.20000000102</v>
      </c>
      <c r="AA128">
        <v>104935.20000000103</v>
      </c>
      <c r="AB128">
        <v>433</v>
      </c>
      <c r="AC128">
        <v>38939.719999999754</v>
      </c>
      <c r="AD128">
        <v>22677.879999999943</v>
      </c>
      <c r="AE128">
        <v>-16261.839999999969</v>
      </c>
      <c r="AF128">
        <v>65562.480000000156</v>
      </c>
      <c r="AG128">
        <v>82257.320000000327</v>
      </c>
      <c r="AH128">
        <v>16694.839999999964</v>
      </c>
      <c r="AI128">
        <v>-11867.620000000003</v>
      </c>
      <c r="AJ128">
        <v>0</v>
      </c>
      <c r="AK128">
        <v>11867.620000000003</v>
      </c>
      <c r="AL128">
        <v>77430.100000000195</v>
      </c>
      <c r="AM128">
        <v>82257.320000000327</v>
      </c>
      <c r="AN128">
        <v>4827.2200000000266</v>
      </c>
      <c r="AO128">
        <v>1925</v>
      </c>
    </row>
    <row r="129" spans="1:41" x14ac:dyDescent="0.35">
      <c r="A129">
        <v>2024</v>
      </c>
      <c r="B129">
        <v>5</v>
      </c>
      <c r="C129">
        <v>21</v>
      </c>
      <c r="D129" s="14">
        <v>45432</v>
      </c>
      <c r="E129" t="s">
        <v>41</v>
      </c>
      <c r="F129" t="s">
        <v>42</v>
      </c>
      <c r="G129" t="s">
        <v>43</v>
      </c>
      <c r="H129">
        <v>110063.5</v>
      </c>
      <c r="I129">
        <v>110063.5</v>
      </c>
      <c r="J129">
        <v>0</v>
      </c>
      <c r="K129">
        <v>1272.8500000000151</v>
      </c>
      <c r="L129">
        <v>1272.8500000000151</v>
      </c>
      <c r="M129">
        <v>0</v>
      </c>
      <c r="N129">
        <v>2879.9999999999886</v>
      </c>
      <c r="O129">
        <v>2879.9999999999886</v>
      </c>
      <c r="P129">
        <v>0</v>
      </c>
      <c r="Q129">
        <v>-10996.75</v>
      </c>
      <c r="R129">
        <v>-10188.75</v>
      </c>
      <c r="S129">
        <v>808</v>
      </c>
      <c r="T129">
        <v>-10.850000000000001</v>
      </c>
      <c r="U129">
        <v>-10.850000000000001</v>
      </c>
      <c r="V129">
        <v>0</v>
      </c>
      <c r="W129">
        <v>-77.990000000000009</v>
      </c>
      <c r="X129">
        <v>-77.990000000000009</v>
      </c>
      <c r="Y129">
        <v>0</v>
      </c>
      <c r="Z129">
        <v>103130.76000000066</v>
      </c>
      <c r="AA129">
        <v>103938.76000000069</v>
      </c>
      <c r="AB129">
        <v>808</v>
      </c>
      <c r="AC129">
        <v>39216.869999999712</v>
      </c>
      <c r="AD129">
        <v>16732.839999999964</v>
      </c>
      <c r="AE129">
        <v>-22484.029999999944</v>
      </c>
      <c r="AF129">
        <v>63913.890000000072</v>
      </c>
      <c r="AG129">
        <v>87205.920000000144</v>
      </c>
      <c r="AH129">
        <v>23292.029999999955</v>
      </c>
      <c r="AI129">
        <v>-8757.8699999999881</v>
      </c>
      <c r="AJ129">
        <v>0</v>
      </c>
      <c r="AK129">
        <v>8757.8699999999881</v>
      </c>
      <c r="AL129">
        <v>72671.760000000068</v>
      </c>
      <c r="AM129">
        <v>87205.920000000144</v>
      </c>
      <c r="AN129">
        <v>14534.159999999962</v>
      </c>
      <c r="AO129">
        <v>1904</v>
      </c>
    </row>
    <row r="130" spans="1:41" x14ac:dyDescent="0.35">
      <c r="A130">
        <v>2024</v>
      </c>
      <c r="B130">
        <v>5</v>
      </c>
      <c r="C130">
        <v>21</v>
      </c>
      <c r="D130" s="14">
        <v>45433</v>
      </c>
      <c r="E130" t="s">
        <v>41</v>
      </c>
      <c r="F130" t="s">
        <v>42</v>
      </c>
      <c r="G130" t="s">
        <v>43</v>
      </c>
      <c r="H130">
        <v>93008</v>
      </c>
      <c r="I130">
        <v>93008</v>
      </c>
      <c r="J130">
        <v>0</v>
      </c>
      <c r="K130">
        <v>972.3000000000078</v>
      </c>
      <c r="L130">
        <v>958.3000000000078</v>
      </c>
      <c r="M130">
        <v>-14</v>
      </c>
      <c r="N130">
        <v>2151.4799999999996</v>
      </c>
      <c r="O130">
        <v>2151.4799999999996</v>
      </c>
      <c r="P130">
        <v>0</v>
      </c>
      <c r="Q130">
        <v>-9254.25</v>
      </c>
      <c r="R130">
        <v>-7649.25</v>
      </c>
      <c r="S130">
        <v>1605</v>
      </c>
      <c r="T130">
        <v>-2.7</v>
      </c>
      <c r="U130">
        <v>-2.7</v>
      </c>
      <c r="V130">
        <v>0</v>
      </c>
      <c r="W130">
        <v>-62.99</v>
      </c>
      <c r="X130">
        <v>-62.99</v>
      </c>
      <c r="Y130">
        <v>0</v>
      </c>
      <c r="Z130">
        <v>86811.840000000229</v>
      </c>
      <c r="AA130">
        <v>88402.840000000331</v>
      </c>
      <c r="AB130">
        <v>1591</v>
      </c>
      <c r="AC130">
        <v>31501.899999999925</v>
      </c>
      <c r="AD130">
        <v>15006.529999999962</v>
      </c>
      <c r="AE130">
        <v>-16495.369999999963</v>
      </c>
      <c r="AF130">
        <v>55309.940000000155</v>
      </c>
      <c r="AG130">
        <v>73396.309999999983</v>
      </c>
      <c r="AH130">
        <v>18086.369999999941</v>
      </c>
      <c r="AI130">
        <v>-8021.0199999999859</v>
      </c>
      <c r="AJ130">
        <v>0</v>
      </c>
      <c r="AK130">
        <v>8021.0199999999859</v>
      </c>
      <c r="AL130">
        <v>63330.960000000188</v>
      </c>
      <c r="AM130">
        <v>73396.309999999983</v>
      </c>
      <c r="AN130">
        <v>10065.350000000008</v>
      </c>
      <c r="AO130">
        <v>1610</v>
      </c>
    </row>
    <row r="131" spans="1:41" x14ac:dyDescent="0.35">
      <c r="A131">
        <v>2024</v>
      </c>
      <c r="B131">
        <v>5</v>
      </c>
      <c r="C131">
        <v>21</v>
      </c>
      <c r="D131" s="14">
        <v>45434</v>
      </c>
      <c r="E131" t="s">
        <v>41</v>
      </c>
      <c r="F131" t="s">
        <v>42</v>
      </c>
      <c r="G131" t="s">
        <v>43</v>
      </c>
      <c r="H131">
        <v>60370.75</v>
      </c>
      <c r="I131">
        <v>60370.75</v>
      </c>
      <c r="J131">
        <v>0</v>
      </c>
      <c r="K131">
        <v>629.82000000000062</v>
      </c>
      <c r="L131">
        <v>629.82000000000062</v>
      </c>
      <c r="M131">
        <v>0</v>
      </c>
      <c r="N131">
        <v>1505.9300000000007</v>
      </c>
      <c r="O131">
        <v>1505.9300000000007</v>
      </c>
      <c r="P131">
        <v>0</v>
      </c>
      <c r="Q131">
        <v>-5311.85</v>
      </c>
      <c r="R131">
        <v>-5142.8500000000004</v>
      </c>
      <c r="S131">
        <v>169</v>
      </c>
      <c r="T131">
        <v>-2.0100000000000002</v>
      </c>
      <c r="U131">
        <v>-2.0100000000000002</v>
      </c>
      <c r="V131">
        <v>0</v>
      </c>
      <c r="W131">
        <v>-30</v>
      </c>
      <c r="X131">
        <v>-30</v>
      </c>
      <c r="Y131">
        <v>0</v>
      </c>
      <c r="Z131">
        <v>57162.639999999607</v>
      </c>
      <c r="AA131">
        <v>57331.639999999607</v>
      </c>
      <c r="AB131">
        <v>169</v>
      </c>
      <c r="AC131">
        <v>20494.569999999949</v>
      </c>
      <c r="AD131">
        <v>5623.1700000000083</v>
      </c>
      <c r="AE131">
        <v>-14871.399999999952</v>
      </c>
      <c r="AF131">
        <v>36668.070000000072</v>
      </c>
      <c r="AG131">
        <v>51708.469999999783</v>
      </c>
      <c r="AH131">
        <v>15040.399999999952</v>
      </c>
      <c r="AI131">
        <v>-3187.7899999999963</v>
      </c>
      <c r="AJ131">
        <v>0</v>
      </c>
      <c r="AK131">
        <v>3187.7899999999963</v>
      </c>
      <c r="AL131">
        <v>39855.86000000011</v>
      </c>
      <c r="AM131">
        <v>51708.469999999783</v>
      </c>
      <c r="AN131">
        <v>11852.609999999979</v>
      </c>
      <c r="AO131">
        <v>1057</v>
      </c>
    </row>
    <row r="132" spans="1:41" x14ac:dyDescent="0.35">
      <c r="A132">
        <v>2024</v>
      </c>
      <c r="B132">
        <v>5</v>
      </c>
      <c r="C132">
        <v>21</v>
      </c>
      <c r="D132" s="14">
        <v>45435</v>
      </c>
      <c r="E132" t="s">
        <v>41</v>
      </c>
      <c r="F132" t="s">
        <v>42</v>
      </c>
      <c r="G132" t="s">
        <v>43</v>
      </c>
      <c r="H132">
        <v>90034.5</v>
      </c>
      <c r="I132">
        <v>90034.5</v>
      </c>
      <c r="J132">
        <v>0</v>
      </c>
      <c r="K132">
        <v>999.34000000000822</v>
      </c>
      <c r="L132">
        <v>999.34000000000822</v>
      </c>
      <c r="M132">
        <v>0</v>
      </c>
      <c r="N132">
        <v>2151.4699999999993</v>
      </c>
      <c r="O132">
        <v>2151.4699999999993</v>
      </c>
      <c r="P132">
        <v>0</v>
      </c>
      <c r="Q132">
        <v>-8551.4500000000007</v>
      </c>
      <c r="R132">
        <v>-7401.4500000000007</v>
      </c>
      <c r="S132">
        <v>1150</v>
      </c>
      <c r="T132">
        <v>-3.02</v>
      </c>
      <c r="U132">
        <v>-3.02</v>
      </c>
      <c r="V132">
        <v>0</v>
      </c>
      <c r="W132">
        <v>-45</v>
      </c>
      <c r="X132">
        <v>-45</v>
      </c>
      <c r="Y132">
        <v>0</v>
      </c>
      <c r="Z132">
        <v>84585.840000000288</v>
      </c>
      <c r="AA132">
        <v>85735.840000000346</v>
      </c>
      <c r="AB132">
        <v>1150</v>
      </c>
      <c r="AC132">
        <v>30171.019999999928</v>
      </c>
      <c r="AD132">
        <v>24646.589999999913</v>
      </c>
      <c r="AE132">
        <v>-5524.4300000000085</v>
      </c>
      <c r="AF132">
        <v>54430.450000000099</v>
      </c>
      <c r="AG132">
        <v>61104.880000000019</v>
      </c>
      <c r="AH132">
        <v>6674.4300000000085</v>
      </c>
      <c r="AI132">
        <v>-12603.960000000015</v>
      </c>
      <c r="AJ132">
        <v>0</v>
      </c>
      <c r="AK132">
        <v>12603.960000000015</v>
      </c>
      <c r="AL132">
        <v>67034.409999999989</v>
      </c>
      <c r="AM132">
        <v>61104.880000000019</v>
      </c>
      <c r="AN132">
        <v>-5929.5299999999797</v>
      </c>
      <c r="AO132">
        <v>1539</v>
      </c>
    </row>
    <row r="133" spans="1:41" x14ac:dyDescent="0.35">
      <c r="A133">
        <v>2024</v>
      </c>
      <c r="B133">
        <v>5</v>
      </c>
      <c r="C133">
        <v>21</v>
      </c>
      <c r="D133" s="14">
        <v>45436</v>
      </c>
      <c r="E133" t="s">
        <v>41</v>
      </c>
      <c r="F133" t="s">
        <v>42</v>
      </c>
      <c r="G133" t="s">
        <v>43</v>
      </c>
      <c r="H133">
        <v>111067.5</v>
      </c>
      <c r="I133">
        <v>111067.5</v>
      </c>
      <c r="J133">
        <v>0</v>
      </c>
      <c r="K133">
        <v>1300.3900000000158</v>
      </c>
      <c r="L133">
        <v>1300.3900000000158</v>
      </c>
      <c r="M133">
        <v>0</v>
      </c>
      <c r="N133">
        <v>2383.3099999999963</v>
      </c>
      <c r="O133">
        <v>2383.3099999999963</v>
      </c>
      <c r="P133">
        <v>0</v>
      </c>
      <c r="Q133">
        <v>-10251.35</v>
      </c>
      <c r="R133">
        <v>-9450.35</v>
      </c>
      <c r="S133">
        <v>801</v>
      </c>
      <c r="T133">
        <v>-3.4800000000000004</v>
      </c>
      <c r="U133">
        <v>-3.4800000000000004</v>
      </c>
      <c r="V133">
        <v>0</v>
      </c>
      <c r="W133">
        <v>-63</v>
      </c>
      <c r="X133">
        <v>-63</v>
      </c>
      <c r="Y133">
        <v>0</v>
      </c>
      <c r="Z133">
        <v>104433.37000000087</v>
      </c>
      <c r="AA133">
        <v>105234.37000000091</v>
      </c>
      <c r="AB133">
        <v>801</v>
      </c>
      <c r="AC133">
        <v>40910.499999999585</v>
      </c>
      <c r="AD133">
        <v>16441.729999999956</v>
      </c>
      <c r="AE133">
        <v>-24468.769999999917</v>
      </c>
      <c r="AF133">
        <v>63522.870000000352</v>
      </c>
      <c r="AG133">
        <v>88792.640000000305</v>
      </c>
      <c r="AH133">
        <v>25269.769999999913</v>
      </c>
      <c r="AI133">
        <v>-8464.9499999999844</v>
      </c>
      <c r="AJ133">
        <v>0</v>
      </c>
      <c r="AK133">
        <v>8464.9499999999844</v>
      </c>
      <c r="AL133">
        <v>71987.820000000196</v>
      </c>
      <c r="AM133">
        <v>88792.640000000305</v>
      </c>
      <c r="AN133">
        <v>16804.819999999942</v>
      </c>
      <c r="AO133">
        <v>1904</v>
      </c>
    </row>
    <row r="134" spans="1:41" x14ac:dyDescent="0.35">
      <c r="A134">
        <v>2024</v>
      </c>
      <c r="B134">
        <v>5</v>
      </c>
      <c r="C134">
        <v>21</v>
      </c>
      <c r="D134" s="14">
        <v>45437</v>
      </c>
      <c r="E134" t="s">
        <v>41</v>
      </c>
      <c r="F134" t="s">
        <v>42</v>
      </c>
      <c r="G134" t="s">
        <v>43</v>
      </c>
      <c r="H134">
        <v>98522.25</v>
      </c>
      <c r="I134">
        <v>98522.25</v>
      </c>
      <c r="J134">
        <v>0</v>
      </c>
      <c r="K134">
        <v>1227.1500000000146</v>
      </c>
      <c r="L134">
        <v>1227.1500000000146</v>
      </c>
      <c r="M134">
        <v>0</v>
      </c>
      <c r="N134">
        <v>2201.4199999999987</v>
      </c>
      <c r="O134">
        <v>2185.4299999999989</v>
      </c>
      <c r="P134">
        <v>-15.99</v>
      </c>
      <c r="Q134">
        <v>-8848.7000000000007</v>
      </c>
      <c r="R134">
        <v>-7571.7</v>
      </c>
      <c r="S134">
        <v>1277</v>
      </c>
      <c r="T134">
        <v>-5.82</v>
      </c>
      <c r="U134">
        <v>-5.82</v>
      </c>
      <c r="V134">
        <v>0</v>
      </c>
      <c r="W134">
        <v>-78</v>
      </c>
      <c r="X134">
        <v>-73</v>
      </c>
      <c r="Y134">
        <v>5</v>
      </c>
      <c r="Z134">
        <v>93018.300000000469</v>
      </c>
      <c r="AA134">
        <v>94284.310000000507</v>
      </c>
      <c r="AB134">
        <v>1266.01</v>
      </c>
      <c r="AC134">
        <v>34777.059999999663</v>
      </c>
      <c r="AD134">
        <v>18342.749999999927</v>
      </c>
      <c r="AE134">
        <v>-16434.30999999995</v>
      </c>
      <c r="AF134">
        <v>58241.240000000224</v>
      </c>
      <c r="AG134">
        <v>75941.559999999954</v>
      </c>
      <c r="AH134">
        <v>17700.319999999945</v>
      </c>
      <c r="AI134">
        <v>-9197.4299999999894</v>
      </c>
      <c r="AJ134">
        <v>0</v>
      </c>
      <c r="AK134">
        <v>9197.4299999999894</v>
      </c>
      <c r="AL134">
        <v>67438.670000000246</v>
      </c>
      <c r="AM134">
        <v>75941.559999999954</v>
      </c>
      <c r="AN134">
        <v>8502.8900000000376</v>
      </c>
      <c r="AO134">
        <v>1692</v>
      </c>
    </row>
    <row r="135" spans="1:41" x14ac:dyDescent="0.35">
      <c r="A135">
        <v>2024</v>
      </c>
      <c r="B135">
        <v>5</v>
      </c>
      <c r="C135">
        <v>21</v>
      </c>
      <c r="D135" s="14">
        <v>45431</v>
      </c>
      <c r="E135" t="s">
        <v>44</v>
      </c>
      <c r="F135" t="s">
        <v>42</v>
      </c>
      <c r="G135" t="s">
        <v>45</v>
      </c>
      <c r="H135">
        <v>149136.5</v>
      </c>
      <c r="I135">
        <v>149136.5</v>
      </c>
      <c r="J135">
        <v>0</v>
      </c>
      <c r="K135">
        <v>1209.3300000000124</v>
      </c>
      <c r="L135">
        <v>1209.3300000000124</v>
      </c>
      <c r="M135">
        <v>0</v>
      </c>
      <c r="N135">
        <v>6437.7899999999381</v>
      </c>
      <c r="O135">
        <v>6437.7899999999381</v>
      </c>
      <c r="P135">
        <v>0</v>
      </c>
      <c r="Q135">
        <v>-25172.309999999998</v>
      </c>
      <c r="R135">
        <v>-25129.309999999998</v>
      </c>
      <c r="S135">
        <v>43</v>
      </c>
      <c r="T135">
        <v>-4.62</v>
      </c>
      <c r="U135">
        <v>-4.62</v>
      </c>
      <c r="V135">
        <v>0</v>
      </c>
      <c r="W135">
        <v>-163.87</v>
      </c>
      <c r="X135">
        <v>-163.87</v>
      </c>
      <c r="Y135">
        <v>0</v>
      </c>
      <c r="Z135">
        <v>131442.82000000094</v>
      </c>
      <c r="AA135">
        <v>131485.82000000094</v>
      </c>
      <c r="AB135">
        <v>42.999999999999993</v>
      </c>
      <c r="AC135">
        <v>33750.629999999823</v>
      </c>
      <c r="AD135">
        <v>20079.309999999936</v>
      </c>
      <c r="AE135">
        <v>-13671.319999999952</v>
      </c>
      <c r="AF135">
        <v>97692.190000000293</v>
      </c>
      <c r="AG135">
        <v>111406.5100000005</v>
      </c>
      <c r="AH135">
        <v>13714.319999999952</v>
      </c>
      <c r="AI135">
        <v>-10153.570000000009</v>
      </c>
      <c r="AJ135">
        <v>0</v>
      </c>
      <c r="AK135">
        <v>10153.570000000009</v>
      </c>
      <c r="AL135">
        <v>107845.75999999991</v>
      </c>
      <c r="AM135">
        <v>111406.5100000005</v>
      </c>
      <c r="AN135">
        <v>3560.7500000000191</v>
      </c>
      <c r="AO135">
        <v>1911</v>
      </c>
    </row>
    <row r="136" spans="1:41" x14ac:dyDescent="0.35">
      <c r="A136">
        <v>2024</v>
      </c>
      <c r="B136">
        <v>5</v>
      </c>
      <c r="C136">
        <v>21</v>
      </c>
      <c r="D136" s="14">
        <v>45432</v>
      </c>
      <c r="E136" t="s">
        <v>44</v>
      </c>
      <c r="F136" t="s">
        <v>42</v>
      </c>
      <c r="G136" t="s">
        <v>45</v>
      </c>
      <c r="H136">
        <v>137186</v>
      </c>
      <c r="I136">
        <v>137186</v>
      </c>
      <c r="J136">
        <v>0</v>
      </c>
      <c r="K136">
        <v>1111.7300000000118</v>
      </c>
      <c r="L136">
        <v>1081.7300000000118</v>
      </c>
      <c r="M136">
        <v>-30</v>
      </c>
      <c r="N136">
        <v>6265.9499999999416</v>
      </c>
      <c r="O136">
        <v>6242.969999999942</v>
      </c>
      <c r="P136">
        <v>-22.98</v>
      </c>
      <c r="Q136">
        <v>-23168.469999999998</v>
      </c>
      <c r="R136">
        <v>-22670.219999999998</v>
      </c>
      <c r="S136">
        <v>498.25</v>
      </c>
      <c r="T136">
        <v>-4.5999999999999996</v>
      </c>
      <c r="U136">
        <v>-4.5999999999999996</v>
      </c>
      <c r="V136">
        <v>0</v>
      </c>
      <c r="W136">
        <v>-126.67999999999999</v>
      </c>
      <c r="X136">
        <v>-126.67999999999999</v>
      </c>
      <c r="Y136">
        <v>0</v>
      </c>
      <c r="Z136">
        <v>121263.93000000091</v>
      </c>
      <c r="AA136">
        <v>121709.20000000091</v>
      </c>
      <c r="AB136">
        <v>445.27</v>
      </c>
      <c r="AC136">
        <v>31608.18999999989</v>
      </c>
      <c r="AD136">
        <v>11738.029999999972</v>
      </c>
      <c r="AE136">
        <v>-19870.15999999992</v>
      </c>
      <c r="AF136">
        <v>89655.740000000311</v>
      </c>
      <c r="AG136">
        <v>109971.17000000059</v>
      </c>
      <c r="AH136">
        <v>20315.42999999992</v>
      </c>
      <c r="AI136">
        <v>-6205.6300000000047</v>
      </c>
      <c r="AJ136">
        <v>0</v>
      </c>
      <c r="AK136">
        <v>6205.6300000000047</v>
      </c>
      <c r="AL136">
        <v>95861.370000000141</v>
      </c>
      <c r="AM136">
        <v>109971.17000000059</v>
      </c>
      <c r="AN136">
        <v>14109.799999999936</v>
      </c>
      <c r="AO136">
        <v>1770</v>
      </c>
    </row>
    <row r="137" spans="1:41" x14ac:dyDescent="0.35">
      <c r="A137">
        <v>2024</v>
      </c>
      <c r="B137">
        <v>5</v>
      </c>
      <c r="C137">
        <v>21</v>
      </c>
      <c r="D137" s="14">
        <v>45433</v>
      </c>
      <c r="E137" t="s">
        <v>44</v>
      </c>
      <c r="F137" t="s">
        <v>42</v>
      </c>
      <c r="G137" t="s">
        <v>45</v>
      </c>
      <c r="H137">
        <v>94265.5</v>
      </c>
      <c r="I137">
        <v>94265.5</v>
      </c>
      <c r="J137">
        <v>0</v>
      </c>
      <c r="K137">
        <v>740.17000000000144</v>
      </c>
      <c r="L137">
        <v>740.17000000000144</v>
      </c>
      <c r="M137">
        <v>0</v>
      </c>
      <c r="N137">
        <v>4027.4199999999742</v>
      </c>
      <c r="O137">
        <v>4027.4199999999742</v>
      </c>
      <c r="P137">
        <v>0</v>
      </c>
      <c r="Q137">
        <v>-16292.8</v>
      </c>
      <c r="R137">
        <v>-15191.8</v>
      </c>
      <c r="S137">
        <v>1101</v>
      </c>
      <c r="T137">
        <v>-6.34</v>
      </c>
      <c r="U137">
        <v>-6.34</v>
      </c>
      <c r="V137">
        <v>0</v>
      </c>
      <c r="W137">
        <v>-106.44999999999999</v>
      </c>
      <c r="X137">
        <v>-106.44999999999999</v>
      </c>
      <c r="Y137">
        <v>0</v>
      </c>
      <c r="Z137">
        <v>82627.500000000058</v>
      </c>
      <c r="AA137">
        <v>83728.500000000102</v>
      </c>
      <c r="AB137">
        <v>1101</v>
      </c>
      <c r="AC137">
        <v>20636.949999999932</v>
      </c>
      <c r="AD137">
        <v>9223.090000000002</v>
      </c>
      <c r="AE137">
        <v>-11413.859999999982</v>
      </c>
      <c r="AF137">
        <v>61990.550000000061</v>
      </c>
      <c r="AG137">
        <v>74505.409999999974</v>
      </c>
      <c r="AH137">
        <v>12514.859999999975</v>
      </c>
      <c r="AI137">
        <v>-5033.1499999999987</v>
      </c>
      <c r="AJ137">
        <v>0</v>
      </c>
      <c r="AK137">
        <v>5033.1499999999987</v>
      </c>
      <c r="AL137">
        <v>67023.699999999939</v>
      </c>
      <c r="AM137">
        <v>74505.409999999974</v>
      </c>
      <c r="AN137">
        <v>7481.7100000000119</v>
      </c>
      <c r="AO137">
        <v>1207</v>
      </c>
    </row>
    <row r="138" spans="1:41" x14ac:dyDescent="0.35">
      <c r="A138">
        <v>2024</v>
      </c>
      <c r="B138">
        <v>5</v>
      </c>
      <c r="C138">
        <v>21</v>
      </c>
      <c r="D138" s="14">
        <v>45434</v>
      </c>
      <c r="E138" t="s">
        <v>44</v>
      </c>
      <c r="F138" t="s">
        <v>42</v>
      </c>
      <c r="G138" t="s">
        <v>45</v>
      </c>
      <c r="H138">
        <v>53899.5</v>
      </c>
      <c r="I138">
        <v>53899.5</v>
      </c>
      <c r="J138">
        <v>0</v>
      </c>
      <c r="K138">
        <v>376.4699999999998</v>
      </c>
      <c r="L138">
        <v>376.4699999999998</v>
      </c>
      <c r="M138">
        <v>0</v>
      </c>
      <c r="N138">
        <v>2448.3999999999955</v>
      </c>
      <c r="O138">
        <v>2448.3999999999955</v>
      </c>
      <c r="P138">
        <v>0</v>
      </c>
      <c r="Q138">
        <v>-8730</v>
      </c>
      <c r="R138">
        <v>-8730</v>
      </c>
      <c r="S138">
        <v>0</v>
      </c>
      <c r="T138">
        <v>-1.8900000000000001</v>
      </c>
      <c r="U138">
        <v>-1.8900000000000001</v>
      </c>
      <c r="V138">
        <v>0</v>
      </c>
      <c r="W138">
        <v>-32.49</v>
      </c>
      <c r="X138">
        <v>-32.49</v>
      </c>
      <c r="Y138">
        <v>0</v>
      </c>
      <c r="Z138">
        <v>47959.989999999838</v>
      </c>
      <c r="AA138">
        <v>47959.989999999838</v>
      </c>
      <c r="AB138">
        <v>0</v>
      </c>
      <c r="AC138">
        <v>12765.609999999962</v>
      </c>
      <c r="AD138">
        <v>3821.7900000000036</v>
      </c>
      <c r="AE138">
        <v>-8943.8200000000033</v>
      </c>
      <c r="AF138">
        <v>35194.380000000048</v>
      </c>
      <c r="AG138">
        <v>44138.199999999917</v>
      </c>
      <c r="AH138">
        <v>8943.8200000000033</v>
      </c>
      <c r="AI138">
        <v>-2159.8400000000006</v>
      </c>
      <c r="AJ138">
        <v>0</v>
      </c>
      <c r="AK138">
        <v>2159.8400000000006</v>
      </c>
      <c r="AL138">
        <v>37354.22000000003</v>
      </c>
      <c r="AM138">
        <v>44138.199999999917</v>
      </c>
      <c r="AN138">
        <v>6783.9800000000141</v>
      </c>
      <c r="AO138">
        <v>694</v>
      </c>
    </row>
    <row r="139" spans="1:41" x14ac:dyDescent="0.35">
      <c r="A139">
        <v>2024</v>
      </c>
      <c r="B139">
        <v>5</v>
      </c>
      <c r="C139">
        <v>21</v>
      </c>
      <c r="D139" s="14">
        <v>45435</v>
      </c>
      <c r="E139" t="s">
        <v>44</v>
      </c>
      <c r="F139" t="s">
        <v>42</v>
      </c>
      <c r="G139" t="s">
        <v>45</v>
      </c>
      <c r="H139">
        <v>103420.93</v>
      </c>
      <c r="I139">
        <v>103420.93</v>
      </c>
      <c r="J139">
        <v>0</v>
      </c>
      <c r="K139">
        <v>738.02000000000055</v>
      </c>
      <c r="L139">
        <v>738.02000000000055</v>
      </c>
      <c r="M139">
        <v>0</v>
      </c>
      <c r="N139">
        <v>4860.8399999999619</v>
      </c>
      <c r="O139">
        <v>4841.8499999999622</v>
      </c>
      <c r="P139">
        <v>-18.990000000000002</v>
      </c>
      <c r="Q139">
        <v>-17128.43</v>
      </c>
      <c r="R139">
        <v>-16373.43</v>
      </c>
      <c r="S139">
        <v>755</v>
      </c>
      <c r="T139">
        <v>-13.02</v>
      </c>
      <c r="U139">
        <v>-13.02</v>
      </c>
      <c r="V139">
        <v>0</v>
      </c>
      <c r="W139">
        <v>-97.78</v>
      </c>
      <c r="X139">
        <v>-97.78</v>
      </c>
      <c r="Y139">
        <v>0</v>
      </c>
      <c r="Z139">
        <v>91780.560000000274</v>
      </c>
      <c r="AA139">
        <v>92516.570000000283</v>
      </c>
      <c r="AB139">
        <v>736.01</v>
      </c>
      <c r="AC139">
        <v>20223.449999999935</v>
      </c>
      <c r="AD139">
        <v>16510.219999999925</v>
      </c>
      <c r="AE139">
        <v>-3713.2300000000055</v>
      </c>
      <c r="AF139">
        <v>71557.109999999957</v>
      </c>
      <c r="AG139">
        <v>76006.349999999919</v>
      </c>
      <c r="AH139">
        <v>4449.2400000000061</v>
      </c>
      <c r="AI139">
        <v>-8330.5800000000036</v>
      </c>
      <c r="AJ139">
        <v>0</v>
      </c>
      <c r="AK139">
        <v>8330.5800000000036</v>
      </c>
      <c r="AL139">
        <v>79887.689999999944</v>
      </c>
      <c r="AM139">
        <v>76006.349999999919</v>
      </c>
      <c r="AN139">
        <v>-3881.3399999999933</v>
      </c>
      <c r="AO139">
        <v>1305</v>
      </c>
    </row>
    <row r="140" spans="1:41" x14ac:dyDescent="0.35">
      <c r="A140">
        <v>2024</v>
      </c>
      <c r="B140">
        <v>5</v>
      </c>
      <c r="C140">
        <v>21</v>
      </c>
      <c r="D140" s="14">
        <v>45436</v>
      </c>
      <c r="E140" t="s">
        <v>44</v>
      </c>
      <c r="F140" t="s">
        <v>42</v>
      </c>
      <c r="G140" t="s">
        <v>45</v>
      </c>
      <c r="H140">
        <v>129390.93</v>
      </c>
      <c r="I140">
        <v>129390.93</v>
      </c>
      <c r="J140">
        <v>0</v>
      </c>
      <c r="K140">
        <v>926.96000000000822</v>
      </c>
      <c r="L140">
        <v>926.96000000000822</v>
      </c>
      <c r="M140">
        <v>0</v>
      </c>
      <c r="N140">
        <v>6072.0499999999438</v>
      </c>
      <c r="O140">
        <v>6065.059999999944</v>
      </c>
      <c r="P140">
        <v>-6.99</v>
      </c>
      <c r="Q140">
        <v>-20731.599999999999</v>
      </c>
      <c r="R140">
        <v>-19999.599999999999</v>
      </c>
      <c r="S140">
        <v>732</v>
      </c>
      <c r="T140">
        <v>-5.6099999999999994</v>
      </c>
      <c r="U140">
        <v>-5.6099999999999994</v>
      </c>
      <c r="V140">
        <v>0</v>
      </c>
      <c r="W140">
        <v>-93.490000000000009</v>
      </c>
      <c r="X140">
        <v>-93.490000000000009</v>
      </c>
      <c r="Y140">
        <v>0</v>
      </c>
      <c r="Z140">
        <v>115559.24000000079</v>
      </c>
      <c r="AA140">
        <v>116284.25000000081</v>
      </c>
      <c r="AB140">
        <v>725.01</v>
      </c>
      <c r="AC140">
        <v>29563.009999999886</v>
      </c>
      <c r="AD140">
        <v>13552.539999999961</v>
      </c>
      <c r="AE140">
        <v>-16010.469999999923</v>
      </c>
      <c r="AF140">
        <v>85996.230000000141</v>
      </c>
      <c r="AG140">
        <v>102731.71000000047</v>
      </c>
      <c r="AH140">
        <v>16735.479999999912</v>
      </c>
      <c r="AI140">
        <v>-6901.1499999999942</v>
      </c>
      <c r="AJ140">
        <v>0</v>
      </c>
      <c r="AK140">
        <v>6901.1499999999942</v>
      </c>
      <c r="AL140">
        <v>92897.38</v>
      </c>
      <c r="AM140">
        <v>102731.71000000047</v>
      </c>
      <c r="AN140">
        <v>9834.3299999999763</v>
      </c>
      <c r="AO140">
        <v>1670</v>
      </c>
    </row>
    <row r="141" spans="1:41" x14ac:dyDescent="0.35">
      <c r="A141">
        <v>2024</v>
      </c>
      <c r="B141">
        <v>5</v>
      </c>
      <c r="C141">
        <v>21</v>
      </c>
      <c r="D141" s="14">
        <v>45437</v>
      </c>
      <c r="E141" t="s">
        <v>44</v>
      </c>
      <c r="F141" t="s">
        <v>42</v>
      </c>
      <c r="G141" t="s">
        <v>45</v>
      </c>
      <c r="H141">
        <v>125930.43</v>
      </c>
      <c r="I141">
        <v>125930.43</v>
      </c>
      <c r="J141">
        <v>0</v>
      </c>
      <c r="K141">
        <v>1082.8400000000056</v>
      </c>
      <c r="L141">
        <v>1052.8400000000056</v>
      </c>
      <c r="M141">
        <v>-30</v>
      </c>
      <c r="N141">
        <v>6162.0199999999431</v>
      </c>
      <c r="O141">
        <v>6124.0399999999436</v>
      </c>
      <c r="P141">
        <v>-37.980000000000004</v>
      </c>
      <c r="Q141">
        <v>-20729.349999999999</v>
      </c>
      <c r="R141">
        <v>-19929.14</v>
      </c>
      <c r="S141">
        <v>800.21</v>
      </c>
      <c r="T141">
        <v>-15.4</v>
      </c>
      <c r="U141">
        <v>-15.4</v>
      </c>
      <c r="V141">
        <v>0</v>
      </c>
      <c r="W141">
        <v>-120.09</v>
      </c>
      <c r="X141">
        <v>-120.09</v>
      </c>
      <c r="Y141">
        <v>0</v>
      </c>
      <c r="Z141">
        <v>112310.45000000068</v>
      </c>
      <c r="AA141">
        <v>113042.68000000068</v>
      </c>
      <c r="AB141">
        <v>732.23</v>
      </c>
      <c r="AC141">
        <v>29233.119999999861</v>
      </c>
      <c r="AD141">
        <v>15905.809999999925</v>
      </c>
      <c r="AE141">
        <v>-13327.309999999952</v>
      </c>
      <c r="AF141">
        <v>83077.330000000104</v>
      </c>
      <c r="AG141">
        <v>97136.870000000272</v>
      </c>
      <c r="AH141">
        <v>14059.53999999995</v>
      </c>
      <c r="AI141">
        <v>-7918.6500000000024</v>
      </c>
      <c r="AJ141">
        <v>0</v>
      </c>
      <c r="AK141">
        <v>7918.6500000000024</v>
      </c>
      <c r="AL141">
        <v>90995.980000000141</v>
      </c>
      <c r="AM141">
        <v>97136.870000000272</v>
      </c>
      <c r="AN141">
        <v>6140.8900000000185</v>
      </c>
      <c r="AO141">
        <v>1623</v>
      </c>
    </row>
    <row r="142" spans="1:41" x14ac:dyDescent="0.35">
      <c r="A142">
        <v>2024</v>
      </c>
      <c r="B142">
        <v>5</v>
      </c>
      <c r="C142">
        <v>21</v>
      </c>
      <c r="D142" s="14">
        <v>45431</v>
      </c>
      <c r="E142" t="s">
        <v>44</v>
      </c>
      <c r="F142" t="s">
        <v>42</v>
      </c>
      <c r="G142" t="s">
        <v>46</v>
      </c>
      <c r="H142">
        <v>46400.26</v>
      </c>
      <c r="I142">
        <v>46400.26</v>
      </c>
      <c r="J142">
        <v>0</v>
      </c>
      <c r="K142">
        <v>305.09000000000009</v>
      </c>
      <c r="L142">
        <v>305.09000000000009</v>
      </c>
      <c r="M142">
        <v>0</v>
      </c>
      <c r="N142">
        <v>1357.1700000000005</v>
      </c>
      <c r="O142">
        <v>1357.1700000000005</v>
      </c>
      <c r="P142">
        <v>0</v>
      </c>
      <c r="Q142">
        <v>-15701.680000000002</v>
      </c>
      <c r="R142">
        <v>-15701.680000000002</v>
      </c>
      <c r="S142">
        <v>0</v>
      </c>
      <c r="T142">
        <v>0</v>
      </c>
      <c r="U142">
        <v>0</v>
      </c>
      <c r="V142">
        <v>0</v>
      </c>
      <c r="W142">
        <v>-20</v>
      </c>
      <c r="X142">
        <v>-20</v>
      </c>
      <c r="Y142">
        <v>0</v>
      </c>
      <c r="Z142">
        <v>32340.840000000015</v>
      </c>
      <c r="AA142">
        <v>32340.840000000015</v>
      </c>
      <c r="AB142">
        <v>0</v>
      </c>
      <c r="AC142">
        <v>10592.239999999994</v>
      </c>
      <c r="AD142">
        <v>6458.9900000000107</v>
      </c>
      <c r="AE142">
        <v>-4133.2500000000045</v>
      </c>
      <c r="AF142">
        <v>21748.600000000046</v>
      </c>
      <c r="AG142">
        <v>25881.850000000046</v>
      </c>
      <c r="AH142">
        <v>4133.2500000000036</v>
      </c>
      <c r="AI142">
        <v>-2142.83</v>
      </c>
      <c r="AJ142">
        <v>0</v>
      </c>
      <c r="AK142">
        <v>2142.83</v>
      </c>
      <c r="AL142">
        <v>23891.430000000004</v>
      </c>
      <c r="AM142">
        <v>25881.850000000046</v>
      </c>
      <c r="AN142">
        <v>1990.4199999999994</v>
      </c>
      <c r="AO142">
        <v>544</v>
      </c>
    </row>
    <row r="143" spans="1:41" x14ac:dyDescent="0.35">
      <c r="A143">
        <v>2024</v>
      </c>
      <c r="B143">
        <v>5</v>
      </c>
      <c r="C143">
        <v>21</v>
      </c>
      <c r="D143" s="14">
        <v>45432</v>
      </c>
      <c r="E143" t="s">
        <v>44</v>
      </c>
      <c r="F143" t="s">
        <v>42</v>
      </c>
      <c r="G143" t="s">
        <v>46</v>
      </c>
      <c r="H143">
        <v>41583.4</v>
      </c>
      <c r="I143">
        <v>41583.4</v>
      </c>
      <c r="J143">
        <v>0</v>
      </c>
      <c r="K143">
        <v>139.91999999999973</v>
      </c>
      <c r="L143">
        <v>139.91999999999973</v>
      </c>
      <c r="M143">
        <v>0</v>
      </c>
      <c r="N143">
        <v>1169.2700000000004</v>
      </c>
      <c r="O143">
        <v>1169.2700000000004</v>
      </c>
      <c r="P143">
        <v>0</v>
      </c>
      <c r="Q143">
        <v>-14820.42</v>
      </c>
      <c r="R143">
        <v>-14598.42</v>
      </c>
      <c r="S143">
        <v>222</v>
      </c>
      <c r="T143">
        <v>0</v>
      </c>
      <c r="U143">
        <v>0</v>
      </c>
      <c r="V143">
        <v>0</v>
      </c>
      <c r="W143">
        <v>-10</v>
      </c>
      <c r="X143">
        <v>-10</v>
      </c>
      <c r="Y143">
        <v>0</v>
      </c>
      <c r="Z143">
        <v>28062.169999999991</v>
      </c>
      <c r="AA143">
        <v>28284.169999999991</v>
      </c>
      <c r="AB143">
        <v>222</v>
      </c>
      <c r="AC143">
        <v>10343.979999999992</v>
      </c>
      <c r="AD143">
        <v>3870.5000000000041</v>
      </c>
      <c r="AE143">
        <v>-6473.4800000000105</v>
      </c>
      <c r="AF143">
        <v>17718.190000000028</v>
      </c>
      <c r="AG143">
        <v>24413.669999999995</v>
      </c>
      <c r="AH143">
        <v>6695.4800000000105</v>
      </c>
      <c r="AI143">
        <v>-1540.0500000000002</v>
      </c>
      <c r="AJ143">
        <v>0</v>
      </c>
      <c r="AK143">
        <v>1540.0500000000002</v>
      </c>
      <c r="AL143">
        <v>19258.240000000002</v>
      </c>
      <c r="AM143">
        <v>24413.669999999995</v>
      </c>
      <c r="AN143">
        <v>5155.4300000000085</v>
      </c>
      <c r="AO143">
        <v>477</v>
      </c>
    </row>
    <row r="144" spans="1:41" x14ac:dyDescent="0.35">
      <c r="A144">
        <v>2024</v>
      </c>
      <c r="B144">
        <v>5</v>
      </c>
      <c r="C144">
        <v>21</v>
      </c>
      <c r="D144" s="14">
        <v>45433</v>
      </c>
      <c r="E144" t="s">
        <v>44</v>
      </c>
      <c r="F144" t="s">
        <v>42</v>
      </c>
      <c r="G144" t="s">
        <v>46</v>
      </c>
      <c r="H144">
        <v>25655.07</v>
      </c>
      <c r="I144">
        <v>25655.07</v>
      </c>
      <c r="J144">
        <v>0</v>
      </c>
      <c r="K144">
        <v>105.96000000000002</v>
      </c>
      <c r="L144">
        <v>105.96000000000002</v>
      </c>
      <c r="M144">
        <v>0</v>
      </c>
      <c r="N144">
        <v>808.49000000000035</v>
      </c>
      <c r="O144">
        <v>808.49000000000035</v>
      </c>
      <c r="P144">
        <v>0</v>
      </c>
      <c r="Q144">
        <v>-9262.52</v>
      </c>
      <c r="R144">
        <v>-9038.52</v>
      </c>
      <c r="S144">
        <v>224</v>
      </c>
      <c r="T144">
        <v>0</v>
      </c>
      <c r="U144">
        <v>0</v>
      </c>
      <c r="V144">
        <v>0</v>
      </c>
      <c r="W144">
        <v>-10</v>
      </c>
      <c r="X144">
        <v>-10</v>
      </c>
      <c r="Y144">
        <v>0</v>
      </c>
      <c r="Z144">
        <v>17296.999999999975</v>
      </c>
      <c r="AA144">
        <v>17520.999999999975</v>
      </c>
      <c r="AB144">
        <v>224</v>
      </c>
      <c r="AC144">
        <v>6229.5000000000082</v>
      </c>
      <c r="AD144">
        <v>2475.7200000000012</v>
      </c>
      <c r="AE144">
        <v>-3753.7800000000043</v>
      </c>
      <c r="AF144">
        <v>11067.499999999993</v>
      </c>
      <c r="AG144">
        <v>15045.279999999981</v>
      </c>
      <c r="AH144">
        <v>3977.7800000000043</v>
      </c>
      <c r="AI144">
        <v>-991.46</v>
      </c>
      <c r="AJ144">
        <v>0</v>
      </c>
      <c r="AK144">
        <v>991.46</v>
      </c>
      <c r="AL144">
        <v>12058.960000000005</v>
      </c>
      <c r="AM144">
        <v>15045.279999999981</v>
      </c>
      <c r="AN144">
        <v>2986.3200000000043</v>
      </c>
      <c r="AO144">
        <v>293</v>
      </c>
    </row>
    <row r="145" spans="1:41" x14ac:dyDescent="0.35">
      <c r="A145">
        <v>2024</v>
      </c>
      <c r="B145">
        <v>5</v>
      </c>
      <c r="C145">
        <v>21</v>
      </c>
      <c r="D145" s="14">
        <v>45434</v>
      </c>
      <c r="E145" t="s">
        <v>44</v>
      </c>
      <c r="F145" t="s">
        <v>42</v>
      </c>
      <c r="G145" t="s">
        <v>46</v>
      </c>
      <c r="H145">
        <v>14659.75</v>
      </c>
      <c r="I145">
        <v>14659.75</v>
      </c>
      <c r="J145">
        <v>0</v>
      </c>
      <c r="K145">
        <v>67.38</v>
      </c>
      <c r="L145">
        <v>67.38</v>
      </c>
      <c r="M145">
        <v>0</v>
      </c>
      <c r="N145">
        <v>536.67000000000019</v>
      </c>
      <c r="O145">
        <v>536.67000000000019</v>
      </c>
      <c r="P145">
        <v>0</v>
      </c>
      <c r="Q145">
        <v>-5377.35</v>
      </c>
      <c r="R145">
        <v>-5310.35</v>
      </c>
      <c r="S145">
        <v>67</v>
      </c>
      <c r="T145">
        <v>0</v>
      </c>
      <c r="U145">
        <v>0</v>
      </c>
      <c r="V145">
        <v>0</v>
      </c>
      <c r="W145">
        <v>-5</v>
      </c>
      <c r="X145">
        <v>-5</v>
      </c>
      <c r="Y145">
        <v>0</v>
      </c>
      <c r="Z145">
        <v>9881.4499999999935</v>
      </c>
      <c r="AA145">
        <v>9948.4499999999916</v>
      </c>
      <c r="AB145">
        <v>67.000000000000014</v>
      </c>
      <c r="AC145">
        <v>3443.1200000000044</v>
      </c>
      <c r="AD145">
        <v>1032.58</v>
      </c>
      <c r="AE145">
        <v>-2410.5400000000018</v>
      </c>
      <c r="AF145">
        <v>6438.3299999999917</v>
      </c>
      <c r="AG145">
        <v>8915.8699999999953</v>
      </c>
      <c r="AH145">
        <v>2477.5400000000013</v>
      </c>
      <c r="AI145">
        <v>-383.67000000000019</v>
      </c>
      <c r="AJ145">
        <v>0</v>
      </c>
      <c r="AK145">
        <v>383.67000000000019</v>
      </c>
      <c r="AL145">
        <v>6821.9999999999918</v>
      </c>
      <c r="AM145">
        <v>8915.8699999999953</v>
      </c>
      <c r="AN145">
        <v>2093.8700000000008</v>
      </c>
      <c r="AO145">
        <v>165</v>
      </c>
    </row>
    <row r="146" spans="1:41" x14ac:dyDescent="0.35">
      <c r="A146">
        <v>2024</v>
      </c>
      <c r="B146">
        <v>5</v>
      </c>
      <c r="C146">
        <v>21</v>
      </c>
      <c r="D146" s="14">
        <v>45435</v>
      </c>
      <c r="E146" t="s">
        <v>44</v>
      </c>
      <c r="F146" t="s">
        <v>42</v>
      </c>
      <c r="G146" t="s">
        <v>46</v>
      </c>
      <c r="H146">
        <v>35897.32</v>
      </c>
      <c r="I146">
        <v>35897.32</v>
      </c>
      <c r="J146">
        <v>0</v>
      </c>
      <c r="K146">
        <v>225.0600000000002</v>
      </c>
      <c r="L146">
        <v>225.0600000000002</v>
      </c>
      <c r="M146">
        <v>0</v>
      </c>
      <c r="N146">
        <v>870.45000000000039</v>
      </c>
      <c r="O146">
        <v>854.46000000000038</v>
      </c>
      <c r="P146">
        <v>-15.99</v>
      </c>
      <c r="Q146">
        <v>-12012.670000000002</v>
      </c>
      <c r="R146">
        <v>-11719.670000000002</v>
      </c>
      <c r="S146">
        <v>293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24980.160000000007</v>
      </c>
      <c r="AA146">
        <v>25257.170000000009</v>
      </c>
      <c r="AB146">
        <v>277.01</v>
      </c>
      <c r="AC146">
        <v>7349.300000000012</v>
      </c>
      <c r="AD146">
        <v>6285.1600000000089</v>
      </c>
      <c r="AE146">
        <v>-1064.1399999999999</v>
      </c>
      <c r="AF146">
        <v>17630.860000000019</v>
      </c>
      <c r="AG146">
        <v>18972.01000000002</v>
      </c>
      <c r="AH146">
        <v>1341.15</v>
      </c>
      <c r="AI146">
        <v>-2001.5899999999981</v>
      </c>
      <c r="AJ146">
        <v>0</v>
      </c>
      <c r="AK146">
        <v>2001.5899999999981</v>
      </c>
      <c r="AL146">
        <v>19632.450000000004</v>
      </c>
      <c r="AM146">
        <v>18972.01000000002</v>
      </c>
      <c r="AN146">
        <v>-660.44000000000051</v>
      </c>
      <c r="AO146">
        <v>422</v>
      </c>
    </row>
    <row r="147" spans="1:41" x14ac:dyDescent="0.35">
      <c r="A147">
        <v>2024</v>
      </c>
      <c r="B147">
        <v>5</v>
      </c>
      <c r="C147">
        <v>21</v>
      </c>
      <c r="D147" s="14">
        <v>45436</v>
      </c>
      <c r="E147" t="s">
        <v>44</v>
      </c>
      <c r="F147" t="s">
        <v>42</v>
      </c>
      <c r="G147" t="s">
        <v>46</v>
      </c>
      <c r="H147">
        <v>47219.09</v>
      </c>
      <c r="I147">
        <v>47219.09</v>
      </c>
      <c r="J147">
        <v>0</v>
      </c>
      <c r="K147">
        <v>217.39999999999995</v>
      </c>
      <c r="L147">
        <v>217.39999999999995</v>
      </c>
      <c r="M147">
        <v>0</v>
      </c>
      <c r="N147">
        <v>1139.3000000000004</v>
      </c>
      <c r="O147">
        <v>1139.3000000000004</v>
      </c>
      <c r="P147">
        <v>0</v>
      </c>
      <c r="Q147">
        <v>-15608.19</v>
      </c>
      <c r="R147">
        <v>-15267.19</v>
      </c>
      <c r="S147">
        <v>341</v>
      </c>
      <c r="T147">
        <v>0</v>
      </c>
      <c r="U147">
        <v>0</v>
      </c>
      <c r="V147">
        <v>0</v>
      </c>
      <c r="W147">
        <v>-19.8</v>
      </c>
      <c r="X147">
        <v>-19.8</v>
      </c>
      <c r="Y147">
        <v>0</v>
      </c>
      <c r="Z147">
        <v>32947.800000000003</v>
      </c>
      <c r="AA147">
        <v>33288.800000000003</v>
      </c>
      <c r="AB147">
        <v>341</v>
      </c>
      <c r="AC147">
        <v>11600.009999999984</v>
      </c>
      <c r="AD147">
        <v>5579.2800000000088</v>
      </c>
      <c r="AE147">
        <v>-6020.7300000000096</v>
      </c>
      <c r="AF147">
        <v>21347.790000000015</v>
      </c>
      <c r="AG147">
        <v>27709.520000000026</v>
      </c>
      <c r="AH147">
        <v>6361.7300000000087</v>
      </c>
      <c r="AI147">
        <v>-1825.2</v>
      </c>
      <c r="AJ147">
        <v>0</v>
      </c>
      <c r="AK147">
        <v>1825.2</v>
      </c>
      <c r="AL147">
        <v>23172.989999999972</v>
      </c>
      <c r="AM147">
        <v>27709.520000000026</v>
      </c>
      <c r="AN147">
        <v>4536.530000000007</v>
      </c>
      <c r="AO147">
        <v>554</v>
      </c>
    </row>
    <row r="148" spans="1:41" x14ac:dyDescent="0.35">
      <c r="A148">
        <v>2024</v>
      </c>
      <c r="B148">
        <v>5</v>
      </c>
      <c r="C148">
        <v>21</v>
      </c>
      <c r="D148" s="14">
        <v>45437</v>
      </c>
      <c r="E148" t="s">
        <v>44</v>
      </c>
      <c r="F148" t="s">
        <v>42</v>
      </c>
      <c r="G148" t="s">
        <v>46</v>
      </c>
      <c r="H148">
        <v>48581.65</v>
      </c>
      <c r="I148">
        <v>48581.65</v>
      </c>
      <c r="J148">
        <v>0</v>
      </c>
      <c r="K148">
        <v>168.7399999999999</v>
      </c>
      <c r="L148">
        <v>168.7399999999999</v>
      </c>
      <c r="M148">
        <v>0</v>
      </c>
      <c r="N148">
        <v>1163.2500000000005</v>
      </c>
      <c r="O148">
        <v>1163.2500000000005</v>
      </c>
      <c r="P148">
        <v>0</v>
      </c>
      <c r="Q148">
        <v>-16232.650000000001</v>
      </c>
      <c r="R148">
        <v>-15930.650000000001</v>
      </c>
      <c r="S148">
        <v>302</v>
      </c>
      <c r="T148">
        <v>0</v>
      </c>
      <c r="U148">
        <v>0</v>
      </c>
      <c r="V148">
        <v>0</v>
      </c>
      <c r="W148">
        <v>-4.8</v>
      </c>
      <c r="X148">
        <v>-4.8</v>
      </c>
      <c r="Y148">
        <v>0</v>
      </c>
      <c r="Z148">
        <v>33676.19</v>
      </c>
      <c r="AA148">
        <v>33978.189999999995</v>
      </c>
      <c r="AB148">
        <v>302</v>
      </c>
      <c r="AC148">
        <v>12356.749999999973</v>
      </c>
      <c r="AD148">
        <v>6916.3300000000081</v>
      </c>
      <c r="AE148">
        <v>-5440.4200000000092</v>
      </c>
      <c r="AF148">
        <v>21319.440000000013</v>
      </c>
      <c r="AG148">
        <v>27061.85999999999</v>
      </c>
      <c r="AH148">
        <v>5742.4200000000092</v>
      </c>
      <c r="AI148">
        <v>-2190.2200000000007</v>
      </c>
      <c r="AJ148">
        <v>0</v>
      </c>
      <c r="AK148">
        <v>2190.2200000000007</v>
      </c>
      <c r="AL148">
        <v>23509.659999999989</v>
      </c>
      <c r="AM148">
        <v>27061.85999999999</v>
      </c>
      <c r="AN148">
        <v>3552.2000000000048</v>
      </c>
      <c r="AO148">
        <v>574</v>
      </c>
    </row>
    <row r="149" spans="1:41" x14ac:dyDescent="0.35">
      <c r="A149">
        <v>2024</v>
      </c>
      <c r="B149">
        <v>5</v>
      </c>
      <c r="C149">
        <v>21</v>
      </c>
      <c r="D149" s="14">
        <v>45431</v>
      </c>
      <c r="E149" t="s">
        <v>44</v>
      </c>
      <c r="F149" t="s">
        <v>47</v>
      </c>
      <c r="G149" t="s">
        <v>48</v>
      </c>
      <c r="H149">
        <v>7908.2000000000144</v>
      </c>
      <c r="I149">
        <v>7908.2000000000144</v>
      </c>
      <c r="J149">
        <v>0</v>
      </c>
      <c r="K149">
        <v>291.70999999999998</v>
      </c>
      <c r="L149">
        <v>291.70999999999998</v>
      </c>
      <c r="M149">
        <v>0</v>
      </c>
      <c r="N149">
        <v>18.990000000000002</v>
      </c>
      <c r="O149">
        <v>18.990000000000002</v>
      </c>
      <c r="P149">
        <v>0</v>
      </c>
      <c r="Q149">
        <v>-2294.4499999999989</v>
      </c>
      <c r="R149">
        <v>-2294.4499999999989</v>
      </c>
      <c r="S149">
        <v>0</v>
      </c>
      <c r="T149">
        <v>0</v>
      </c>
      <c r="U149">
        <v>0</v>
      </c>
      <c r="V149">
        <v>0</v>
      </c>
      <c r="W149">
        <v>-18.990000000000002</v>
      </c>
      <c r="X149">
        <v>-18.990000000000002</v>
      </c>
      <c r="Y149">
        <v>0</v>
      </c>
      <c r="Z149">
        <v>5905.4600000000091</v>
      </c>
      <c r="AA149">
        <v>5905.4600000000091</v>
      </c>
      <c r="AB149">
        <v>0</v>
      </c>
      <c r="AC149">
        <v>642.86000000000024</v>
      </c>
      <c r="AD149">
        <v>111.85000000000001</v>
      </c>
      <c r="AE149">
        <v>-531.0100000000001</v>
      </c>
      <c r="AF149">
        <v>5262.6000000000095</v>
      </c>
      <c r="AG149">
        <v>5793.6100000000088</v>
      </c>
      <c r="AH149">
        <v>531.0100000000001</v>
      </c>
      <c r="AI149">
        <v>1747.9999999999991</v>
      </c>
      <c r="AJ149">
        <v>-8.18</v>
      </c>
      <c r="AK149">
        <v>-1756.1799999999989</v>
      </c>
      <c r="AL149">
        <v>3514.5999999999976</v>
      </c>
      <c r="AM149">
        <v>5801.7900000000091</v>
      </c>
      <c r="AN149">
        <v>2287.1899999999991</v>
      </c>
      <c r="AO149">
        <v>203</v>
      </c>
    </row>
    <row r="150" spans="1:41" x14ac:dyDescent="0.35">
      <c r="A150">
        <v>2024</v>
      </c>
      <c r="B150">
        <v>5</v>
      </c>
      <c r="C150">
        <v>21</v>
      </c>
      <c r="D150" s="14">
        <v>45432</v>
      </c>
      <c r="E150" t="s">
        <v>44</v>
      </c>
      <c r="F150" t="s">
        <v>47</v>
      </c>
      <c r="G150" t="s">
        <v>48</v>
      </c>
      <c r="H150">
        <v>6275.4</v>
      </c>
      <c r="I150">
        <v>6275.4</v>
      </c>
      <c r="J150">
        <v>0</v>
      </c>
      <c r="K150">
        <v>1.4100000000000001</v>
      </c>
      <c r="L150">
        <v>1.4100000000000001</v>
      </c>
      <c r="M150">
        <v>0</v>
      </c>
      <c r="N150">
        <v>0</v>
      </c>
      <c r="O150">
        <v>0</v>
      </c>
      <c r="P150">
        <v>0</v>
      </c>
      <c r="Q150">
        <v>-1813.129999999999</v>
      </c>
      <c r="R150">
        <v>-1813.129999999999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4463.6800000000021</v>
      </c>
      <c r="AA150">
        <v>4463.6800000000021</v>
      </c>
      <c r="AB150">
        <v>0</v>
      </c>
      <c r="AC150">
        <v>149.47999999999999</v>
      </c>
      <c r="AD150">
        <v>37.630000000000003</v>
      </c>
      <c r="AE150">
        <v>-111.85</v>
      </c>
      <c r="AF150">
        <v>4314.2000000000025</v>
      </c>
      <c r="AG150">
        <v>4426.0500000000029</v>
      </c>
      <c r="AH150">
        <v>111.85</v>
      </c>
      <c r="AI150">
        <v>1498.3800000000003</v>
      </c>
      <c r="AJ150">
        <v>0</v>
      </c>
      <c r="AK150">
        <v>-1498.3800000000003</v>
      </c>
      <c r="AL150">
        <v>2815.8200000000011</v>
      </c>
      <c r="AM150">
        <v>4426.0500000000029</v>
      </c>
      <c r="AN150">
        <v>1610.2300000000005</v>
      </c>
      <c r="AO150">
        <v>96</v>
      </c>
    </row>
    <row r="151" spans="1:41" x14ac:dyDescent="0.35">
      <c r="A151">
        <v>2024</v>
      </c>
      <c r="B151">
        <v>5</v>
      </c>
      <c r="C151">
        <v>21</v>
      </c>
      <c r="D151" s="14">
        <v>45433</v>
      </c>
      <c r="E151" t="s">
        <v>44</v>
      </c>
      <c r="F151" t="s">
        <v>47</v>
      </c>
      <c r="G151" t="s">
        <v>48</v>
      </c>
      <c r="H151">
        <v>211</v>
      </c>
      <c r="I151">
        <v>211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-48.5</v>
      </c>
      <c r="R151">
        <v>-48.5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162.5</v>
      </c>
      <c r="AA151">
        <v>162.5</v>
      </c>
      <c r="AB151">
        <v>0</v>
      </c>
      <c r="AC151">
        <v>37.630000000000003</v>
      </c>
      <c r="AE151">
        <v>-37.630000000000003</v>
      </c>
      <c r="AF151">
        <v>124.87</v>
      </c>
      <c r="AG151">
        <v>162.5</v>
      </c>
      <c r="AH151">
        <v>37.630000000000003</v>
      </c>
      <c r="AI151">
        <v>24.759999999999998</v>
      </c>
      <c r="AJ151">
        <v>0</v>
      </c>
      <c r="AK151">
        <v>-24.759999999999998</v>
      </c>
      <c r="AL151">
        <v>100.11</v>
      </c>
      <c r="AM151">
        <v>162.5</v>
      </c>
      <c r="AN151">
        <v>62.39</v>
      </c>
      <c r="AO151">
        <v>3</v>
      </c>
    </row>
    <row r="152" spans="1:41" x14ac:dyDescent="0.35">
      <c r="A152">
        <v>2024</v>
      </c>
      <c r="B152">
        <v>5</v>
      </c>
      <c r="C152">
        <v>21</v>
      </c>
      <c r="D152" s="14">
        <v>45434</v>
      </c>
      <c r="E152" t="s">
        <v>44</v>
      </c>
      <c r="F152" t="s">
        <v>47</v>
      </c>
      <c r="G152" t="s">
        <v>48</v>
      </c>
      <c r="H152">
        <v>1850</v>
      </c>
      <c r="I152">
        <v>1850</v>
      </c>
      <c r="J152">
        <v>0</v>
      </c>
      <c r="K152">
        <v>13.36</v>
      </c>
      <c r="L152">
        <v>13.36</v>
      </c>
      <c r="M152">
        <v>0</v>
      </c>
      <c r="N152">
        <v>0</v>
      </c>
      <c r="O152">
        <v>0</v>
      </c>
      <c r="P152">
        <v>0</v>
      </c>
      <c r="Q152">
        <v>-530.90000000000032</v>
      </c>
      <c r="R152">
        <v>-530.90000000000032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1332.4600000000003</v>
      </c>
      <c r="AA152">
        <v>1332.4600000000003</v>
      </c>
      <c r="AB152">
        <v>0</v>
      </c>
      <c r="AC152">
        <v>29</v>
      </c>
      <c r="AD152">
        <v>29</v>
      </c>
      <c r="AE152">
        <v>0</v>
      </c>
      <c r="AF152">
        <v>1303.4600000000003</v>
      </c>
      <c r="AG152">
        <v>1303.4600000000003</v>
      </c>
      <c r="AH152">
        <v>0</v>
      </c>
      <c r="AI152">
        <v>531.69000000000005</v>
      </c>
      <c r="AJ152">
        <v>0</v>
      </c>
      <c r="AK152">
        <v>-531.69000000000005</v>
      </c>
      <c r="AL152">
        <v>771.77000000000021</v>
      </c>
      <c r="AM152">
        <v>1303.4600000000003</v>
      </c>
      <c r="AN152">
        <v>531.69000000000005</v>
      </c>
      <c r="AO152">
        <v>29</v>
      </c>
    </row>
    <row r="153" spans="1:41" x14ac:dyDescent="0.35">
      <c r="A153">
        <v>2024</v>
      </c>
      <c r="B153">
        <v>5</v>
      </c>
      <c r="C153">
        <v>21</v>
      </c>
      <c r="D153" s="14">
        <v>45435</v>
      </c>
      <c r="E153" t="s">
        <v>44</v>
      </c>
      <c r="F153" t="s">
        <v>47</v>
      </c>
      <c r="G153" t="s">
        <v>48</v>
      </c>
      <c r="H153">
        <v>3666.380000000006</v>
      </c>
      <c r="I153">
        <v>3666.380000000006</v>
      </c>
      <c r="J153">
        <v>0</v>
      </c>
      <c r="K153">
        <v>661.73</v>
      </c>
      <c r="L153">
        <v>661.73</v>
      </c>
      <c r="M153">
        <v>0</v>
      </c>
      <c r="N153">
        <v>18.990000000000002</v>
      </c>
      <c r="O153">
        <v>18.990000000000002</v>
      </c>
      <c r="P153">
        <v>0</v>
      </c>
      <c r="Q153">
        <v>-483.35</v>
      </c>
      <c r="R153">
        <v>-483.35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3863.7500000000064</v>
      </c>
      <c r="AA153">
        <v>3863.7500000000064</v>
      </c>
      <c r="AB153">
        <v>0</v>
      </c>
      <c r="AC153">
        <v>75.260000000000005</v>
      </c>
      <c r="AD153">
        <v>46.260000000000005</v>
      </c>
      <c r="AE153">
        <v>-29</v>
      </c>
      <c r="AF153">
        <v>3788.4900000000061</v>
      </c>
      <c r="AG153">
        <v>3817.4900000000061</v>
      </c>
      <c r="AH153">
        <v>29</v>
      </c>
      <c r="AI153">
        <v>1078.8799999999999</v>
      </c>
      <c r="AJ153">
        <v>0</v>
      </c>
      <c r="AK153">
        <v>-1078.8799999999999</v>
      </c>
      <c r="AL153">
        <v>2709.61</v>
      </c>
      <c r="AM153">
        <v>3817.4900000000061</v>
      </c>
      <c r="AN153">
        <v>1107.8799999999994</v>
      </c>
      <c r="AO153">
        <v>135</v>
      </c>
    </row>
    <row r="154" spans="1:41" x14ac:dyDescent="0.35">
      <c r="A154">
        <v>2024</v>
      </c>
      <c r="B154">
        <v>5</v>
      </c>
      <c r="C154">
        <v>21</v>
      </c>
      <c r="D154" s="14">
        <v>45436</v>
      </c>
      <c r="E154" t="s">
        <v>44</v>
      </c>
      <c r="F154" t="s">
        <v>47</v>
      </c>
      <c r="G154" t="s">
        <v>48</v>
      </c>
      <c r="H154">
        <v>10523.750000000011</v>
      </c>
      <c r="I154">
        <v>10523.750000000011</v>
      </c>
      <c r="J154">
        <v>0</v>
      </c>
      <c r="K154">
        <v>487.49999999999989</v>
      </c>
      <c r="L154">
        <v>487.49999999999989</v>
      </c>
      <c r="M154">
        <v>0</v>
      </c>
      <c r="N154">
        <v>18.990000000000002</v>
      </c>
      <c r="O154">
        <v>18.990000000000002</v>
      </c>
      <c r="P154">
        <v>0</v>
      </c>
      <c r="Q154">
        <v>-3333.0599999999986</v>
      </c>
      <c r="R154">
        <v>-3333.0599999999986</v>
      </c>
      <c r="S154">
        <v>0</v>
      </c>
      <c r="T154">
        <v>-25</v>
      </c>
      <c r="U154">
        <v>-25</v>
      </c>
      <c r="V154">
        <v>0</v>
      </c>
      <c r="W154">
        <v>0</v>
      </c>
      <c r="X154">
        <v>0</v>
      </c>
      <c r="Y154">
        <v>0</v>
      </c>
      <c r="Z154">
        <v>7672.1800000000121</v>
      </c>
      <c r="AA154">
        <v>7672.1800000000121</v>
      </c>
      <c r="AB154">
        <v>0</v>
      </c>
      <c r="AC154">
        <v>936.27000000000055</v>
      </c>
      <c r="AD154">
        <v>890.01000000000056</v>
      </c>
      <c r="AE154">
        <v>-46.260000000000005</v>
      </c>
      <c r="AF154">
        <v>6735.9100000000126</v>
      </c>
      <c r="AG154">
        <v>6782.1700000000128</v>
      </c>
      <c r="AH154">
        <v>46.26</v>
      </c>
      <c r="AI154">
        <v>1567.9699999999991</v>
      </c>
      <c r="AJ154">
        <v>0</v>
      </c>
      <c r="AK154">
        <v>-1567.9699999999991</v>
      </c>
      <c r="AL154">
        <v>5167.9399999999978</v>
      </c>
      <c r="AM154">
        <v>6782.1700000000128</v>
      </c>
      <c r="AN154">
        <v>1614.2299999999989</v>
      </c>
      <c r="AO154">
        <v>228</v>
      </c>
    </row>
    <row r="155" spans="1:41" x14ac:dyDescent="0.35">
      <c r="A155">
        <v>2024</v>
      </c>
      <c r="B155">
        <v>5</v>
      </c>
      <c r="C155">
        <v>21</v>
      </c>
      <c r="D155" s="14">
        <v>45437</v>
      </c>
      <c r="E155" t="s">
        <v>44</v>
      </c>
      <c r="F155" t="s">
        <v>47</v>
      </c>
      <c r="G155" t="s">
        <v>48</v>
      </c>
      <c r="H155">
        <v>15892.199999999917</v>
      </c>
      <c r="I155">
        <v>15892.199999999917</v>
      </c>
      <c r="J155">
        <v>0</v>
      </c>
      <c r="K155">
        <v>1835.0600000000018</v>
      </c>
      <c r="L155">
        <v>1835.0600000000018</v>
      </c>
      <c r="M155">
        <v>0</v>
      </c>
      <c r="N155">
        <v>18.990000000000002</v>
      </c>
      <c r="O155">
        <v>18.990000000000002</v>
      </c>
      <c r="P155">
        <v>0</v>
      </c>
      <c r="Q155">
        <v>-5150.32</v>
      </c>
      <c r="R155">
        <v>-5150.32</v>
      </c>
      <c r="S155">
        <v>0</v>
      </c>
      <c r="T155">
        <v>-55</v>
      </c>
      <c r="U155">
        <v>-55</v>
      </c>
      <c r="V155">
        <v>0</v>
      </c>
      <c r="W155">
        <v>0</v>
      </c>
      <c r="X155">
        <v>0</v>
      </c>
      <c r="Y155">
        <v>0</v>
      </c>
      <c r="Z155">
        <v>12540.929999999968</v>
      </c>
      <c r="AA155">
        <v>12540.929999999968</v>
      </c>
      <c r="AB155">
        <v>0</v>
      </c>
      <c r="AC155">
        <v>1633.2000000000012</v>
      </c>
      <c r="AD155">
        <v>716.22000000000037</v>
      </c>
      <c r="AE155">
        <v>-916.98000000000059</v>
      </c>
      <c r="AF155">
        <v>10907.729999999998</v>
      </c>
      <c r="AG155">
        <v>11824.709999999981</v>
      </c>
      <c r="AH155">
        <v>916.98000000000059</v>
      </c>
      <c r="AI155">
        <v>3492.6200000000035</v>
      </c>
      <c r="AJ155">
        <v>0</v>
      </c>
      <c r="AK155">
        <v>-3492.6200000000035</v>
      </c>
      <c r="AL155">
        <v>7415.1099999999915</v>
      </c>
      <c r="AM155">
        <v>11824.709999999981</v>
      </c>
      <c r="AN155">
        <v>4409.5999999999976</v>
      </c>
      <c r="AO155">
        <v>470</v>
      </c>
    </row>
    <row r="156" spans="1:41" x14ac:dyDescent="0.35">
      <c r="A156">
        <v>2024</v>
      </c>
      <c r="B156">
        <v>5</v>
      </c>
      <c r="C156">
        <v>21</v>
      </c>
      <c r="D156" s="14">
        <v>45431</v>
      </c>
      <c r="E156" t="s">
        <v>44</v>
      </c>
      <c r="F156" t="s">
        <v>47</v>
      </c>
      <c r="G156" t="s">
        <v>49</v>
      </c>
      <c r="H156">
        <v>11367.149999999998</v>
      </c>
      <c r="I156">
        <v>11367.149999999998</v>
      </c>
      <c r="J156">
        <v>0</v>
      </c>
      <c r="K156">
        <v>144.55000000000001</v>
      </c>
      <c r="L156">
        <v>144.55000000000001</v>
      </c>
      <c r="M156">
        <v>0</v>
      </c>
      <c r="N156">
        <v>142.91999999999999</v>
      </c>
      <c r="O156">
        <v>142.91999999999999</v>
      </c>
      <c r="P156">
        <v>0</v>
      </c>
      <c r="Q156">
        <v>-4347.6500000000015</v>
      </c>
      <c r="R156">
        <v>-4347.6500000000015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7306.9699999999966</v>
      </c>
      <c r="AA156">
        <v>7306.9699999999966</v>
      </c>
      <c r="AB156">
        <v>0</v>
      </c>
      <c r="AC156">
        <v>454.2</v>
      </c>
      <c r="AD156">
        <v>220.14</v>
      </c>
      <c r="AE156">
        <v>-234.06</v>
      </c>
      <c r="AF156">
        <v>6852.7699999999959</v>
      </c>
      <c r="AG156">
        <v>7086.8299999999954</v>
      </c>
      <c r="AH156">
        <v>234.06</v>
      </c>
      <c r="AI156">
        <v>1222.8</v>
      </c>
      <c r="AJ156">
        <v>0</v>
      </c>
      <c r="AK156">
        <v>-1222.8</v>
      </c>
      <c r="AL156">
        <v>5629.9700000000021</v>
      </c>
      <c r="AM156">
        <v>7086.8299999999954</v>
      </c>
      <c r="AN156">
        <v>1456.8600000000004</v>
      </c>
      <c r="AO156">
        <v>144</v>
      </c>
    </row>
    <row r="157" spans="1:41" x14ac:dyDescent="0.35">
      <c r="A157">
        <v>2024</v>
      </c>
      <c r="B157">
        <v>5</v>
      </c>
      <c r="C157">
        <v>21</v>
      </c>
      <c r="D157" s="14">
        <v>45432</v>
      </c>
      <c r="E157" t="s">
        <v>44</v>
      </c>
      <c r="F157" t="s">
        <v>47</v>
      </c>
      <c r="G157" t="s">
        <v>49</v>
      </c>
      <c r="H157">
        <v>6783</v>
      </c>
      <c r="I157">
        <v>6783</v>
      </c>
      <c r="J157">
        <v>0</v>
      </c>
      <c r="K157">
        <v>30.25</v>
      </c>
      <c r="L157">
        <v>30.25</v>
      </c>
      <c r="M157">
        <v>0</v>
      </c>
      <c r="N157">
        <v>100.96</v>
      </c>
      <c r="O157">
        <v>100.96</v>
      </c>
      <c r="P157">
        <v>0</v>
      </c>
      <c r="Q157">
        <v>-2586.9499999999994</v>
      </c>
      <c r="R157">
        <v>-2586.9499999999994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4327.260000000002</v>
      </c>
      <c r="AA157">
        <v>4327.260000000002</v>
      </c>
      <c r="AB157">
        <v>0</v>
      </c>
      <c r="AC157">
        <v>273.5800000000001</v>
      </c>
      <c r="AD157">
        <v>53.44</v>
      </c>
      <c r="AE157">
        <v>-220.14</v>
      </c>
      <c r="AF157">
        <v>4053.6800000000007</v>
      </c>
      <c r="AG157">
        <v>4273.8200000000015</v>
      </c>
      <c r="AH157">
        <v>220.14</v>
      </c>
      <c r="AI157">
        <v>651.41999999999973</v>
      </c>
      <c r="AJ157">
        <v>0</v>
      </c>
      <c r="AK157">
        <v>-651.41999999999973</v>
      </c>
      <c r="AL157">
        <v>3402.26</v>
      </c>
      <c r="AM157">
        <v>4273.8200000000015</v>
      </c>
      <c r="AN157">
        <v>871.5599999999996</v>
      </c>
      <c r="AO157">
        <v>80</v>
      </c>
    </row>
    <row r="158" spans="1:41" x14ac:dyDescent="0.35">
      <c r="A158">
        <v>2024</v>
      </c>
      <c r="B158">
        <v>5</v>
      </c>
      <c r="C158">
        <v>21</v>
      </c>
      <c r="D158" s="14">
        <v>45433</v>
      </c>
      <c r="E158" t="s">
        <v>44</v>
      </c>
      <c r="F158" t="s">
        <v>47</v>
      </c>
      <c r="G158" t="s">
        <v>49</v>
      </c>
      <c r="H158">
        <v>1038</v>
      </c>
      <c r="I158">
        <v>1038</v>
      </c>
      <c r="J158">
        <v>0</v>
      </c>
      <c r="K158">
        <v>0.46</v>
      </c>
      <c r="L158">
        <v>0.46</v>
      </c>
      <c r="M158">
        <v>0</v>
      </c>
      <c r="N158">
        <v>18.990000000000002</v>
      </c>
      <c r="O158">
        <v>18.990000000000002</v>
      </c>
      <c r="P158">
        <v>0</v>
      </c>
      <c r="Q158">
        <v>-366.99999999999994</v>
      </c>
      <c r="R158">
        <v>-355.99999999999994</v>
      </c>
      <c r="S158">
        <v>11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690.45</v>
      </c>
      <c r="AA158">
        <v>701.45</v>
      </c>
      <c r="AB158">
        <v>11</v>
      </c>
      <c r="AC158">
        <v>129.66999999999999</v>
      </c>
      <c r="AE158">
        <v>-129.66999999999999</v>
      </c>
      <c r="AF158">
        <v>560.78000000000009</v>
      </c>
      <c r="AG158">
        <v>701.45</v>
      </c>
      <c r="AH158">
        <v>140.67000000000002</v>
      </c>
      <c r="AI158">
        <v>77.609999999999985</v>
      </c>
      <c r="AJ158">
        <v>71.609999999999985</v>
      </c>
      <c r="AK158">
        <v>-6</v>
      </c>
      <c r="AL158">
        <v>483.17000000000007</v>
      </c>
      <c r="AM158">
        <v>629.83999999999992</v>
      </c>
      <c r="AN158">
        <v>146.66999999999996</v>
      </c>
      <c r="AO158">
        <v>15</v>
      </c>
    </row>
    <row r="159" spans="1:41" x14ac:dyDescent="0.35">
      <c r="A159">
        <v>2024</v>
      </c>
      <c r="B159">
        <v>5</v>
      </c>
      <c r="C159">
        <v>21</v>
      </c>
      <c r="D159" s="14">
        <v>45434</v>
      </c>
      <c r="E159" t="s">
        <v>44</v>
      </c>
      <c r="F159" t="s">
        <v>47</v>
      </c>
      <c r="G159" t="s">
        <v>49</v>
      </c>
      <c r="H159">
        <v>451</v>
      </c>
      <c r="I159">
        <v>451</v>
      </c>
      <c r="J159">
        <v>0</v>
      </c>
      <c r="K159">
        <v>0.46</v>
      </c>
      <c r="L159">
        <v>0.46</v>
      </c>
      <c r="M159">
        <v>0</v>
      </c>
      <c r="N159">
        <v>12.99</v>
      </c>
      <c r="O159">
        <v>12.99</v>
      </c>
      <c r="P159">
        <v>0</v>
      </c>
      <c r="Q159">
        <v>-186.39999999999998</v>
      </c>
      <c r="R159">
        <v>-186.39999999999998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278.05</v>
      </c>
      <c r="AA159">
        <v>278.05</v>
      </c>
      <c r="AB159">
        <v>0</v>
      </c>
      <c r="AC159">
        <v>12.8</v>
      </c>
      <c r="AD159">
        <v>12.8</v>
      </c>
      <c r="AE159">
        <v>0</v>
      </c>
      <c r="AF159">
        <v>265.25</v>
      </c>
      <c r="AG159">
        <v>265.25</v>
      </c>
      <c r="AH159">
        <v>0</v>
      </c>
      <c r="AI159">
        <v>27.59</v>
      </c>
      <c r="AJ159">
        <v>0</v>
      </c>
      <c r="AK159">
        <v>-27.59</v>
      </c>
      <c r="AL159">
        <v>237.66000000000003</v>
      </c>
      <c r="AM159">
        <v>265.25</v>
      </c>
      <c r="AN159">
        <v>27.590000000000011</v>
      </c>
      <c r="AO159">
        <v>5</v>
      </c>
    </row>
    <row r="160" spans="1:41" x14ac:dyDescent="0.35">
      <c r="A160">
        <v>2024</v>
      </c>
      <c r="B160">
        <v>5</v>
      </c>
      <c r="C160">
        <v>21</v>
      </c>
      <c r="D160" s="14">
        <v>45435</v>
      </c>
      <c r="E160" t="s">
        <v>44</v>
      </c>
      <c r="F160" t="s">
        <v>47</v>
      </c>
      <c r="G160" t="s">
        <v>49</v>
      </c>
      <c r="H160">
        <v>3610.1</v>
      </c>
      <c r="I160">
        <v>3610.1</v>
      </c>
      <c r="J160">
        <v>0</v>
      </c>
      <c r="K160">
        <v>57.570000000000007</v>
      </c>
      <c r="L160">
        <v>57.570000000000007</v>
      </c>
      <c r="M160">
        <v>0</v>
      </c>
      <c r="N160">
        <v>95.94</v>
      </c>
      <c r="O160">
        <v>95.94</v>
      </c>
      <c r="P160">
        <v>0</v>
      </c>
      <c r="Q160">
        <v>-1238.1500000000001</v>
      </c>
      <c r="R160">
        <v>-1217.1500000000001</v>
      </c>
      <c r="S160">
        <v>21</v>
      </c>
      <c r="T160">
        <v>-5</v>
      </c>
      <c r="U160">
        <v>-5</v>
      </c>
      <c r="V160">
        <v>0</v>
      </c>
      <c r="W160">
        <v>-10</v>
      </c>
      <c r="X160">
        <v>-10</v>
      </c>
      <c r="Y160">
        <v>0</v>
      </c>
      <c r="Z160">
        <v>2510.4600000000009</v>
      </c>
      <c r="AA160">
        <v>2531.4600000000009</v>
      </c>
      <c r="AB160">
        <v>21</v>
      </c>
      <c r="AC160">
        <v>343.92</v>
      </c>
      <c r="AD160">
        <v>331.12</v>
      </c>
      <c r="AE160">
        <v>-12.8</v>
      </c>
      <c r="AF160">
        <v>2166.5400000000009</v>
      </c>
      <c r="AG160">
        <v>2200.3400000000006</v>
      </c>
      <c r="AH160">
        <v>33.799999999999997</v>
      </c>
      <c r="AI160">
        <v>137.32999999999998</v>
      </c>
      <c r="AJ160">
        <v>0</v>
      </c>
      <c r="AK160">
        <v>-137.32999999999998</v>
      </c>
      <c r="AL160">
        <v>2029.21</v>
      </c>
      <c r="AM160">
        <v>2200.3400000000006</v>
      </c>
      <c r="AN160">
        <v>171.12999999999991</v>
      </c>
      <c r="AO160">
        <v>46</v>
      </c>
    </row>
    <row r="161" spans="1:41" x14ac:dyDescent="0.35">
      <c r="A161">
        <v>2024</v>
      </c>
      <c r="B161">
        <v>5</v>
      </c>
      <c r="C161">
        <v>21</v>
      </c>
      <c r="D161" s="14">
        <v>45436</v>
      </c>
      <c r="E161" t="s">
        <v>44</v>
      </c>
      <c r="F161" t="s">
        <v>47</v>
      </c>
      <c r="G161" t="s">
        <v>49</v>
      </c>
      <c r="H161">
        <v>11473</v>
      </c>
      <c r="I161">
        <v>11473</v>
      </c>
      <c r="J161">
        <v>0</v>
      </c>
      <c r="K161">
        <v>222.19</v>
      </c>
      <c r="L161">
        <v>222.19</v>
      </c>
      <c r="M161">
        <v>0</v>
      </c>
      <c r="N161">
        <v>215.85000000000005</v>
      </c>
      <c r="O161">
        <v>215.85000000000005</v>
      </c>
      <c r="P161">
        <v>0</v>
      </c>
      <c r="Q161">
        <v>-4117.1399999999967</v>
      </c>
      <c r="R161">
        <v>-4117.1399999999967</v>
      </c>
      <c r="S161">
        <v>0</v>
      </c>
      <c r="T161">
        <v>-31.6</v>
      </c>
      <c r="U161">
        <v>-31.6</v>
      </c>
      <c r="V161">
        <v>0</v>
      </c>
      <c r="W161">
        <v>-15</v>
      </c>
      <c r="X161">
        <v>-15</v>
      </c>
      <c r="Y161">
        <v>0</v>
      </c>
      <c r="Z161">
        <v>7747.3000000000011</v>
      </c>
      <c r="AA161">
        <v>7747.3000000000011</v>
      </c>
      <c r="AB161">
        <v>0</v>
      </c>
      <c r="AC161">
        <v>441.54999999999995</v>
      </c>
      <c r="AD161">
        <v>96.05</v>
      </c>
      <c r="AE161">
        <v>-345.49999999999994</v>
      </c>
      <c r="AF161">
        <v>7305.7500000000009</v>
      </c>
      <c r="AG161">
        <v>7651.2500000000018</v>
      </c>
      <c r="AH161">
        <v>345.49999999999994</v>
      </c>
      <c r="AI161">
        <v>1312.9799999999991</v>
      </c>
      <c r="AJ161">
        <v>14.5</v>
      </c>
      <c r="AK161">
        <v>-1298.4799999999991</v>
      </c>
      <c r="AL161">
        <v>5992.7699999999986</v>
      </c>
      <c r="AM161">
        <v>7636.7500000000018</v>
      </c>
      <c r="AN161">
        <v>1643.9799999999989</v>
      </c>
      <c r="AO161">
        <v>140</v>
      </c>
    </row>
    <row r="162" spans="1:41" x14ac:dyDescent="0.35">
      <c r="A162">
        <v>2024</v>
      </c>
      <c r="B162">
        <v>5</v>
      </c>
      <c r="C162">
        <v>21</v>
      </c>
      <c r="D162" s="14">
        <v>45437</v>
      </c>
      <c r="E162" t="s">
        <v>44</v>
      </c>
      <c r="F162" t="s">
        <v>47</v>
      </c>
      <c r="G162" t="s">
        <v>49</v>
      </c>
      <c r="H162">
        <v>10418.35</v>
      </c>
      <c r="I162">
        <v>10418.35</v>
      </c>
      <c r="J162">
        <v>0</v>
      </c>
      <c r="K162">
        <v>383.09999999999991</v>
      </c>
      <c r="L162">
        <v>383.09999999999991</v>
      </c>
      <c r="M162">
        <v>0</v>
      </c>
      <c r="N162">
        <v>223.87000000000003</v>
      </c>
      <c r="O162">
        <v>223.87000000000003</v>
      </c>
      <c r="P162">
        <v>0</v>
      </c>
      <c r="Q162">
        <v>-3628.1499999999978</v>
      </c>
      <c r="R162">
        <v>-3628.1499999999978</v>
      </c>
      <c r="S162">
        <v>0</v>
      </c>
      <c r="T162">
        <v>-10</v>
      </c>
      <c r="U162">
        <v>-10</v>
      </c>
      <c r="V162">
        <v>0</v>
      </c>
      <c r="W162">
        <v>0</v>
      </c>
      <c r="X162">
        <v>0</v>
      </c>
      <c r="Y162">
        <v>0</v>
      </c>
      <c r="Z162">
        <v>7387.1699999999983</v>
      </c>
      <c r="AA162">
        <v>7387.1699999999983</v>
      </c>
      <c r="AB162">
        <v>0</v>
      </c>
      <c r="AC162">
        <v>435.85</v>
      </c>
      <c r="AD162">
        <v>287.73999999999995</v>
      </c>
      <c r="AE162">
        <v>-148.11000000000001</v>
      </c>
      <c r="AF162">
        <v>6951.3199999999988</v>
      </c>
      <c r="AG162">
        <v>7099.4299999999985</v>
      </c>
      <c r="AH162">
        <v>148.11000000000001</v>
      </c>
      <c r="AI162">
        <v>1344.1699999999998</v>
      </c>
      <c r="AJ162">
        <v>38.489999999999995</v>
      </c>
      <c r="AK162">
        <v>-1305.68</v>
      </c>
      <c r="AL162">
        <v>5607.1499999999978</v>
      </c>
      <c r="AM162">
        <v>7060.9399999999987</v>
      </c>
      <c r="AN162">
        <v>1453.7900000000002</v>
      </c>
      <c r="AO162">
        <v>132</v>
      </c>
    </row>
    <row r="163" spans="1:41" x14ac:dyDescent="0.35">
      <c r="A163">
        <v>2024</v>
      </c>
      <c r="B163">
        <v>5</v>
      </c>
      <c r="C163">
        <v>21</v>
      </c>
      <c r="D163" s="14">
        <v>45431</v>
      </c>
      <c r="E163" t="s">
        <v>44</v>
      </c>
      <c r="F163" t="s">
        <v>47</v>
      </c>
      <c r="G163" t="s">
        <v>50</v>
      </c>
      <c r="H163">
        <v>23805</v>
      </c>
      <c r="I163">
        <v>23805</v>
      </c>
      <c r="J163">
        <v>0</v>
      </c>
      <c r="K163">
        <v>230.48000000000016</v>
      </c>
      <c r="L163">
        <v>230.48000000000016</v>
      </c>
      <c r="M163">
        <v>0</v>
      </c>
      <c r="N163">
        <v>794.50000000000034</v>
      </c>
      <c r="O163">
        <v>794.50000000000034</v>
      </c>
      <c r="P163">
        <v>0</v>
      </c>
      <c r="Q163">
        <v>-6860.39</v>
      </c>
      <c r="R163">
        <v>-6860.39</v>
      </c>
      <c r="S163">
        <v>0</v>
      </c>
      <c r="T163">
        <v>-5</v>
      </c>
      <c r="U163">
        <v>-5</v>
      </c>
      <c r="V163">
        <v>0</v>
      </c>
      <c r="W163">
        <v>-10</v>
      </c>
      <c r="X163">
        <v>-10</v>
      </c>
      <c r="Y163">
        <v>0</v>
      </c>
      <c r="Z163">
        <v>17954.589999999986</v>
      </c>
      <c r="AA163">
        <v>17954.589999999986</v>
      </c>
      <c r="AB163">
        <v>0</v>
      </c>
      <c r="AC163">
        <v>3670.6400000000062</v>
      </c>
      <c r="AD163">
        <v>1919.1200000000008</v>
      </c>
      <c r="AE163">
        <v>-1751.5200000000009</v>
      </c>
      <c r="AF163">
        <v>14283.949999999992</v>
      </c>
      <c r="AG163">
        <v>16035.469999999985</v>
      </c>
      <c r="AH163">
        <v>1751.5200000000004</v>
      </c>
      <c r="AI163">
        <v>-1151.6399999999992</v>
      </c>
      <c r="AJ163">
        <v>0</v>
      </c>
      <c r="AK163">
        <v>1151.6399999999992</v>
      </c>
      <c r="AL163">
        <v>15435.590000000002</v>
      </c>
      <c r="AM163">
        <v>16035.469999999985</v>
      </c>
      <c r="AN163">
        <v>599.87999999999954</v>
      </c>
      <c r="AO163">
        <v>279</v>
      </c>
    </row>
    <row r="164" spans="1:41" x14ac:dyDescent="0.35">
      <c r="A164">
        <v>2024</v>
      </c>
      <c r="B164">
        <v>5</v>
      </c>
      <c r="C164">
        <v>21</v>
      </c>
      <c r="D164" s="14">
        <v>45432</v>
      </c>
      <c r="E164" t="s">
        <v>44</v>
      </c>
      <c r="F164" t="s">
        <v>47</v>
      </c>
      <c r="G164" t="s">
        <v>50</v>
      </c>
      <c r="H164">
        <v>20352</v>
      </c>
      <c r="I164">
        <v>20352</v>
      </c>
      <c r="J164">
        <v>0</v>
      </c>
      <c r="K164">
        <v>337.01999999999958</v>
      </c>
      <c r="L164">
        <v>337.01999999999958</v>
      </c>
      <c r="M164">
        <v>0</v>
      </c>
      <c r="N164">
        <v>664.58000000000027</v>
      </c>
      <c r="O164">
        <v>664.58000000000027</v>
      </c>
      <c r="P164">
        <v>0</v>
      </c>
      <c r="Q164">
        <v>-5782.64</v>
      </c>
      <c r="R164">
        <v>-5660.64</v>
      </c>
      <c r="S164">
        <v>122</v>
      </c>
      <c r="T164">
        <v>0</v>
      </c>
      <c r="U164">
        <v>0</v>
      </c>
      <c r="V164">
        <v>0</v>
      </c>
      <c r="W164">
        <v>-10</v>
      </c>
      <c r="X164">
        <v>-10</v>
      </c>
      <c r="Y164">
        <v>0</v>
      </c>
      <c r="Z164">
        <v>15560.959999999992</v>
      </c>
      <c r="AA164">
        <v>15682.959999999992</v>
      </c>
      <c r="AB164">
        <v>122</v>
      </c>
      <c r="AC164">
        <v>3424.5200000000036</v>
      </c>
      <c r="AD164">
        <v>1505.4000000000003</v>
      </c>
      <c r="AE164">
        <v>-1919.120000000001</v>
      </c>
      <c r="AF164">
        <v>12136.439999999991</v>
      </c>
      <c r="AG164">
        <v>14177.559999999996</v>
      </c>
      <c r="AH164">
        <v>2041.1200000000008</v>
      </c>
      <c r="AI164">
        <v>-902.4000000000002</v>
      </c>
      <c r="AJ164">
        <v>0</v>
      </c>
      <c r="AK164">
        <v>902.4000000000002</v>
      </c>
      <c r="AL164">
        <v>13038.839999999997</v>
      </c>
      <c r="AM164">
        <v>14177.559999999996</v>
      </c>
      <c r="AN164">
        <v>1138.7199999999998</v>
      </c>
      <c r="AO164">
        <v>237</v>
      </c>
    </row>
    <row r="165" spans="1:41" x14ac:dyDescent="0.35">
      <c r="A165">
        <v>2024</v>
      </c>
      <c r="B165">
        <v>5</v>
      </c>
      <c r="C165">
        <v>21</v>
      </c>
      <c r="D165" s="14">
        <v>45433</v>
      </c>
      <c r="E165" t="s">
        <v>44</v>
      </c>
      <c r="F165" t="s">
        <v>47</v>
      </c>
      <c r="G165" t="s">
        <v>50</v>
      </c>
      <c r="H165">
        <v>15702</v>
      </c>
      <c r="I165">
        <v>15702</v>
      </c>
      <c r="J165">
        <v>0</v>
      </c>
      <c r="K165">
        <v>289.75999999999976</v>
      </c>
      <c r="L165">
        <v>289.75999999999976</v>
      </c>
      <c r="M165">
        <v>0</v>
      </c>
      <c r="N165">
        <v>628.61000000000024</v>
      </c>
      <c r="O165">
        <v>628.61000000000024</v>
      </c>
      <c r="P165">
        <v>0</v>
      </c>
      <c r="Q165">
        <v>-4178.2700000000004</v>
      </c>
      <c r="R165">
        <v>-3878.77</v>
      </c>
      <c r="S165">
        <v>299.5</v>
      </c>
      <c r="T165">
        <v>-30</v>
      </c>
      <c r="U165">
        <v>-30</v>
      </c>
      <c r="V165">
        <v>0</v>
      </c>
      <c r="W165">
        <v>-5</v>
      </c>
      <c r="X165">
        <v>-5</v>
      </c>
      <c r="Y165">
        <v>0</v>
      </c>
      <c r="Z165">
        <v>12407.099999999997</v>
      </c>
      <c r="AA165">
        <v>12706.599999999997</v>
      </c>
      <c r="AB165">
        <v>299.5</v>
      </c>
      <c r="AC165">
        <v>2937.9100000000026</v>
      </c>
      <c r="AD165">
        <v>1465.0100000000004</v>
      </c>
      <c r="AE165">
        <v>-1472.900000000001</v>
      </c>
      <c r="AF165">
        <v>9469.1899999999951</v>
      </c>
      <c r="AG165">
        <v>11241.589999999995</v>
      </c>
      <c r="AH165">
        <v>1772.4000000000008</v>
      </c>
      <c r="AI165">
        <v>-847.60000000000059</v>
      </c>
      <c r="AJ165">
        <v>0</v>
      </c>
      <c r="AK165">
        <v>847.60000000000059</v>
      </c>
      <c r="AL165">
        <v>10316.790000000012</v>
      </c>
      <c r="AM165">
        <v>11241.589999999995</v>
      </c>
      <c r="AN165">
        <v>924.79999999999927</v>
      </c>
      <c r="AO165">
        <v>180</v>
      </c>
    </row>
    <row r="166" spans="1:41" x14ac:dyDescent="0.35">
      <c r="A166">
        <v>2024</v>
      </c>
      <c r="B166">
        <v>5</v>
      </c>
      <c r="C166">
        <v>21</v>
      </c>
      <c r="D166" s="14">
        <v>45434</v>
      </c>
      <c r="E166" t="s">
        <v>44</v>
      </c>
      <c r="F166" t="s">
        <v>47</v>
      </c>
      <c r="G166" t="s">
        <v>50</v>
      </c>
      <c r="H166">
        <v>9504</v>
      </c>
      <c r="I166">
        <v>9504</v>
      </c>
      <c r="J166">
        <v>0</v>
      </c>
      <c r="K166">
        <v>205.37</v>
      </c>
      <c r="L166">
        <v>205.37</v>
      </c>
      <c r="M166">
        <v>0</v>
      </c>
      <c r="N166">
        <v>481.70000000000016</v>
      </c>
      <c r="O166">
        <v>481.70000000000016</v>
      </c>
      <c r="P166">
        <v>0</v>
      </c>
      <c r="Q166">
        <v>-2493.77</v>
      </c>
      <c r="R166">
        <v>-2493.77</v>
      </c>
      <c r="S166">
        <v>0</v>
      </c>
      <c r="T166">
        <v>-30</v>
      </c>
      <c r="U166">
        <v>-30</v>
      </c>
      <c r="V166">
        <v>0</v>
      </c>
      <c r="W166">
        <v>-10</v>
      </c>
      <c r="X166">
        <v>-10</v>
      </c>
      <c r="Y166">
        <v>0</v>
      </c>
      <c r="Z166">
        <v>7657.2999999999947</v>
      </c>
      <c r="AA166">
        <v>7657.2999999999947</v>
      </c>
      <c r="AB166">
        <v>0</v>
      </c>
      <c r="AC166">
        <v>1973.2700000000016</v>
      </c>
      <c r="AD166">
        <v>502.09</v>
      </c>
      <c r="AE166">
        <v>-1471.1800000000005</v>
      </c>
      <c r="AF166">
        <v>5684.0299999999943</v>
      </c>
      <c r="AG166">
        <v>7155.2099999999955</v>
      </c>
      <c r="AH166">
        <v>1471.1800000000003</v>
      </c>
      <c r="AI166">
        <v>-284.12</v>
      </c>
      <c r="AJ166">
        <v>0</v>
      </c>
      <c r="AK166">
        <v>284.12</v>
      </c>
      <c r="AL166">
        <v>5968.1499999999951</v>
      </c>
      <c r="AM166">
        <v>7155.2099999999955</v>
      </c>
      <c r="AN166">
        <v>1187.0600000000002</v>
      </c>
      <c r="AO166">
        <v>111</v>
      </c>
    </row>
    <row r="167" spans="1:41" x14ac:dyDescent="0.35">
      <c r="A167">
        <v>2024</v>
      </c>
      <c r="B167">
        <v>5</v>
      </c>
      <c r="C167">
        <v>21</v>
      </c>
      <c r="D167" s="14">
        <v>45435</v>
      </c>
      <c r="E167" t="s">
        <v>44</v>
      </c>
      <c r="F167" t="s">
        <v>47</v>
      </c>
      <c r="G167" t="s">
        <v>50</v>
      </c>
      <c r="H167">
        <v>20649.669999999998</v>
      </c>
      <c r="I167">
        <v>20649.669999999998</v>
      </c>
      <c r="J167">
        <v>0</v>
      </c>
      <c r="K167">
        <v>337.71999999999969</v>
      </c>
      <c r="L167">
        <v>337.71999999999969</v>
      </c>
      <c r="M167">
        <v>0</v>
      </c>
      <c r="N167">
        <v>894.45000000000039</v>
      </c>
      <c r="O167">
        <v>894.45000000000039</v>
      </c>
      <c r="P167">
        <v>0</v>
      </c>
      <c r="Q167">
        <v>-6502.6100000000006</v>
      </c>
      <c r="R167">
        <v>-6163.6100000000006</v>
      </c>
      <c r="S167">
        <v>339</v>
      </c>
      <c r="T167">
        <v>-25</v>
      </c>
      <c r="U167">
        <v>-25</v>
      </c>
      <c r="V167">
        <v>0</v>
      </c>
      <c r="W167">
        <v>-72.97</v>
      </c>
      <c r="X167">
        <v>-72.97</v>
      </c>
      <c r="Y167">
        <v>0</v>
      </c>
      <c r="Z167">
        <v>15281.259999999982</v>
      </c>
      <c r="AA167">
        <v>15620.259999999982</v>
      </c>
      <c r="AB167">
        <v>339</v>
      </c>
      <c r="AC167">
        <v>2515.9900000000025</v>
      </c>
      <c r="AD167">
        <v>2013.9000000000015</v>
      </c>
      <c r="AE167">
        <v>-502.09000000000003</v>
      </c>
      <c r="AF167">
        <v>12765.269999999991</v>
      </c>
      <c r="AG167">
        <v>13606.359999999988</v>
      </c>
      <c r="AH167">
        <v>841.09</v>
      </c>
      <c r="AI167">
        <v>-1214.6099999999999</v>
      </c>
      <c r="AJ167">
        <v>0</v>
      </c>
      <c r="AK167">
        <v>1214.6099999999999</v>
      </c>
      <c r="AL167">
        <v>13979.880000000001</v>
      </c>
      <c r="AM167">
        <v>13606.359999999988</v>
      </c>
      <c r="AN167">
        <v>-373.52000000000089</v>
      </c>
      <c r="AO167">
        <v>235</v>
      </c>
    </row>
    <row r="168" spans="1:41" x14ac:dyDescent="0.35">
      <c r="A168">
        <v>2024</v>
      </c>
      <c r="B168">
        <v>5</v>
      </c>
      <c r="C168">
        <v>21</v>
      </c>
      <c r="D168" s="14">
        <v>45436</v>
      </c>
      <c r="E168" t="s">
        <v>44</v>
      </c>
      <c r="F168" t="s">
        <v>47</v>
      </c>
      <c r="G168" t="s">
        <v>50</v>
      </c>
      <c r="H168">
        <v>25315.57</v>
      </c>
      <c r="I168">
        <v>25315.57</v>
      </c>
      <c r="J168">
        <v>0</v>
      </c>
      <c r="K168">
        <v>364.22999999999962</v>
      </c>
      <c r="L168">
        <v>364.22999999999962</v>
      </c>
      <c r="M168">
        <v>0</v>
      </c>
      <c r="N168">
        <v>899.48000000000036</v>
      </c>
      <c r="O168">
        <v>899.48000000000036</v>
      </c>
      <c r="P168">
        <v>0</v>
      </c>
      <c r="Q168">
        <v>-7535.07</v>
      </c>
      <c r="R168">
        <v>-7379.07</v>
      </c>
      <c r="S168">
        <v>156</v>
      </c>
      <c r="T168">
        <v>-50</v>
      </c>
      <c r="U168">
        <v>-50</v>
      </c>
      <c r="V168">
        <v>0</v>
      </c>
      <c r="W168">
        <v>-30</v>
      </c>
      <c r="X168">
        <v>-30</v>
      </c>
      <c r="Y168">
        <v>0</v>
      </c>
      <c r="Z168">
        <v>18964.209999999995</v>
      </c>
      <c r="AA168">
        <v>19120.209999999995</v>
      </c>
      <c r="AB168">
        <v>156</v>
      </c>
      <c r="AC168">
        <v>4053.5100000000057</v>
      </c>
      <c r="AD168">
        <v>2087.3700000000022</v>
      </c>
      <c r="AE168">
        <v>-1966.1400000000006</v>
      </c>
      <c r="AF168">
        <v>14910.699999999995</v>
      </c>
      <c r="AG168">
        <v>17032.839999999997</v>
      </c>
      <c r="AH168">
        <v>2122.1400000000008</v>
      </c>
      <c r="AI168">
        <v>-1107.8000000000004</v>
      </c>
      <c r="AJ168">
        <v>0</v>
      </c>
      <c r="AK168">
        <v>1107.8000000000004</v>
      </c>
      <c r="AL168">
        <v>16018.500000000011</v>
      </c>
      <c r="AM168">
        <v>17032.839999999997</v>
      </c>
      <c r="AN168">
        <v>1014.3399999999995</v>
      </c>
      <c r="AO168">
        <v>288</v>
      </c>
    </row>
    <row r="169" spans="1:41" x14ac:dyDescent="0.35">
      <c r="A169">
        <v>2024</v>
      </c>
      <c r="B169">
        <v>5</v>
      </c>
      <c r="C169">
        <v>21</v>
      </c>
      <c r="D169" s="14">
        <v>45437</v>
      </c>
      <c r="E169" t="s">
        <v>44</v>
      </c>
      <c r="F169" t="s">
        <v>47</v>
      </c>
      <c r="G169" t="s">
        <v>50</v>
      </c>
      <c r="H169">
        <v>28898.1</v>
      </c>
      <c r="I169">
        <v>28898.1</v>
      </c>
      <c r="J169">
        <v>0</v>
      </c>
      <c r="K169">
        <v>345.15999999999963</v>
      </c>
      <c r="L169">
        <v>345.15999999999963</v>
      </c>
      <c r="M169">
        <v>0</v>
      </c>
      <c r="N169">
        <v>1058.3500000000004</v>
      </c>
      <c r="O169">
        <v>1042.3600000000004</v>
      </c>
      <c r="P169">
        <v>-15.99</v>
      </c>
      <c r="Q169">
        <v>-8699.2200000000012</v>
      </c>
      <c r="R169">
        <v>-8364.2200000000012</v>
      </c>
      <c r="S169">
        <v>335</v>
      </c>
      <c r="T169">
        <v>-20</v>
      </c>
      <c r="U169">
        <v>-20</v>
      </c>
      <c r="V169">
        <v>0</v>
      </c>
      <c r="W169">
        <v>-35</v>
      </c>
      <c r="X169">
        <v>-35</v>
      </c>
      <c r="Y169">
        <v>0</v>
      </c>
      <c r="Z169">
        <v>21547.39</v>
      </c>
      <c r="AA169">
        <v>21866.400000000001</v>
      </c>
      <c r="AB169">
        <v>319.01</v>
      </c>
      <c r="AC169">
        <v>5529.8400000000065</v>
      </c>
      <c r="AD169">
        <v>3442.4700000000021</v>
      </c>
      <c r="AE169">
        <v>-2087.3700000000013</v>
      </c>
      <c r="AF169">
        <v>16017.55000000001</v>
      </c>
      <c r="AG169">
        <v>18423.930000000026</v>
      </c>
      <c r="AH169">
        <v>2406.38</v>
      </c>
      <c r="AI169">
        <v>-1553.5399999999986</v>
      </c>
      <c r="AJ169">
        <v>0</v>
      </c>
      <c r="AK169">
        <v>1553.5399999999986</v>
      </c>
      <c r="AL169">
        <v>17571.090000000011</v>
      </c>
      <c r="AM169">
        <v>18423.930000000026</v>
      </c>
      <c r="AN169">
        <v>852.83999999999924</v>
      </c>
      <c r="AO169">
        <v>330</v>
      </c>
    </row>
    <row r="170" spans="1:41" x14ac:dyDescent="0.35">
      <c r="A170">
        <v>2024</v>
      </c>
      <c r="B170">
        <v>5</v>
      </c>
      <c r="C170">
        <v>21</v>
      </c>
      <c r="D170" s="14">
        <v>45431</v>
      </c>
      <c r="E170" t="s">
        <v>44</v>
      </c>
      <c r="F170" t="s">
        <v>47</v>
      </c>
      <c r="G170" t="s">
        <v>51</v>
      </c>
      <c r="H170">
        <v>4133.8</v>
      </c>
      <c r="I170">
        <v>4133.8</v>
      </c>
      <c r="J170">
        <v>0</v>
      </c>
      <c r="K170">
        <v>17</v>
      </c>
      <c r="L170">
        <v>17</v>
      </c>
      <c r="M170">
        <v>0</v>
      </c>
      <c r="N170">
        <v>0</v>
      </c>
      <c r="O170">
        <v>0</v>
      </c>
      <c r="P170">
        <v>0</v>
      </c>
      <c r="Q170">
        <v>-1077.75</v>
      </c>
      <c r="R170">
        <v>-1077.75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3073.0499999999997</v>
      </c>
      <c r="AA170">
        <v>3073.0499999999997</v>
      </c>
      <c r="AB170">
        <v>0</v>
      </c>
      <c r="AC170">
        <v>110.52</v>
      </c>
      <c r="AD170">
        <v>49.98</v>
      </c>
      <c r="AE170">
        <v>-60.540000000000006</v>
      </c>
      <c r="AF170">
        <v>2962.5300000000007</v>
      </c>
      <c r="AG170">
        <v>3023.07</v>
      </c>
      <c r="AH170">
        <v>60.539999999999992</v>
      </c>
      <c r="AI170">
        <v>342.38</v>
      </c>
      <c r="AJ170">
        <v>0</v>
      </c>
      <c r="AK170">
        <v>-342.38</v>
      </c>
      <c r="AL170">
        <v>2620.1499999999996</v>
      </c>
      <c r="AM170">
        <v>3023.07</v>
      </c>
      <c r="AN170">
        <v>402.92</v>
      </c>
      <c r="AO170">
        <v>69</v>
      </c>
    </row>
    <row r="171" spans="1:41" x14ac:dyDescent="0.35">
      <c r="A171">
        <v>2024</v>
      </c>
      <c r="B171">
        <v>5</v>
      </c>
      <c r="C171">
        <v>21</v>
      </c>
      <c r="D171" s="14">
        <v>45432</v>
      </c>
      <c r="E171" t="s">
        <v>44</v>
      </c>
      <c r="F171" t="s">
        <v>47</v>
      </c>
      <c r="G171" t="s">
        <v>51</v>
      </c>
      <c r="H171">
        <v>1764.5</v>
      </c>
      <c r="I171">
        <v>1764.5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-520.65</v>
      </c>
      <c r="R171">
        <v>-520.65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1243.8499999999999</v>
      </c>
      <c r="AA171">
        <v>1243.8499999999999</v>
      </c>
      <c r="AB171">
        <v>0</v>
      </c>
      <c r="AC171">
        <v>49.98</v>
      </c>
      <c r="AE171">
        <v>-49.98</v>
      </c>
      <c r="AF171">
        <v>1193.8699999999999</v>
      </c>
      <c r="AG171">
        <v>1243.8499999999999</v>
      </c>
      <c r="AH171">
        <v>49.97999999999999</v>
      </c>
      <c r="AI171">
        <v>299.38</v>
      </c>
      <c r="AJ171">
        <v>0</v>
      </c>
      <c r="AK171">
        <v>-299.38</v>
      </c>
      <c r="AL171">
        <v>894.48999999999978</v>
      </c>
      <c r="AM171">
        <v>1243.8499999999999</v>
      </c>
      <c r="AN171">
        <v>349.36</v>
      </c>
      <c r="AO171">
        <v>27</v>
      </c>
    </row>
    <row r="172" spans="1:41" x14ac:dyDescent="0.35">
      <c r="A172">
        <v>2024</v>
      </c>
      <c r="B172">
        <v>5</v>
      </c>
      <c r="C172">
        <v>21</v>
      </c>
      <c r="D172" s="14">
        <v>45433</v>
      </c>
      <c r="E172" t="s">
        <v>44</v>
      </c>
      <c r="F172" t="s">
        <v>47</v>
      </c>
      <c r="G172" t="s">
        <v>51</v>
      </c>
      <c r="H172">
        <v>238</v>
      </c>
      <c r="I172">
        <v>238</v>
      </c>
      <c r="J172">
        <v>0</v>
      </c>
      <c r="K172">
        <v>0.92</v>
      </c>
      <c r="L172">
        <v>0.92</v>
      </c>
      <c r="M172">
        <v>0</v>
      </c>
      <c r="N172">
        <v>22.98</v>
      </c>
      <c r="O172">
        <v>22.98</v>
      </c>
      <c r="P172">
        <v>0</v>
      </c>
      <c r="Q172">
        <v>-107.5</v>
      </c>
      <c r="R172">
        <v>-107.5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154.4</v>
      </c>
      <c r="AA172">
        <v>154.4</v>
      </c>
      <c r="AB172">
        <v>0</v>
      </c>
      <c r="AC172">
        <v>6.96</v>
      </c>
      <c r="AD172">
        <v>6.96</v>
      </c>
      <c r="AE172">
        <v>0</v>
      </c>
      <c r="AF172">
        <v>147.44</v>
      </c>
      <c r="AG172">
        <v>147.44</v>
      </c>
      <c r="AH172">
        <v>0</v>
      </c>
      <c r="AI172">
        <v>-5.62</v>
      </c>
      <c r="AJ172">
        <v>0</v>
      </c>
      <c r="AK172">
        <v>5.62</v>
      </c>
      <c r="AL172">
        <v>153.06</v>
      </c>
      <c r="AM172">
        <v>147.44</v>
      </c>
      <c r="AN172">
        <v>-5.6199999999999974</v>
      </c>
      <c r="AO172">
        <v>3</v>
      </c>
    </row>
    <row r="173" spans="1:41" x14ac:dyDescent="0.35">
      <c r="A173">
        <v>2024</v>
      </c>
      <c r="B173">
        <v>5</v>
      </c>
      <c r="C173">
        <v>21</v>
      </c>
      <c r="D173" s="14">
        <v>45434</v>
      </c>
      <c r="E173" t="s">
        <v>44</v>
      </c>
      <c r="F173" t="s">
        <v>47</v>
      </c>
      <c r="G173" t="s">
        <v>51</v>
      </c>
      <c r="H173">
        <v>1189.25</v>
      </c>
      <c r="I173">
        <v>1189.25</v>
      </c>
      <c r="J173">
        <v>0</v>
      </c>
      <c r="K173">
        <v>0.92</v>
      </c>
      <c r="L173">
        <v>0.92</v>
      </c>
      <c r="M173">
        <v>0</v>
      </c>
      <c r="N173">
        <v>22.98</v>
      </c>
      <c r="O173">
        <v>22.98</v>
      </c>
      <c r="P173">
        <v>0</v>
      </c>
      <c r="Q173">
        <v>-83</v>
      </c>
      <c r="R173">
        <v>-83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1130.1500000000001</v>
      </c>
      <c r="AA173">
        <v>1130.1500000000001</v>
      </c>
      <c r="AB173">
        <v>0</v>
      </c>
      <c r="AC173">
        <v>6.96</v>
      </c>
      <c r="AE173">
        <v>-6.96</v>
      </c>
      <c r="AF173">
        <v>1123.19</v>
      </c>
      <c r="AG173">
        <v>1130.1500000000001</v>
      </c>
      <c r="AH173">
        <v>6.9600000000000009</v>
      </c>
      <c r="AI173">
        <v>161.00000000000003</v>
      </c>
      <c r="AJ173">
        <v>0</v>
      </c>
      <c r="AK173">
        <v>-161.00000000000003</v>
      </c>
      <c r="AL173">
        <v>962.1900000000004</v>
      </c>
      <c r="AM173">
        <v>1130.1500000000001</v>
      </c>
      <c r="AN173">
        <v>167.95999999999998</v>
      </c>
      <c r="AO173">
        <v>22</v>
      </c>
    </row>
    <row r="174" spans="1:41" x14ac:dyDescent="0.35">
      <c r="A174">
        <v>2024</v>
      </c>
      <c r="B174">
        <v>5</v>
      </c>
      <c r="C174">
        <v>21</v>
      </c>
      <c r="D174" s="14">
        <v>45435</v>
      </c>
      <c r="E174" t="s">
        <v>44</v>
      </c>
      <c r="F174" t="s">
        <v>47</v>
      </c>
      <c r="G174" t="s">
        <v>51</v>
      </c>
      <c r="H174">
        <v>3903.6000000000013</v>
      </c>
      <c r="I174">
        <v>3903.6000000000013</v>
      </c>
      <c r="J174">
        <v>0</v>
      </c>
      <c r="K174">
        <v>59</v>
      </c>
      <c r="L174">
        <v>59</v>
      </c>
      <c r="M174">
        <v>0</v>
      </c>
      <c r="N174">
        <v>15.99</v>
      </c>
      <c r="O174">
        <v>15.99</v>
      </c>
      <c r="P174">
        <v>0</v>
      </c>
      <c r="Q174">
        <v>-923.80000000000007</v>
      </c>
      <c r="R174">
        <v>-923.80000000000007</v>
      </c>
      <c r="S174">
        <v>0</v>
      </c>
      <c r="T174">
        <v>-16</v>
      </c>
      <c r="U174">
        <v>-16</v>
      </c>
      <c r="V174">
        <v>0</v>
      </c>
      <c r="W174">
        <v>0</v>
      </c>
      <c r="X174">
        <v>0</v>
      </c>
      <c r="Y174">
        <v>0</v>
      </c>
      <c r="Z174">
        <v>3038.7900000000004</v>
      </c>
      <c r="AA174">
        <v>3038.7900000000004</v>
      </c>
      <c r="AB174">
        <v>0</v>
      </c>
      <c r="AC174">
        <v>30.75</v>
      </c>
      <c r="AD174">
        <v>30.75</v>
      </c>
      <c r="AE174">
        <v>0</v>
      </c>
      <c r="AF174">
        <v>3008.0400000000004</v>
      </c>
      <c r="AG174">
        <v>3008.0400000000004</v>
      </c>
      <c r="AH174">
        <v>0</v>
      </c>
      <c r="AI174">
        <v>1242.31</v>
      </c>
      <c r="AJ174">
        <v>0</v>
      </c>
      <c r="AK174">
        <v>-1242.31</v>
      </c>
      <c r="AL174">
        <v>1765.7299999999991</v>
      </c>
      <c r="AM174">
        <v>3008.0400000000004</v>
      </c>
      <c r="AN174">
        <v>1242.3099999999997</v>
      </c>
      <c r="AO174">
        <v>65</v>
      </c>
    </row>
    <row r="175" spans="1:41" x14ac:dyDescent="0.35">
      <c r="A175">
        <v>2024</v>
      </c>
      <c r="B175">
        <v>5</v>
      </c>
      <c r="C175">
        <v>21</v>
      </c>
      <c r="D175" s="14">
        <v>45436</v>
      </c>
      <c r="E175" t="s">
        <v>44</v>
      </c>
      <c r="F175" t="s">
        <v>47</v>
      </c>
      <c r="G175" t="s">
        <v>51</v>
      </c>
      <c r="H175">
        <v>29106.649999999998</v>
      </c>
      <c r="I175">
        <v>29106.649999999998</v>
      </c>
      <c r="J175">
        <v>0</v>
      </c>
      <c r="K175">
        <v>79</v>
      </c>
      <c r="L175">
        <v>67</v>
      </c>
      <c r="M175">
        <v>-12</v>
      </c>
      <c r="N175">
        <v>15.99</v>
      </c>
      <c r="O175">
        <v>15.99</v>
      </c>
      <c r="P175">
        <v>0</v>
      </c>
      <c r="Q175">
        <v>-7633.0999999999995</v>
      </c>
      <c r="R175">
        <v>-7584.3499999999995</v>
      </c>
      <c r="S175">
        <v>48.75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21568.539999999997</v>
      </c>
      <c r="AA175">
        <v>21605.289999999997</v>
      </c>
      <c r="AB175">
        <v>36.75</v>
      </c>
      <c r="AC175">
        <v>64.069999999999993</v>
      </c>
      <c r="AD175">
        <v>33.32</v>
      </c>
      <c r="AE175">
        <v>-30.75</v>
      </c>
      <c r="AF175">
        <v>21504.469999999998</v>
      </c>
      <c r="AG175">
        <v>21571.969999999998</v>
      </c>
      <c r="AH175">
        <v>67.500000000000014</v>
      </c>
      <c r="AI175">
        <v>7550.2300000000077</v>
      </c>
      <c r="AJ175">
        <v>0</v>
      </c>
      <c r="AK175">
        <v>-7550.2300000000077</v>
      </c>
      <c r="AL175">
        <v>13954.240000000003</v>
      </c>
      <c r="AM175">
        <v>21571.969999999998</v>
      </c>
      <c r="AN175">
        <v>7617.7300000000087</v>
      </c>
      <c r="AO175">
        <v>450</v>
      </c>
    </row>
    <row r="176" spans="1:41" x14ac:dyDescent="0.35">
      <c r="A176">
        <v>2024</v>
      </c>
      <c r="B176">
        <v>5</v>
      </c>
      <c r="C176">
        <v>21</v>
      </c>
      <c r="D176" s="14">
        <v>45437</v>
      </c>
      <c r="E176" t="s">
        <v>44</v>
      </c>
      <c r="F176" t="s">
        <v>47</v>
      </c>
      <c r="G176" t="s">
        <v>51</v>
      </c>
      <c r="H176">
        <v>25227.9</v>
      </c>
      <c r="I176">
        <v>25227.9</v>
      </c>
      <c r="J176">
        <v>0</v>
      </c>
      <c r="K176">
        <v>46</v>
      </c>
      <c r="L176">
        <v>46</v>
      </c>
      <c r="M176">
        <v>0</v>
      </c>
      <c r="N176">
        <v>0</v>
      </c>
      <c r="O176">
        <v>0</v>
      </c>
      <c r="P176">
        <v>0</v>
      </c>
      <c r="Q176">
        <v>-6168.8500000000013</v>
      </c>
      <c r="R176">
        <v>-6168.8500000000013</v>
      </c>
      <c r="S176">
        <v>0</v>
      </c>
      <c r="T176">
        <v>-4</v>
      </c>
      <c r="U176">
        <v>-4</v>
      </c>
      <c r="V176">
        <v>0</v>
      </c>
      <c r="W176">
        <v>0</v>
      </c>
      <c r="X176">
        <v>0</v>
      </c>
      <c r="Y176">
        <v>0</v>
      </c>
      <c r="Z176">
        <v>19101.050000000003</v>
      </c>
      <c r="AA176">
        <v>19101.050000000003</v>
      </c>
      <c r="AB176">
        <v>0</v>
      </c>
      <c r="AC176">
        <v>49.98</v>
      </c>
      <c r="AE176">
        <v>-49.98</v>
      </c>
      <c r="AF176">
        <v>19051.070000000007</v>
      </c>
      <c r="AG176">
        <v>19101.050000000003</v>
      </c>
      <c r="AH176">
        <v>49.97999999999999</v>
      </c>
      <c r="AI176">
        <v>6562.3399999999901</v>
      </c>
      <c r="AJ176">
        <v>10.71</v>
      </c>
      <c r="AK176">
        <v>-6551.6299999999901</v>
      </c>
      <c r="AL176">
        <v>12488.72999999999</v>
      </c>
      <c r="AM176">
        <v>19090.340000000004</v>
      </c>
      <c r="AN176">
        <v>6601.6099999999897</v>
      </c>
      <c r="AO176">
        <v>403</v>
      </c>
    </row>
    <row r="177" spans="1:41" x14ac:dyDescent="0.35">
      <c r="A177">
        <v>2024</v>
      </c>
      <c r="B177">
        <v>5</v>
      </c>
      <c r="C177">
        <v>22</v>
      </c>
      <c r="D177" s="14">
        <v>45438</v>
      </c>
      <c r="E177" t="s">
        <v>41</v>
      </c>
      <c r="F177" t="s">
        <v>42</v>
      </c>
      <c r="G177" t="s">
        <v>43</v>
      </c>
      <c r="H177">
        <v>120517.75</v>
      </c>
      <c r="I177">
        <v>120517.75</v>
      </c>
      <c r="J177">
        <v>0</v>
      </c>
      <c r="K177">
        <v>1474.2800000000179</v>
      </c>
      <c r="L177">
        <v>1467.2800000000177</v>
      </c>
      <c r="M177">
        <v>-7</v>
      </c>
      <c r="N177">
        <v>2852.0099999999888</v>
      </c>
      <c r="O177">
        <v>2852.0099999999888</v>
      </c>
      <c r="P177">
        <v>0</v>
      </c>
      <c r="Q177">
        <v>-11306.7</v>
      </c>
      <c r="R177">
        <v>-9663.7000000000007</v>
      </c>
      <c r="S177">
        <v>1643</v>
      </c>
      <c r="T177">
        <v>-12.400000000000002</v>
      </c>
      <c r="U177">
        <v>-11.940000000000001</v>
      </c>
      <c r="V177">
        <v>0.46</v>
      </c>
      <c r="W177">
        <v>-113.99000000000001</v>
      </c>
      <c r="X177">
        <v>-113.99000000000001</v>
      </c>
      <c r="Y177">
        <v>0</v>
      </c>
      <c r="Z177">
        <v>113410.95000000096</v>
      </c>
      <c r="AA177">
        <v>115047.41000000098</v>
      </c>
      <c r="AB177">
        <v>1636.46</v>
      </c>
      <c r="AC177">
        <v>43020.759999999551</v>
      </c>
      <c r="AD177">
        <v>24802.959999999788</v>
      </c>
      <c r="AE177">
        <v>-18217.799999999941</v>
      </c>
      <c r="AF177">
        <v>70390.189999999871</v>
      </c>
      <c r="AG177">
        <v>90244.450000000114</v>
      </c>
      <c r="AH177">
        <v>19854.259999999922</v>
      </c>
      <c r="AI177">
        <v>-12224.079999999976</v>
      </c>
      <c r="AJ177">
        <v>0</v>
      </c>
      <c r="AK177">
        <v>12224.079999999976</v>
      </c>
      <c r="AL177">
        <v>82614.270000000048</v>
      </c>
      <c r="AM177">
        <v>90244.450000000114</v>
      </c>
      <c r="AN177">
        <v>7630.180000000064</v>
      </c>
      <c r="AO177">
        <v>2070</v>
      </c>
    </row>
    <row r="178" spans="1:41" x14ac:dyDescent="0.35">
      <c r="A178">
        <v>2024</v>
      </c>
      <c r="B178">
        <v>5</v>
      </c>
      <c r="C178">
        <v>22</v>
      </c>
      <c r="D178" s="14">
        <v>45439</v>
      </c>
      <c r="E178" t="s">
        <v>41</v>
      </c>
      <c r="F178" t="s">
        <v>42</v>
      </c>
      <c r="G178" t="s">
        <v>43</v>
      </c>
      <c r="H178">
        <v>126632.5</v>
      </c>
      <c r="I178">
        <v>126632.5</v>
      </c>
      <c r="J178">
        <v>0</v>
      </c>
      <c r="K178">
        <v>1469.0900000000142</v>
      </c>
      <c r="L178">
        <v>1469.0900000000142</v>
      </c>
      <c r="M178">
        <v>0</v>
      </c>
      <c r="N178">
        <v>2939.969999999988</v>
      </c>
      <c r="O178">
        <v>2926.9799999999882</v>
      </c>
      <c r="P178">
        <v>-12.99</v>
      </c>
      <c r="Q178">
        <v>-12501.75</v>
      </c>
      <c r="R178">
        <v>-10651.75</v>
      </c>
      <c r="S178">
        <v>1850</v>
      </c>
      <c r="T178">
        <v>-7.5900000000000007</v>
      </c>
      <c r="U178">
        <v>-7.5900000000000007</v>
      </c>
      <c r="V178">
        <v>0</v>
      </c>
      <c r="W178">
        <v>-95</v>
      </c>
      <c r="X178">
        <v>-95</v>
      </c>
      <c r="Y178">
        <v>0</v>
      </c>
      <c r="Z178">
        <v>118437.22000000138</v>
      </c>
      <c r="AA178">
        <v>120274.23000000142</v>
      </c>
      <c r="AB178">
        <v>1837.01</v>
      </c>
      <c r="AC178">
        <v>44708.029999999686</v>
      </c>
      <c r="AD178">
        <v>20362.06999999988</v>
      </c>
      <c r="AE178">
        <v>-24345.959999999825</v>
      </c>
      <c r="AF178">
        <v>73729.189999999973</v>
      </c>
      <c r="AG178">
        <v>99912.160000000586</v>
      </c>
      <c r="AH178">
        <v>26182.96999999979</v>
      </c>
      <c r="AI178">
        <v>-10125.379999999999</v>
      </c>
      <c r="AJ178">
        <v>0</v>
      </c>
      <c r="AK178">
        <v>10125.379999999999</v>
      </c>
      <c r="AL178">
        <v>83854.570000000153</v>
      </c>
      <c r="AM178">
        <v>99912.160000000586</v>
      </c>
      <c r="AN178">
        <v>16057.589999999953</v>
      </c>
      <c r="AO178">
        <v>2179</v>
      </c>
    </row>
    <row r="179" spans="1:41" x14ac:dyDescent="0.35">
      <c r="A179">
        <v>2024</v>
      </c>
      <c r="B179">
        <v>5</v>
      </c>
      <c r="C179">
        <v>22</v>
      </c>
      <c r="D179" s="14">
        <v>45440</v>
      </c>
      <c r="E179" t="s">
        <v>41</v>
      </c>
      <c r="F179" t="s">
        <v>42</v>
      </c>
      <c r="G179" t="s">
        <v>43</v>
      </c>
      <c r="H179">
        <v>96614.5</v>
      </c>
      <c r="I179">
        <v>96614.5</v>
      </c>
      <c r="J179">
        <v>0</v>
      </c>
      <c r="K179">
        <v>1010.3800000000105</v>
      </c>
      <c r="L179">
        <v>996.38000000001045</v>
      </c>
      <c r="M179">
        <v>-14</v>
      </c>
      <c r="N179">
        <v>2091.5100000000007</v>
      </c>
      <c r="O179">
        <v>2091.5100000000007</v>
      </c>
      <c r="P179">
        <v>0</v>
      </c>
      <c r="Q179">
        <v>-9230.5</v>
      </c>
      <c r="R179">
        <v>-8839.5</v>
      </c>
      <c r="S179">
        <v>391</v>
      </c>
      <c r="T179">
        <v>-9.67</v>
      </c>
      <c r="U179">
        <v>-9.67</v>
      </c>
      <c r="V179">
        <v>0</v>
      </c>
      <c r="W179">
        <v>-94.96</v>
      </c>
      <c r="X179">
        <v>-94.96</v>
      </c>
      <c r="Y179">
        <v>0</v>
      </c>
      <c r="Z179">
        <v>90381.260000000155</v>
      </c>
      <c r="AA179">
        <v>90758.260000000169</v>
      </c>
      <c r="AB179">
        <v>377</v>
      </c>
      <c r="AC179">
        <v>32809.559999999539</v>
      </c>
      <c r="AD179">
        <v>12730.750000000024</v>
      </c>
      <c r="AE179">
        <v>-20078.809999999932</v>
      </c>
      <c r="AF179">
        <v>57571.699999999815</v>
      </c>
      <c r="AG179">
        <v>78027.510000000038</v>
      </c>
      <c r="AH179">
        <v>20455.809999999925</v>
      </c>
      <c r="AI179">
        <v>-6365.3299999999972</v>
      </c>
      <c r="AJ179">
        <v>0</v>
      </c>
      <c r="AK179">
        <v>6365.3299999999972</v>
      </c>
      <c r="AL179">
        <v>63937.029999999788</v>
      </c>
      <c r="AM179">
        <v>78027.510000000038</v>
      </c>
      <c r="AN179">
        <v>14090.480000000023</v>
      </c>
      <c r="AO179">
        <v>1665</v>
      </c>
    </row>
    <row r="180" spans="1:41" x14ac:dyDescent="0.35">
      <c r="A180">
        <v>2024</v>
      </c>
      <c r="B180">
        <v>5</v>
      </c>
      <c r="C180">
        <v>22</v>
      </c>
      <c r="D180" s="14">
        <v>45441</v>
      </c>
      <c r="E180" t="s">
        <v>41</v>
      </c>
      <c r="F180" t="s">
        <v>42</v>
      </c>
      <c r="G180" t="s">
        <v>43</v>
      </c>
      <c r="H180">
        <v>132803</v>
      </c>
      <c r="I180">
        <v>132803</v>
      </c>
      <c r="J180">
        <v>0</v>
      </c>
      <c r="K180">
        <v>1541.2800000000168</v>
      </c>
      <c r="L180">
        <v>1548.2800000000168</v>
      </c>
      <c r="M180">
        <v>7</v>
      </c>
      <c r="N180">
        <v>2477.2799999999952</v>
      </c>
      <c r="O180">
        <v>2464.2899999999954</v>
      </c>
      <c r="P180">
        <v>-12.99</v>
      </c>
      <c r="Q180">
        <v>-13734.75</v>
      </c>
      <c r="R180">
        <v>-13304.75</v>
      </c>
      <c r="S180">
        <v>430</v>
      </c>
      <c r="T180">
        <v>-7.98</v>
      </c>
      <c r="U180">
        <v>-7.98</v>
      </c>
      <c r="V180">
        <v>0</v>
      </c>
      <c r="W180">
        <v>-129.95999999999998</v>
      </c>
      <c r="X180">
        <v>-124.96</v>
      </c>
      <c r="Y180">
        <v>5</v>
      </c>
      <c r="Z180">
        <v>122948.87000000135</v>
      </c>
      <c r="AA180">
        <v>123377.88000000137</v>
      </c>
      <c r="AB180">
        <v>429.01</v>
      </c>
      <c r="AC180">
        <v>50399.349999999751</v>
      </c>
      <c r="AD180">
        <v>37726.60999999979</v>
      </c>
      <c r="AE180">
        <v>-12672.740000000003</v>
      </c>
      <c r="AF180">
        <v>72549.519999999873</v>
      </c>
      <c r="AG180">
        <v>85651.270000000208</v>
      </c>
      <c r="AH180">
        <v>13101.749999999998</v>
      </c>
      <c r="AI180">
        <v>-18019.959999999985</v>
      </c>
      <c r="AJ180">
        <v>0</v>
      </c>
      <c r="AK180">
        <v>18019.959999999985</v>
      </c>
      <c r="AL180">
        <v>90569.480000000127</v>
      </c>
      <c r="AM180">
        <v>85651.270000000208</v>
      </c>
      <c r="AN180">
        <v>-4918.2099999999864</v>
      </c>
      <c r="AO180">
        <v>2294</v>
      </c>
    </row>
    <row r="181" spans="1:41" x14ac:dyDescent="0.35">
      <c r="A181">
        <v>2024</v>
      </c>
      <c r="B181">
        <v>5</v>
      </c>
      <c r="C181">
        <v>22</v>
      </c>
      <c r="D181" s="14">
        <v>45442</v>
      </c>
      <c r="E181" t="s">
        <v>41</v>
      </c>
      <c r="F181" t="s">
        <v>42</v>
      </c>
      <c r="G181" t="s">
        <v>43</v>
      </c>
      <c r="H181">
        <v>167098.25</v>
      </c>
      <c r="I181">
        <v>167098.25</v>
      </c>
      <c r="J181">
        <v>0</v>
      </c>
      <c r="K181">
        <v>1804.9700000000275</v>
      </c>
      <c r="L181">
        <v>1804.9700000000273</v>
      </c>
      <c r="M181">
        <v>0</v>
      </c>
      <c r="N181">
        <v>2992.8899999999867</v>
      </c>
      <c r="O181">
        <v>2992.8899999999867</v>
      </c>
      <c r="P181">
        <v>0</v>
      </c>
      <c r="Q181">
        <v>-17000.5</v>
      </c>
      <c r="R181">
        <v>-14349.5</v>
      </c>
      <c r="S181">
        <v>2651</v>
      </c>
      <c r="T181">
        <v>-8.7900000000000009</v>
      </c>
      <c r="U181">
        <v>-9.7100000000000044</v>
      </c>
      <c r="V181">
        <v>-0.92</v>
      </c>
      <c r="W181">
        <v>-60</v>
      </c>
      <c r="X181">
        <v>-60</v>
      </c>
      <c r="Y181">
        <v>0</v>
      </c>
      <c r="Z181">
        <v>154826.82000000126</v>
      </c>
      <c r="AA181">
        <v>157476.90000000119</v>
      </c>
      <c r="AB181">
        <v>2650.08</v>
      </c>
      <c r="AC181">
        <v>71442.179999999964</v>
      </c>
      <c r="AD181">
        <v>33872.24999999968</v>
      </c>
      <c r="AE181">
        <v>-37569.929999999658</v>
      </c>
      <c r="AF181">
        <v>83384.640000000101</v>
      </c>
      <c r="AG181">
        <v>123604.65000000138</v>
      </c>
      <c r="AH181">
        <v>40220.009999999711</v>
      </c>
      <c r="AI181">
        <v>-16539.809999999983</v>
      </c>
      <c r="AJ181">
        <v>0</v>
      </c>
      <c r="AK181">
        <v>16539.809999999983</v>
      </c>
      <c r="AL181">
        <v>99924.450000000215</v>
      </c>
      <c r="AM181">
        <v>123604.65000000138</v>
      </c>
      <c r="AN181">
        <v>23680.19999999987</v>
      </c>
      <c r="AO181">
        <v>2891</v>
      </c>
    </row>
    <row r="182" spans="1:41" x14ac:dyDescent="0.35">
      <c r="A182">
        <v>2024</v>
      </c>
      <c r="B182">
        <v>5</v>
      </c>
      <c r="C182">
        <v>22</v>
      </c>
      <c r="D182" s="14">
        <v>45443</v>
      </c>
      <c r="E182" t="s">
        <v>41</v>
      </c>
      <c r="F182" t="s">
        <v>42</v>
      </c>
      <c r="G182" t="s">
        <v>43</v>
      </c>
      <c r="H182">
        <v>139457</v>
      </c>
      <c r="I182">
        <v>139457</v>
      </c>
      <c r="J182">
        <v>0</v>
      </c>
      <c r="K182">
        <v>1480.9700000000207</v>
      </c>
      <c r="L182">
        <v>1494.9700000000205</v>
      </c>
      <c r="M182">
        <v>14</v>
      </c>
      <c r="N182">
        <v>2760.0499999999902</v>
      </c>
      <c r="O182">
        <v>2760.0499999999902</v>
      </c>
      <c r="P182">
        <v>0</v>
      </c>
      <c r="Q182">
        <v>-13541.5</v>
      </c>
      <c r="R182">
        <v>-12439.5</v>
      </c>
      <c r="S182">
        <v>1102</v>
      </c>
      <c r="T182">
        <v>-11.280000000000006</v>
      </c>
      <c r="U182">
        <v>-11.280000000000006</v>
      </c>
      <c r="V182">
        <v>0</v>
      </c>
      <c r="W182">
        <v>-63.790000000000006</v>
      </c>
      <c r="X182">
        <v>-79.78</v>
      </c>
      <c r="Y182">
        <v>-15.99</v>
      </c>
      <c r="Z182">
        <v>130081.45000000214</v>
      </c>
      <c r="AA182">
        <v>131181.46000000217</v>
      </c>
      <c r="AB182">
        <v>1100.01</v>
      </c>
      <c r="AC182">
        <v>58851.779999999802</v>
      </c>
      <c r="AD182">
        <v>25538.77999999985</v>
      </c>
      <c r="AE182">
        <v>-33312.999999999731</v>
      </c>
      <c r="AF182">
        <v>71229.669999999896</v>
      </c>
      <c r="AG182">
        <v>105642.68000000107</v>
      </c>
      <c r="AH182">
        <v>34413.009999999726</v>
      </c>
      <c r="AI182">
        <v>-12167.599999999986</v>
      </c>
      <c r="AJ182">
        <v>0</v>
      </c>
      <c r="AK182">
        <v>12167.599999999986</v>
      </c>
      <c r="AL182">
        <v>83397.270000000135</v>
      </c>
      <c r="AM182">
        <v>105642.68000000107</v>
      </c>
      <c r="AN182">
        <v>22245.409999999887</v>
      </c>
      <c r="AO182">
        <v>2412</v>
      </c>
    </row>
    <row r="183" spans="1:41" x14ac:dyDescent="0.35">
      <c r="A183">
        <v>2024</v>
      </c>
      <c r="B183">
        <v>5</v>
      </c>
      <c r="C183">
        <v>22</v>
      </c>
      <c r="D183" s="14">
        <v>45438</v>
      </c>
      <c r="E183" t="s">
        <v>44</v>
      </c>
      <c r="F183" t="s">
        <v>42</v>
      </c>
      <c r="G183" t="s">
        <v>45</v>
      </c>
      <c r="H183">
        <v>153534</v>
      </c>
      <c r="I183">
        <v>153534</v>
      </c>
      <c r="J183">
        <v>0</v>
      </c>
      <c r="K183">
        <v>1286.3800000000115</v>
      </c>
      <c r="L183">
        <v>1286.3800000000115</v>
      </c>
      <c r="M183">
        <v>0</v>
      </c>
      <c r="N183">
        <v>7288.2799999999261</v>
      </c>
      <c r="O183">
        <v>7256.2999999999265</v>
      </c>
      <c r="P183">
        <v>-31.98</v>
      </c>
      <c r="Q183">
        <v>-25415.360000000001</v>
      </c>
      <c r="R183">
        <v>-24309.15</v>
      </c>
      <c r="S183">
        <v>1106.21</v>
      </c>
      <c r="T183">
        <v>-29.960000000000004</v>
      </c>
      <c r="U183">
        <v>-29.960000000000004</v>
      </c>
      <c r="V183">
        <v>0</v>
      </c>
      <c r="W183">
        <v>-181.69</v>
      </c>
      <c r="X183">
        <v>-181.69</v>
      </c>
      <c r="Y183">
        <v>0</v>
      </c>
      <c r="Z183">
        <v>136481.65000000101</v>
      </c>
      <c r="AA183">
        <v>137555.88000000097</v>
      </c>
      <c r="AB183">
        <v>1074.23</v>
      </c>
      <c r="AC183">
        <v>37588.4099999998</v>
      </c>
      <c r="AD183">
        <v>21786.47999999993</v>
      </c>
      <c r="AE183">
        <v>-15801.929999999918</v>
      </c>
      <c r="AF183">
        <v>98893.240000000093</v>
      </c>
      <c r="AG183">
        <v>115769.40000000068</v>
      </c>
      <c r="AH183">
        <v>16876.15999999992</v>
      </c>
      <c r="AI183">
        <v>-10580.66</v>
      </c>
      <c r="AJ183">
        <v>0</v>
      </c>
      <c r="AK183">
        <v>10580.66</v>
      </c>
      <c r="AL183">
        <v>109473.89999999985</v>
      </c>
      <c r="AM183">
        <v>115769.40000000068</v>
      </c>
      <c r="AN183">
        <v>6295.50000000001</v>
      </c>
      <c r="AO183">
        <v>1980</v>
      </c>
    </row>
    <row r="184" spans="1:41" x14ac:dyDescent="0.35">
      <c r="A184">
        <v>2024</v>
      </c>
      <c r="B184">
        <v>5</v>
      </c>
      <c r="C184">
        <v>22</v>
      </c>
      <c r="D184" s="14">
        <v>45439</v>
      </c>
      <c r="E184" t="s">
        <v>44</v>
      </c>
      <c r="F184" t="s">
        <v>42</v>
      </c>
      <c r="G184" t="s">
        <v>45</v>
      </c>
      <c r="H184">
        <v>155890.5</v>
      </c>
      <c r="I184">
        <v>155890.5</v>
      </c>
      <c r="J184">
        <v>0</v>
      </c>
      <c r="K184">
        <v>1240.1000000000092</v>
      </c>
      <c r="L184">
        <v>1240.1000000000092</v>
      </c>
      <c r="M184">
        <v>0</v>
      </c>
      <c r="N184">
        <v>6952.4999999999318</v>
      </c>
      <c r="O184">
        <v>6907.5299999999324</v>
      </c>
      <c r="P184">
        <v>-44.97</v>
      </c>
      <c r="Q184">
        <v>-25923.600000000002</v>
      </c>
      <c r="R184">
        <v>-24940.600000000002</v>
      </c>
      <c r="S184">
        <v>983</v>
      </c>
      <c r="T184">
        <v>-23.78</v>
      </c>
      <c r="U184">
        <v>-23.78</v>
      </c>
      <c r="V184">
        <v>0</v>
      </c>
      <c r="W184">
        <v>-170.39</v>
      </c>
      <c r="X184">
        <v>-170.39</v>
      </c>
      <c r="Y184">
        <v>0</v>
      </c>
      <c r="Z184">
        <v>137965.33000000086</v>
      </c>
      <c r="AA184">
        <v>138903.36000000083</v>
      </c>
      <c r="AB184">
        <v>938.03</v>
      </c>
      <c r="AC184">
        <v>39314.259999999755</v>
      </c>
      <c r="AD184">
        <v>18307.369999999944</v>
      </c>
      <c r="AE184">
        <v>-21006.889999999938</v>
      </c>
      <c r="AF184">
        <v>98651.070000000283</v>
      </c>
      <c r="AG184">
        <v>120595.99000000085</v>
      </c>
      <c r="AH184">
        <v>21944.919999999936</v>
      </c>
      <c r="AI184">
        <v>-8878.7000000000116</v>
      </c>
      <c r="AJ184">
        <v>0</v>
      </c>
      <c r="AK184">
        <v>8878.7000000000116</v>
      </c>
      <c r="AL184">
        <v>107529.77000000016</v>
      </c>
      <c r="AM184">
        <v>120595.99000000085</v>
      </c>
      <c r="AN184">
        <v>13066.21999999991</v>
      </c>
      <c r="AO184">
        <v>1995</v>
      </c>
    </row>
    <row r="185" spans="1:41" x14ac:dyDescent="0.35">
      <c r="A185">
        <v>2024</v>
      </c>
      <c r="B185">
        <v>5</v>
      </c>
      <c r="C185">
        <v>22</v>
      </c>
      <c r="D185" s="14">
        <v>45440</v>
      </c>
      <c r="E185" t="s">
        <v>44</v>
      </c>
      <c r="F185" t="s">
        <v>42</v>
      </c>
      <c r="G185" t="s">
        <v>45</v>
      </c>
      <c r="H185">
        <v>115557.5</v>
      </c>
      <c r="I185">
        <v>115557.5</v>
      </c>
      <c r="J185">
        <v>0</v>
      </c>
      <c r="K185">
        <v>878.09000000000515</v>
      </c>
      <c r="L185">
        <v>878.09000000000515</v>
      </c>
      <c r="M185">
        <v>0</v>
      </c>
      <c r="N185">
        <v>5267.6499999999569</v>
      </c>
      <c r="O185">
        <v>5216.6799999999575</v>
      </c>
      <c r="P185">
        <v>-50.970000000000006</v>
      </c>
      <c r="Q185">
        <v>-19033.45</v>
      </c>
      <c r="R185">
        <v>-18993.45</v>
      </c>
      <c r="S185">
        <v>40</v>
      </c>
      <c r="T185">
        <v>-1.45</v>
      </c>
      <c r="U185">
        <v>-1.45</v>
      </c>
      <c r="V185">
        <v>0</v>
      </c>
      <c r="W185">
        <v>-74.5</v>
      </c>
      <c r="X185">
        <v>-74.5</v>
      </c>
      <c r="Y185">
        <v>0</v>
      </c>
      <c r="Z185">
        <v>102593.84000000053</v>
      </c>
      <c r="AA185">
        <v>102582.87000000052</v>
      </c>
      <c r="AB185">
        <v>-10.969999999999978</v>
      </c>
      <c r="AC185">
        <v>28514.37999999995</v>
      </c>
      <c r="AD185">
        <v>10685.209999999983</v>
      </c>
      <c r="AE185">
        <v>-17829.169999999951</v>
      </c>
      <c r="AF185">
        <v>74079.460000000079</v>
      </c>
      <c r="AG185">
        <v>91897.660000000382</v>
      </c>
      <c r="AH185">
        <v>17818.199999999953</v>
      </c>
      <c r="AI185">
        <v>-5183.0600000000077</v>
      </c>
      <c r="AJ185">
        <v>0</v>
      </c>
      <c r="AK185">
        <v>5183.0600000000077</v>
      </c>
      <c r="AL185">
        <v>79262.520000000048</v>
      </c>
      <c r="AM185">
        <v>91897.660000000382</v>
      </c>
      <c r="AN185">
        <v>12635.139999999936</v>
      </c>
      <c r="AO185">
        <v>1462</v>
      </c>
    </row>
    <row r="186" spans="1:41" x14ac:dyDescent="0.35">
      <c r="A186">
        <v>2024</v>
      </c>
      <c r="B186">
        <v>5</v>
      </c>
      <c r="C186">
        <v>22</v>
      </c>
      <c r="D186" s="14">
        <v>45441</v>
      </c>
      <c r="E186" t="s">
        <v>44</v>
      </c>
      <c r="F186" t="s">
        <v>42</v>
      </c>
      <c r="G186" t="s">
        <v>45</v>
      </c>
      <c r="H186">
        <v>147671.5</v>
      </c>
      <c r="I186">
        <v>147671.5</v>
      </c>
      <c r="J186">
        <v>0</v>
      </c>
      <c r="K186">
        <v>1160.7300000000084</v>
      </c>
      <c r="L186">
        <v>1160.7300000000084</v>
      </c>
      <c r="M186">
        <v>0</v>
      </c>
      <c r="N186">
        <v>6062.1899999999459</v>
      </c>
      <c r="O186">
        <v>6030.2099999999464</v>
      </c>
      <c r="P186">
        <v>-31.980000000000004</v>
      </c>
      <c r="Q186">
        <v>-24982.95</v>
      </c>
      <c r="R186">
        <v>-24952.95</v>
      </c>
      <c r="S186">
        <v>30</v>
      </c>
      <c r="T186">
        <v>-19.299999999999997</v>
      </c>
      <c r="U186">
        <v>-19.299999999999997</v>
      </c>
      <c r="V186">
        <v>0</v>
      </c>
      <c r="W186">
        <v>-127.4</v>
      </c>
      <c r="X186">
        <v>-127.4</v>
      </c>
      <c r="Y186">
        <v>0</v>
      </c>
      <c r="Z186">
        <v>129764.77000000086</v>
      </c>
      <c r="AA186">
        <v>129762.79000000087</v>
      </c>
      <c r="AB186">
        <v>-1.980000000000004</v>
      </c>
      <c r="AC186">
        <v>36847.569999999854</v>
      </c>
      <c r="AD186">
        <v>26342.989999999911</v>
      </c>
      <c r="AE186">
        <v>-10504.579999999991</v>
      </c>
      <c r="AF186">
        <v>92917.200000000317</v>
      </c>
      <c r="AG186">
        <v>103419.80000000035</v>
      </c>
      <c r="AH186">
        <v>10502.599999999989</v>
      </c>
      <c r="AI186">
        <v>-12570.820000000036</v>
      </c>
      <c r="AJ186">
        <v>0</v>
      </c>
      <c r="AK186">
        <v>12570.820000000036</v>
      </c>
      <c r="AL186">
        <v>105488.02000000002</v>
      </c>
      <c r="AM186">
        <v>103419.80000000035</v>
      </c>
      <c r="AN186">
        <v>-2068.2199999999971</v>
      </c>
      <c r="AO186">
        <v>1884</v>
      </c>
    </row>
    <row r="187" spans="1:41" x14ac:dyDescent="0.35">
      <c r="A187">
        <v>2024</v>
      </c>
      <c r="B187">
        <v>5</v>
      </c>
      <c r="C187">
        <v>22</v>
      </c>
      <c r="D187" s="14">
        <v>45442</v>
      </c>
      <c r="E187" t="s">
        <v>44</v>
      </c>
      <c r="F187" t="s">
        <v>42</v>
      </c>
      <c r="G187" t="s">
        <v>45</v>
      </c>
      <c r="H187">
        <v>174959.5</v>
      </c>
      <c r="I187">
        <v>174959.5</v>
      </c>
      <c r="J187">
        <v>0</v>
      </c>
      <c r="K187">
        <v>1205.1100000000115</v>
      </c>
      <c r="L187">
        <v>1205.1100000000115</v>
      </c>
      <c r="M187">
        <v>0</v>
      </c>
      <c r="N187">
        <v>6528.8599999999387</v>
      </c>
      <c r="O187">
        <v>6512.869999999939</v>
      </c>
      <c r="P187">
        <v>-15.99</v>
      </c>
      <c r="Q187">
        <v>-28958.3</v>
      </c>
      <c r="R187">
        <v>-26970.3</v>
      </c>
      <c r="S187">
        <v>1988</v>
      </c>
      <c r="T187">
        <v>-26.020000000000003</v>
      </c>
      <c r="U187">
        <v>-26.020000000000003</v>
      </c>
      <c r="V187">
        <v>0</v>
      </c>
      <c r="W187">
        <v>-121.2</v>
      </c>
      <c r="X187">
        <v>-121.2</v>
      </c>
      <c r="Y187">
        <v>0</v>
      </c>
      <c r="Z187">
        <v>153587.9500000001</v>
      </c>
      <c r="AA187">
        <v>155559.96000000011</v>
      </c>
      <c r="AB187">
        <v>1972.01</v>
      </c>
      <c r="AC187">
        <v>46300.039999999666</v>
      </c>
      <c r="AD187">
        <v>20417.229999999938</v>
      </c>
      <c r="AE187">
        <v>-25882.809999999972</v>
      </c>
      <c r="AF187">
        <v>107287.91000000038</v>
      </c>
      <c r="AG187">
        <v>135142.73000000077</v>
      </c>
      <c r="AH187">
        <v>27854.819999999971</v>
      </c>
      <c r="AI187">
        <v>-9249.4800000000014</v>
      </c>
      <c r="AJ187">
        <v>0</v>
      </c>
      <c r="AK187">
        <v>9249.4800000000014</v>
      </c>
      <c r="AL187">
        <v>116537.38999999991</v>
      </c>
      <c r="AM187">
        <v>135142.73000000077</v>
      </c>
      <c r="AN187">
        <v>18605.339999999909</v>
      </c>
      <c r="AO187">
        <v>2256</v>
      </c>
    </row>
    <row r="188" spans="1:41" x14ac:dyDescent="0.35">
      <c r="A188">
        <v>2024</v>
      </c>
      <c r="B188">
        <v>5</v>
      </c>
      <c r="C188">
        <v>22</v>
      </c>
      <c r="D188" s="14">
        <v>45443</v>
      </c>
      <c r="E188" t="s">
        <v>44</v>
      </c>
      <c r="F188" t="s">
        <v>42</v>
      </c>
      <c r="G188" t="s">
        <v>45</v>
      </c>
      <c r="H188">
        <v>148565</v>
      </c>
      <c r="I188">
        <v>148565</v>
      </c>
      <c r="J188">
        <v>0</v>
      </c>
      <c r="K188">
        <v>906.3500000000048</v>
      </c>
      <c r="L188">
        <v>906.3500000000048</v>
      </c>
      <c r="M188">
        <v>0</v>
      </c>
      <c r="N188">
        <v>5570.3699999999508</v>
      </c>
      <c r="O188">
        <v>5570.3699999999508</v>
      </c>
      <c r="P188">
        <v>0</v>
      </c>
      <c r="Q188">
        <v>-24437.1</v>
      </c>
      <c r="R188">
        <v>-23239.1</v>
      </c>
      <c r="S188">
        <v>1198</v>
      </c>
      <c r="T188">
        <v>-14.09</v>
      </c>
      <c r="U188">
        <v>-14.09</v>
      </c>
      <c r="V188">
        <v>0</v>
      </c>
      <c r="W188">
        <v>-101.28</v>
      </c>
      <c r="X188">
        <v>-101.28</v>
      </c>
      <c r="Y188">
        <v>0</v>
      </c>
      <c r="Z188">
        <v>130489.25000000084</v>
      </c>
      <c r="AA188">
        <v>131687.25000000081</v>
      </c>
      <c r="AB188">
        <v>1198</v>
      </c>
      <c r="AC188">
        <v>37184.969999999834</v>
      </c>
      <c r="AD188">
        <v>17259.369999999948</v>
      </c>
      <c r="AE188">
        <v>-19925.599999999948</v>
      </c>
      <c r="AF188">
        <v>93304.280000000159</v>
      </c>
      <c r="AG188">
        <v>114427.88000000048</v>
      </c>
      <c r="AH188">
        <v>21123.599999999944</v>
      </c>
      <c r="AI188">
        <v>-8258.5200000000059</v>
      </c>
      <c r="AJ188">
        <v>0</v>
      </c>
      <c r="AK188">
        <v>8258.5200000000059</v>
      </c>
      <c r="AL188">
        <v>101562.80000000002</v>
      </c>
      <c r="AM188">
        <v>114427.88000000048</v>
      </c>
      <c r="AN188">
        <v>12865.079999999934</v>
      </c>
      <c r="AO188">
        <v>1951</v>
      </c>
    </row>
    <row r="189" spans="1:41" x14ac:dyDescent="0.35">
      <c r="A189">
        <v>2024</v>
      </c>
      <c r="B189">
        <v>5</v>
      </c>
      <c r="C189">
        <v>22</v>
      </c>
      <c r="D189" s="14">
        <v>45438</v>
      </c>
      <c r="E189" t="s">
        <v>44</v>
      </c>
      <c r="F189" t="s">
        <v>42</v>
      </c>
      <c r="G189" t="s">
        <v>46</v>
      </c>
      <c r="H189">
        <v>59006.43</v>
      </c>
      <c r="I189">
        <v>59006.43</v>
      </c>
      <c r="J189">
        <v>0</v>
      </c>
      <c r="K189">
        <v>402.13999999999896</v>
      </c>
      <c r="L189">
        <v>402.13999999999896</v>
      </c>
      <c r="M189">
        <v>0</v>
      </c>
      <c r="N189">
        <v>1601.9500000000007</v>
      </c>
      <c r="O189">
        <v>1601.9500000000007</v>
      </c>
      <c r="P189">
        <v>0</v>
      </c>
      <c r="Q189">
        <v>-20229.78</v>
      </c>
      <c r="R189">
        <v>-19845.78</v>
      </c>
      <c r="S189">
        <v>384</v>
      </c>
      <c r="T189">
        <v>0</v>
      </c>
      <c r="U189">
        <v>0</v>
      </c>
      <c r="V189">
        <v>0</v>
      </c>
      <c r="W189">
        <v>-30</v>
      </c>
      <c r="X189">
        <v>-30</v>
      </c>
      <c r="Y189">
        <v>0</v>
      </c>
      <c r="Z189">
        <v>40750.739999999932</v>
      </c>
      <c r="AA189">
        <v>41134.739999999932</v>
      </c>
      <c r="AB189">
        <v>384</v>
      </c>
      <c r="AC189">
        <v>14591.509999999951</v>
      </c>
      <c r="AD189">
        <v>7827.3600000000115</v>
      </c>
      <c r="AE189">
        <v>-6764.1500000000078</v>
      </c>
      <c r="AF189">
        <v>26159.230000000043</v>
      </c>
      <c r="AG189">
        <v>33307.380000000026</v>
      </c>
      <c r="AH189">
        <v>7148.1500000000078</v>
      </c>
      <c r="AI189">
        <v>-2535.7100000000028</v>
      </c>
      <c r="AJ189">
        <v>0</v>
      </c>
      <c r="AK189">
        <v>2535.7100000000028</v>
      </c>
      <c r="AL189">
        <v>28694.940000000039</v>
      </c>
      <c r="AM189">
        <v>33307.380000000026</v>
      </c>
      <c r="AN189">
        <v>4612.4400000000041</v>
      </c>
      <c r="AO189">
        <v>680</v>
      </c>
    </row>
    <row r="190" spans="1:41" x14ac:dyDescent="0.35">
      <c r="A190">
        <v>2024</v>
      </c>
      <c r="B190">
        <v>5</v>
      </c>
      <c r="C190">
        <v>22</v>
      </c>
      <c r="D190" s="14">
        <v>45439</v>
      </c>
      <c r="E190" t="s">
        <v>44</v>
      </c>
      <c r="F190" t="s">
        <v>42</v>
      </c>
      <c r="G190" t="s">
        <v>46</v>
      </c>
      <c r="H190">
        <v>52020.47</v>
      </c>
      <c r="I190">
        <v>52020.47</v>
      </c>
      <c r="J190">
        <v>0</v>
      </c>
      <c r="K190">
        <v>301.2999999999991</v>
      </c>
      <c r="L190">
        <v>301.2999999999991</v>
      </c>
      <c r="M190">
        <v>0</v>
      </c>
      <c r="N190">
        <v>1613.9800000000007</v>
      </c>
      <c r="O190">
        <v>1613.9800000000007</v>
      </c>
      <c r="P190">
        <v>0</v>
      </c>
      <c r="Q190">
        <v>-18275.98</v>
      </c>
      <c r="R190">
        <v>-17971.98</v>
      </c>
      <c r="S190">
        <v>304</v>
      </c>
      <c r="T190">
        <v>0</v>
      </c>
      <c r="U190">
        <v>0</v>
      </c>
      <c r="V190">
        <v>0</v>
      </c>
      <c r="W190">
        <v>-30.7</v>
      </c>
      <c r="X190">
        <v>-30.7</v>
      </c>
      <c r="Y190">
        <v>0</v>
      </c>
      <c r="Z190">
        <v>35629.07</v>
      </c>
      <c r="AA190">
        <v>35933.070000000007</v>
      </c>
      <c r="AB190">
        <v>304</v>
      </c>
      <c r="AC190">
        <v>13193.249999999962</v>
      </c>
      <c r="AD190">
        <v>5682.0500000000075</v>
      </c>
      <c r="AE190">
        <v>-7511.2000000000089</v>
      </c>
      <c r="AF190">
        <v>22435.820000000051</v>
      </c>
      <c r="AG190">
        <v>30251.020000000037</v>
      </c>
      <c r="AH190">
        <v>7815.2000000000089</v>
      </c>
      <c r="AI190">
        <v>-2029.1899999999994</v>
      </c>
      <c r="AJ190">
        <v>0</v>
      </c>
      <c r="AK190">
        <v>2029.1899999999994</v>
      </c>
      <c r="AL190">
        <v>24465.010000000035</v>
      </c>
      <c r="AM190">
        <v>30251.020000000037</v>
      </c>
      <c r="AN190">
        <v>5786.0100000000102</v>
      </c>
      <c r="AO190">
        <v>583</v>
      </c>
    </row>
    <row r="191" spans="1:41" x14ac:dyDescent="0.35">
      <c r="A191">
        <v>2024</v>
      </c>
      <c r="B191">
        <v>5</v>
      </c>
      <c r="C191">
        <v>22</v>
      </c>
      <c r="D191" s="14">
        <v>45440</v>
      </c>
      <c r="E191" t="s">
        <v>44</v>
      </c>
      <c r="F191" t="s">
        <v>42</v>
      </c>
      <c r="G191" t="s">
        <v>46</v>
      </c>
      <c r="H191">
        <v>35691.01</v>
      </c>
      <c r="I191">
        <v>35691.01</v>
      </c>
      <c r="J191">
        <v>0</v>
      </c>
      <c r="K191">
        <v>132.03999999999996</v>
      </c>
      <c r="L191">
        <v>132.03999999999996</v>
      </c>
      <c r="M191">
        <v>0</v>
      </c>
      <c r="N191">
        <v>1124.3000000000004</v>
      </c>
      <c r="O191">
        <v>1124.3000000000004</v>
      </c>
      <c r="P191">
        <v>0</v>
      </c>
      <c r="Q191">
        <v>-12554.570000000003</v>
      </c>
      <c r="R191">
        <v>-12554.570000000003</v>
      </c>
      <c r="S191">
        <v>0</v>
      </c>
      <c r="T191">
        <v>0</v>
      </c>
      <c r="U191">
        <v>0</v>
      </c>
      <c r="V191">
        <v>0</v>
      </c>
      <c r="W191">
        <v>-5.7</v>
      </c>
      <c r="X191">
        <v>-5.7</v>
      </c>
      <c r="Y191">
        <v>0</v>
      </c>
      <c r="Z191">
        <v>24387.080000000009</v>
      </c>
      <c r="AA191">
        <v>24387.080000000009</v>
      </c>
      <c r="AB191">
        <v>0</v>
      </c>
      <c r="AC191">
        <v>8353.8500000000095</v>
      </c>
      <c r="AD191">
        <v>3036.3800000000028</v>
      </c>
      <c r="AE191">
        <v>-5317.4700000000057</v>
      </c>
      <c r="AF191">
        <v>16033.230000000012</v>
      </c>
      <c r="AG191">
        <v>21350.700000000015</v>
      </c>
      <c r="AH191">
        <v>5317.4700000000057</v>
      </c>
      <c r="AI191">
        <v>-1125.7499999999998</v>
      </c>
      <c r="AJ191">
        <v>0</v>
      </c>
      <c r="AK191">
        <v>1125.7499999999998</v>
      </c>
      <c r="AL191">
        <v>17158.98</v>
      </c>
      <c r="AM191">
        <v>21350.700000000015</v>
      </c>
      <c r="AN191">
        <v>4191.7200000000021</v>
      </c>
      <c r="AO191">
        <v>394</v>
      </c>
    </row>
    <row r="192" spans="1:41" x14ac:dyDescent="0.35">
      <c r="A192">
        <v>2024</v>
      </c>
      <c r="B192">
        <v>5</v>
      </c>
      <c r="C192">
        <v>22</v>
      </c>
      <c r="D192" s="14">
        <v>45441</v>
      </c>
      <c r="E192" t="s">
        <v>44</v>
      </c>
      <c r="F192" t="s">
        <v>42</v>
      </c>
      <c r="G192" t="s">
        <v>46</v>
      </c>
      <c r="H192">
        <v>46532.310000000005</v>
      </c>
      <c r="I192">
        <v>46532.310000000005</v>
      </c>
      <c r="J192">
        <v>0</v>
      </c>
      <c r="K192">
        <v>412.22999999999934</v>
      </c>
      <c r="L192">
        <v>412.22999999999934</v>
      </c>
      <c r="M192">
        <v>0</v>
      </c>
      <c r="N192">
        <v>1039.3600000000004</v>
      </c>
      <c r="O192">
        <v>1039.3600000000004</v>
      </c>
      <c r="P192">
        <v>0</v>
      </c>
      <c r="Q192">
        <v>-16204.630000000005</v>
      </c>
      <c r="R192">
        <v>-16204.630000000005</v>
      </c>
      <c r="S192">
        <v>0</v>
      </c>
      <c r="T192">
        <v>-0.92</v>
      </c>
      <c r="U192">
        <v>-0.92</v>
      </c>
      <c r="V192">
        <v>0</v>
      </c>
      <c r="W192">
        <v>-10</v>
      </c>
      <c r="X192">
        <v>-10</v>
      </c>
      <c r="Y192">
        <v>0</v>
      </c>
      <c r="Z192">
        <v>31768.350000000006</v>
      </c>
      <c r="AA192">
        <v>31768.350000000006</v>
      </c>
      <c r="AB192">
        <v>0</v>
      </c>
      <c r="AC192">
        <v>11120.789999999985</v>
      </c>
      <c r="AD192">
        <v>8130.6200000000072</v>
      </c>
      <c r="AE192">
        <v>-2990.170000000001</v>
      </c>
      <c r="AF192">
        <v>20647.560000000027</v>
      </c>
      <c r="AG192">
        <v>23637.730000000021</v>
      </c>
      <c r="AH192">
        <v>2990.170000000001</v>
      </c>
      <c r="AI192">
        <v>-2800.4400000000005</v>
      </c>
      <c r="AJ192">
        <v>0</v>
      </c>
      <c r="AK192">
        <v>2800.4400000000005</v>
      </c>
      <c r="AL192">
        <v>23448.000000000007</v>
      </c>
      <c r="AM192">
        <v>23637.730000000021</v>
      </c>
      <c r="AN192">
        <v>189.72999999999917</v>
      </c>
      <c r="AO192">
        <v>534</v>
      </c>
    </row>
    <row r="193" spans="1:41" x14ac:dyDescent="0.35">
      <c r="A193">
        <v>2024</v>
      </c>
      <c r="B193">
        <v>5</v>
      </c>
      <c r="C193">
        <v>22</v>
      </c>
      <c r="D193" s="14">
        <v>45442</v>
      </c>
      <c r="E193" t="s">
        <v>44</v>
      </c>
      <c r="F193" t="s">
        <v>42</v>
      </c>
      <c r="G193" t="s">
        <v>46</v>
      </c>
      <c r="H193">
        <v>63396.380000000005</v>
      </c>
      <c r="I193">
        <v>63396.380000000005</v>
      </c>
      <c r="J193">
        <v>0</v>
      </c>
      <c r="K193">
        <v>343.2599999999992</v>
      </c>
      <c r="L193">
        <v>343.2599999999992</v>
      </c>
      <c r="M193">
        <v>0</v>
      </c>
      <c r="N193">
        <v>1398.1200000000006</v>
      </c>
      <c r="O193">
        <v>1398.1200000000006</v>
      </c>
      <c r="P193">
        <v>0</v>
      </c>
      <c r="Q193">
        <v>-22162.38</v>
      </c>
      <c r="R193">
        <v>-21283.38</v>
      </c>
      <c r="S193">
        <v>879</v>
      </c>
      <c r="T193">
        <v>-0.46</v>
      </c>
      <c r="U193">
        <v>-0.46</v>
      </c>
      <c r="V193">
        <v>0</v>
      </c>
      <c r="W193">
        <v>-10.7</v>
      </c>
      <c r="X193">
        <v>-10.7</v>
      </c>
      <c r="Y193">
        <v>0</v>
      </c>
      <c r="Z193">
        <v>42964.219999999907</v>
      </c>
      <c r="AA193">
        <v>43843.219999999885</v>
      </c>
      <c r="AB193">
        <v>879</v>
      </c>
      <c r="AC193">
        <v>15858.239999999952</v>
      </c>
      <c r="AD193">
        <v>8032.4700000000084</v>
      </c>
      <c r="AE193">
        <v>-7825.7700000000086</v>
      </c>
      <c r="AF193">
        <v>27105.98000000005</v>
      </c>
      <c r="AG193">
        <v>35810.750000000029</v>
      </c>
      <c r="AH193">
        <v>8704.7700000000041</v>
      </c>
      <c r="AI193">
        <v>-2621.7100000000023</v>
      </c>
      <c r="AJ193">
        <v>0</v>
      </c>
      <c r="AK193">
        <v>2621.7100000000023</v>
      </c>
      <c r="AL193">
        <v>29727.690000000061</v>
      </c>
      <c r="AM193">
        <v>35810.750000000029</v>
      </c>
      <c r="AN193">
        <v>6083.0600000000113</v>
      </c>
      <c r="AO193">
        <v>722</v>
      </c>
    </row>
    <row r="194" spans="1:41" x14ac:dyDescent="0.35">
      <c r="A194">
        <v>2024</v>
      </c>
      <c r="B194">
        <v>5</v>
      </c>
      <c r="C194">
        <v>22</v>
      </c>
      <c r="D194" s="14">
        <v>45443</v>
      </c>
      <c r="E194" t="s">
        <v>44</v>
      </c>
      <c r="F194" t="s">
        <v>42</v>
      </c>
      <c r="G194" t="s">
        <v>46</v>
      </c>
      <c r="H194">
        <v>55744.91</v>
      </c>
      <c r="I194">
        <v>55744.91</v>
      </c>
      <c r="J194">
        <v>0</v>
      </c>
      <c r="K194">
        <v>319.9899999999991</v>
      </c>
      <c r="L194">
        <v>319.9899999999991</v>
      </c>
      <c r="M194">
        <v>0</v>
      </c>
      <c r="N194">
        <v>1338.1400000000006</v>
      </c>
      <c r="O194">
        <v>1322.1500000000005</v>
      </c>
      <c r="P194">
        <v>-15.99</v>
      </c>
      <c r="Q194">
        <v>-18525.390000000003</v>
      </c>
      <c r="R194">
        <v>-17764.930000000004</v>
      </c>
      <c r="S194">
        <v>760.46</v>
      </c>
      <c r="T194">
        <v>-5</v>
      </c>
      <c r="U194">
        <v>-5</v>
      </c>
      <c r="V194">
        <v>0</v>
      </c>
      <c r="W194">
        <v>-10</v>
      </c>
      <c r="X194">
        <v>-10</v>
      </c>
      <c r="Y194">
        <v>0</v>
      </c>
      <c r="Z194">
        <v>38862.649999999958</v>
      </c>
      <c r="AA194">
        <v>39607.119999999944</v>
      </c>
      <c r="AB194">
        <v>744.47</v>
      </c>
      <c r="AC194">
        <v>13536.549999999967</v>
      </c>
      <c r="AD194">
        <v>5785.6700000000073</v>
      </c>
      <c r="AE194">
        <v>-7750.8800000000083</v>
      </c>
      <c r="AF194">
        <v>25326.100000000006</v>
      </c>
      <c r="AG194">
        <v>33821.450000000004</v>
      </c>
      <c r="AH194">
        <v>8495.3500000000058</v>
      </c>
      <c r="AI194">
        <v>-1778.1299999999992</v>
      </c>
      <c r="AJ194">
        <v>0</v>
      </c>
      <c r="AK194">
        <v>1778.1299999999992</v>
      </c>
      <c r="AL194">
        <v>27104.229999999981</v>
      </c>
      <c r="AM194">
        <v>33821.450000000004</v>
      </c>
      <c r="AN194">
        <v>6717.220000000003</v>
      </c>
      <c r="AO194">
        <v>640</v>
      </c>
    </row>
    <row r="195" spans="1:41" x14ac:dyDescent="0.35">
      <c r="A195">
        <v>2024</v>
      </c>
      <c r="B195">
        <v>5</v>
      </c>
      <c r="C195">
        <v>22</v>
      </c>
      <c r="D195" s="14">
        <v>45438</v>
      </c>
      <c r="E195" t="s">
        <v>44</v>
      </c>
      <c r="F195" t="s">
        <v>47</v>
      </c>
      <c r="G195" t="s">
        <v>48</v>
      </c>
      <c r="H195">
        <v>49280.60000000002</v>
      </c>
      <c r="I195">
        <v>49280.60000000002</v>
      </c>
      <c r="J195">
        <v>0</v>
      </c>
      <c r="K195">
        <v>1004.8200000000006</v>
      </c>
      <c r="L195">
        <v>1004.8200000000006</v>
      </c>
      <c r="M195">
        <v>0</v>
      </c>
      <c r="N195">
        <v>0</v>
      </c>
      <c r="O195">
        <v>0</v>
      </c>
      <c r="P195">
        <v>0</v>
      </c>
      <c r="Q195">
        <v>-9014.5</v>
      </c>
      <c r="R195">
        <v>-9014.5</v>
      </c>
      <c r="S195">
        <v>0</v>
      </c>
      <c r="T195">
        <v>-12.5</v>
      </c>
      <c r="U195">
        <v>-12.5</v>
      </c>
      <c r="V195">
        <v>0</v>
      </c>
      <c r="W195">
        <v>0</v>
      </c>
      <c r="X195">
        <v>0</v>
      </c>
      <c r="Y195">
        <v>0</v>
      </c>
      <c r="Z195">
        <v>41258.419999999976</v>
      </c>
      <c r="AA195">
        <v>41258.419999999976</v>
      </c>
      <c r="AB195">
        <v>0</v>
      </c>
      <c r="AC195">
        <v>785.95000000000039</v>
      </c>
      <c r="AD195">
        <v>69.73</v>
      </c>
      <c r="AE195">
        <v>-716.22000000000037</v>
      </c>
      <c r="AF195">
        <v>40472.469999999972</v>
      </c>
      <c r="AG195">
        <v>41188.689999999981</v>
      </c>
      <c r="AH195">
        <v>716.22000000000037</v>
      </c>
      <c r="AI195">
        <v>13210.360000000004</v>
      </c>
      <c r="AJ195">
        <v>0</v>
      </c>
      <c r="AK195">
        <v>-13210.360000000004</v>
      </c>
      <c r="AL195">
        <v>27262.109999999975</v>
      </c>
      <c r="AM195">
        <v>41188.689999999981</v>
      </c>
      <c r="AN195">
        <v>13926.580000000029</v>
      </c>
      <c r="AO195">
        <v>921</v>
      </c>
    </row>
    <row r="196" spans="1:41" x14ac:dyDescent="0.35">
      <c r="A196">
        <v>2024</v>
      </c>
      <c r="B196">
        <v>5</v>
      </c>
      <c r="C196">
        <v>22</v>
      </c>
      <c r="D196" s="14">
        <v>45439</v>
      </c>
      <c r="E196" t="s">
        <v>44</v>
      </c>
      <c r="F196" t="s">
        <v>47</v>
      </c>
      <c r="G196" t="s">
        <v>48</v>
      </c>
      <c r="H196">
        <v>14901.449999999999</v>
      </c>
      <c r="I196">
        <v>14901.449999999999</v>
      </c>
      <c r="J196">
        <v>0</v>
      </c>
      <c r="K196">
        <v>19.96</v>
      </c>
      <c r="L196">
        <v>19.96</v>
      </c>
      <c r="M196">
        <v>0</v>
      </c>
      <c r="N196">
        <v>0</v>
      </c>
      <c r="O196">
        <v>0</v>
      </c>
      <c r="P196">
        <v>0</v>
      </c>
      <c r="Q196">
        <v>-4890.0499999999993</v>
      </c>
      <c r="R196">
        <v>-4890.0499999999993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10031.36</v>
      </c>
      <c r="AA196">
        <v>10031.36</v>
      </c>
      <c r="AB196">
        <v>0</v>
      </c>
      <c r="AC196">
        <v>117.72999999999999</v>
      </c>
      <c r="AD196">
        <v>48</v>
      </c>
      <c r="AE196">
        <v>-69.72999999999999</v>
      </c>
      <c r="AF196">
        <v>9913.630000000001</v>
      </c>
      <c r="AG196">
        <v>9983.36</v>
      </c>
      <c r="AH196">
        <v>69.72999999999999</v>
      </c>
      <c r="AI196">
        <v>3471.5900000000024</v>
      </c>
      <c r="AJ196">
        <v>0</v>
      </c>
      <c r="AK196">
        <v>-3471.5900000000024</v>
      </c>
      <c r="AL196">
        <v>6442.0400000000036</v>
      </c>
      <c r="AM196">
        <v>9983.36</v>
      </c>
      <c r="AN196">
        <v>3541.320000000002</v>
      </c>
      <c r="AO196">
        <v>266</v>
      </c>
    </row>
    <row r="197" spans="1:41" x14ac:dyDescent="0.35">
      <c r="A197">
        <v>2024</v>
      </c>
      <c r="B197">
        <v>5</v>
      </c>
      <c r="C197">
        <v>22</v>
      </c>
      <c r="D197" s="14">
        <v>45440</v>
      </c>
      <c r="E197" t="s">
        <v>44</v>
      </c>
      <c r="F197" t="s">
        <v>47</v>
      </c>
      <c r="G197" t="s">
        <v>48</v>
      </c>
      <c r="H197">
        <v>228.40000000000003</v>
      </c>
      <c r="I197">
        <v>228.40000000000003</v>
      </c>
      <c r="J197">
        <v>0</v>
      </c>
      <c r="K197">
        <v>29.75</v>
      </c>
      <c r="L197">
        <v>29.75</v>
      </c>
      <c r="M197">
        <v>0</v>
      </c>
      <c r="N197">
        <v>0</v>
      </c>
      <c r="O197">
        <v>0</v>
      </c>
      <c r="P197">
        <v>0</v>
      </c>
      <c r="Q197">
        <v>-42</v>
      </c>
      <c r="R197">
        <v>-42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216.15000000000003</v>
      </c>
      <c r="AA197">
        <v>216.15000000000003</v>
      </c>
      <c r="AB197">
        <v>0</v>
      </c>
      <c r="AC197">
        <v>30.75</v>
      </c>
      <c r="AD197">
        <v>30.75</v>
      </c>
      <c r="AE197">
        <v>0</v>
      </c>
      <c r="AF197">
        <v>185.4</v>
      </c>
      <c r="AG197">
        <v>185.4</v>
      </c>
      <c r="AH197">
        <v>0</v>
      </c>
      <c r="AI197">
        <v>19.010000000000002</v>
      </c>
      <c r="AJ197">
        <v>0</v>
      </c>
      <c r="AK197">
        <v>-19.010000000000002</v>
      </c>
      <c r="AL197">
        <v>166.39</v>
      </c>
      <c r="AM197">
        <v>185.4</v>
      </c>
      <c r="AN197">
        <v>19.009999999999998</v>
      </c>
      <c r="AO197">
        <v>6</v>
      </c>
    </row>
    <row r="198" spans="1:41" x14ac:dyDescent="0.35">
      <c r="A198">
        <v>2024</v>
      </c>
      <c r="B198">
        <v>5</v>
      </c>
      <c r="C198">
        <v>22</v>
      </c>
      <c r="D198" s="14">
        <v>45441</v>
      </c>
      <c r="E198" t="s">
        <v>44</v>
      </c>
      <c r="F198" t="s">
        <v>47</v>
      </c>
      <c r="G198" t="s">
        <v>48</v>
      </c>
      <c r="H198">
        <v>3044.4500000000057</v>
      </c>
      <c r="I198">
        <v>3044.4500000000057</v>
      </c>
      <c r="J198">
        <v>0</v>
      </c>
      <c r="K198">
        <v>669.75000000000011</v>
      </c>
      <c r="L198">
        <v>669.75000000000011</v>
      </c>
      <c r="M198">
        <v>0</v>
      </c>
      <c r="N198">
        <v>31.98</v>
      </c>
      <c r="O198">
        <v>31.98</v>
      </c>
      <c r="P198">
        <v>0</v>
      </c>
      <c r="Q198">
        <v>-147.85</v>
      </c>
      <c r="R198">
        <v>-147.85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3598.3300000000077</v>
      </c>
      <c r="AA198">
        <v>3598.3300000000077</v>
      </c>
      <c r="AB198">
        <v>0</v>
      </c>
      <c r="AC198">
        <v>75.75</v>
      </c>
      <c r="AD198">
        <v>45</v>
      </c>
      <c r="AE198">
        <v>-30.75</v>
      </c>
      <c r="AF198">
        <v>3522.5800000000077</v>
      </c>
      <c r="AG198">
        <v>3553.3300000000077</v>
      </c>
      <c r="AH198">
        <v>30.75</v>
      </c>
      <c r="AI198">
        <v>1186.2400000000005</v>
      </c>
      <c r="AJ198">
        <v>0</v>
      </c>
      <c r="AK198">
        <v>-1186.2400000000005</v>
      </c>
      <c r="AL198">
        <v>2336.3400000000006</v>
      </c>
      <c r="AM198">
        <v>3553.3300000000077</v>
      </c>
      <c r="AN198">
        <v>1216.9900000000002</v>
      </c>
      <c r="AO198">
        <v>142</v>
      </c>
    </row>
    <row r="199" spans="1:41" x14ac:dyDescent="0.35">
      <c r="A199">
        <v>2024</v>
      </c>
      <c r="B199">
        <v>5</v>
      </c>
      <c r="C199">
        <v>22</v>
      </c>
      <c r="D199" s="14">
        <v>45442</v>
      </c>
      <c r="E199" t="s">
        <v>44</v>
      </c>
      <c r="F199" t="s">
        <v>47</v>
      </c>
      <c r="G199" t="s">
        <v>48</v>
      </c>
      <c r="H199">
        <v>11892.749999999956</v>
      </c>
      <c r="I199">
        <v>11892.749999999956</v>
      </c>
      <c r="J199">
        <v>0</v>
      </c>
      <c r="K199">
        <v>404.09999999999991</v>
      </c>
      <c r="L199">
        <v>404.09999999999991</v>
      </c>
      <c r="M199">
        <v>0</v>
      </c>
      <c r="N199">
        <v>40.97</v>
      </c>
      <c r="O199">
        <v>40.97</v>
      </c>
      <c r="P199">
        <v>0</v>
      </c>
      <c r="Q199">
        <v>-2225.8999999999978</v>
      </c>
      <c r="R199">
        <v>-2225.8999999999978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10111.919999999986</v>
      </c>
      <c r="AA199">
        <v>10111.919999999986</v>
      </c>
      <c r="AB199">
        <v>0</v>
      </c>
      <c r="AC199">
        <v>75</v>
      </c>
      <c r="AD199">
        <v>30</v>
      </c>
      <c r="AE199">
        <v>-45</v>
      </c>
      <c r="AF199">
        <v>10036.919999999989</v>
      </c>
      <c r="AG199">
        <v>10081.919999999987</v>
      </c>
      <c r="AH199">
        <v>45</v>
      </c>
      <c r="AI199">
        <v>3445.509999999997</v>
      </c>
      <c r="AJ199">
        <v>0</v>
      </c>
      <c r="AK199">
        <v>-3445.509999999997</v>
      </c>
      <c r="AL199">
        <v>6591.4099999999808</v>
      </c>
      <c r="AM199">
        <v>10081.919999999987</v>
      </c>
      <c r="AN199">
        <v>3490.509999999997</v>
      </c>
      <c r="AO199">
        <v>275</v>
      </c>
    </row>
    <row r="200" spans="1:41" x14ac:dyDescent="0.35">
      <c r="A200">
        <v>2024</v>
      </c>
      <c r="B200">
        <v>5</v>
      </c>
      <c r="C200">
        <v>22</v>
      </c>
      <c r="D200" s="14">
        <v>45443</v>
      </c>
      <c r="E200" t="s">
        <v>44</v>
      </c>
      <c r="F200" t="s">
        <v>47</v>
      </c>
      <c r="G200" t="s">
        <v>48</v>
      </c>
      <c r="H200">
        <v>11212.850000000008</v>
      </c>
      <c r="I200">
        <v>11212.850000000008</v>
      </c>
      <c r="J200">
        <v>0</v>
      </c>
      <c r="K200">
        <v>436.7999999999999</v>
      </c>
      <c r="L200">
        <v>436.7999999999999</v>
      </c>
      <c r="M200">
        <v>0</v>
      </c>
      <c r="N200">
        <v>0</v>
      </c>
      <c r="O200">
        <v>0</v>
      </c>
      <c r="P200">
        <v>0</v>
      </c>
      <c r="Q200">
        <v>-5095.4199999999973</v>
      </c>
      <c r="R200">
        <v>-5095.4199999999973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6554.230000000015</v>
      </c>
      <c r="AA200">
        <v>6554.230000000015</v>
      </c>
      <c r="AB200">
        <v>0</v>
      </c>
      <c r="AC200">
        <v>1567.2900000000011</v>
      </c>
      <c r="AD200">
        <v>1537.2900000000011</v>
      </c>
      <c r="AE200">
        <v>-30</v>
      </c>
      <c r="AF200">
        <v>4986.9400000000069</v>
      </c>
      <c r="AG200">
        <v>5016.9400000000069</v>
      </c>
      <c r="AH200">
        <v>30</v>
      </c>
      <c r="AI200">
        <v>1140.590000000002</v>
      </c>
      <c r="AJ200">
        <v>0</v>
      </c>
      <c r="AK200">
        <v>-1140.590000000002</v>
      </c>
      <c r="AL200">
        <v>3846.3499999999995</v>
      </c>
      <c r="AM200">
        <v>5016.9400000000069</v>
      </c>
      <c r="AN200">
        <v>1170.5900000000017</v>
      </c>
      <c r="AO200">
        <v>246</v>
      </c>
    </row>
    <row r="201" spans="1:41" x14ac:dyDescent="0.35">
      <c r="A201">
        <v>2024</v>
      </c>
      <c r="B201">
        <v>5</v>
      </c>
      <c r="C201">
        <v>22</v>
      </c>
      <c r="D201" s="14">
        <v>45438</v>
      </c>
      <c r="E201" t="s">
        <v>44</v>
      </c>
      <c r="F201" t="s">
        <v>47</v>
      </c>
      <c r="G201" t="s">
        <v>49</v>
      </c>
      <c r="H201">
        <v>12450.150000000001</v>
      </c>
      <c r="I201">
        <v>12450.150000000001</v>
      </c>
      <c r="J201">
        <v>0</v>
      </c>
      <c r="K201">
        <v>218.84</v>
      </c>
      <c r="L201">
        <v>218.84</v>
      </c>
      <c r="M201">
        <v>0</v>
      </c>
      <c r="N201">
        <v>166.9</v>
      </c>
      <c r="O201">
        <v>166.9</v>
      </c>
      <c r="P201">
        <v>0</v>
      </c>
      <c r="Q201">
        <v>-4876.1799999999985</v>
      </c>
      <c r="R201">
        <v>-4869.1799999999985</v>
      </c>
      <c r="S201">
        <v>7</v>
      </c>
      <c r="T201">
        <v>-15</v>
      </c>
      <c r="U201">
        <v>-15</v>
      </c>
      <c r="V201">
        <v>0</v>
      </c>
      <c r="W201">
        <v>-10</v>
      </c>
      <c r="X201">
        <v>-10</v>
      </c>
      <c r="Y201">
        <v>0</v>
      </c>
      <c r="Z201">
        <v>7934.7100000000028</v>
      </c>
      <c r="AA201">
        <v>7941.7100000000028</v>
      </c>
      <c r="AB201">
        <v>7</v>
      </c>
      <c r="AC201">
        <v>793.09000000000015</v>
      </c>
      <c r="AD201">
        <v>505.34999999999991</v>
      </c>
      <c r="AE201">
        <v>-287.74</v>
      </c>
      <c r="AF201">
        <v>7141.6300000000019</v>
      </c>
      <c r="AG201">
        <v>7436.3700000000017</v>
      </c>
      <c r="AH201">
        <v>294.74</v>
      </c>
      <c r="AI201">
        <v>1126.5099999999998</v>
      </c>
      <c r="AJ201">
        <v>0</v>
      </c>
      <c r="AK201">
        <v>-1126.5099999999998</v>
      </c>
      <c r="AL201">
        <v>6015.1200000000081</v>
      </c>
      <c r="AM201">
        <v>7436.3700000000017</v>
      </c>
      <c r="AN201">
        <v>1421.2499999999993</v>
      </c>
      <c r="AO201">
        <v>142</v>
      </c>
    </row>
    <row r="202" spans="1:41" x14ac:dyDescent="0.35">
      <c r="A202">
        <v>2024</v>
      </c>
      <c r="B202">
        <v>5</v>
      </c>
      <c r="C202">
        <v>22</v>
      </c>
      <c r="D202" s="14">
        <v>45439</v>
      </c>
      <c r="E202" t="s">
        <v>44</v>
      </c>
      <c r="F202" t="s">
        <v>47</v>
      </c>
      <c r="G202" t="s">
        <v>49</v>
      </c>
      <c r="H202">
        <v>12058.8</v>
      </c>
      <c r="I202">
        <v>12058.8</v>
      </c>
      <c r="J202">
        <v>0</v>
      </c>
      <c r="K202">
        <v>197.50000000000003</v>
      </c>
      <c r="L202">
        <v>197.50000000000003</v>
      </c>
      <c r="M202">
        <v>0</v>
      </c>
      <c r="N202">
        <v>98.94</v>
      </c>
      <c r="O202">
        <v>98.94</v>
      </c>
      <c r="P202">
        <v>0</v>
      </c>
      <c r="Q202">
        <v>-3713.8499999999976</v>
      </c>
      <c r="R202">
        <v>-3700.8499999999976</v>
      </c>
      <c r="S202">
        <v>13</v>
      </c>
      <c r="T202">
        <v>-15</v>
      </c>
      <c r="U202">
        <v>-15</v>
      </c>
      <c r="V202">
        <v>0</v>
      </c>
      <c r="W202">
        <v>-10</v>
      </c>
      <c r="X202">
        <v>-10</v>
      </c>
      <c r="Y202">
        <v>0</v>
      </c>
      <c r="Z202">
        <v>8616.3899999999976</v>
      </c>
      <c r="AA202">
        <v>8629.3899999999976</v>
      </c>
      <c r="AB202">
        <v>13</v>
      </c>
      <c r="AC202">
        <v>771.41</v>
      </c>
      <c r="AD202">
        <v>266.06</v>
      </c>
      <c r="AE202">
        <v>-505.35</v>
      </c>
      <c r="AF202">
        <v>7844.9799999999968</v>
      </c>
      <c r="AG202">
        <v>8363.3299999999963</v>
      </c>
      <c r="AH202">
        <v>518.35</v>
      </c>
      <c r="AI202">
        <v>1581.9800000000007</v>
      </c>
      <c r="AJ202">
        <v>0</v>
      </c>
      <c r="AK202">
        <v>-1581.9800000000007</v>
      </c>
      <c r="AL202">
        <v>6262.9999999999991</v>
      </c>
      <c r="AM202">
        <v>8363.3299999999963</v>
      </c>
      <c r="AN202">
        <v>2100.3300000000004</v>
      </c>
      <c r="AO202">
        <v>163</v>
      </c>
    </row>
    <row r="203" spans="1:41" x14ac:dyDescent="0.35">
      <c r="A203">
        <v>2024</v>
      </c>
      <c r="B203">
        <v>5</v>
      </c>
      <c r="C203">
        <v>22</v>
      </c>
      <c r="D203" s="14">
        <v>45440</v>
      </c>
      <c r="E203" t="s">
        <v>44</v>
      </c>
      <c r="F203" t="s">
        <v>47</v>
      </c>
      <c r="G203" t="s">
        <v>49</v>
      </c>
      <c r="H203">
        <v>2397.0500000000002</v>
      </c>
      <c r="I203">
        <v>2397.0500000000002</v>
      </c>
      <c r="J203">
        <v>0</v>
      </c>
      <c r="K203">
        <v>70.25</v>
      </c>
      <c r="L203">
        <v>70.25</v>
      </c>
      <c r="M203">
        <v>0</v>
      </c>
      <c r="N203">
        <v>47.97</v>
      </c>
      <c r="O203">
        <v>47.97</v>
      </c>
      <c r="P203">
        <v>0</v>
      </c>
      <c r="Q203">
        <v>-995.45</v>
      </c>
      <c r="R203">
        <v>-995.45</v>
      </c>
      <c r="S203">
        <v>0</v>
      </c>
      <c r="T203">
        <v>0</v>
      </c>
      <c r="U203">
        <v>0</v>
      </c>
      <c r="V203">
        <v>0</v>
      </c>
      <c r="W203">
        <v>-15.99</v>
      </c>
      <c r="X203">
        <v>-15.99</v>
      </c>
      <c r="Y203">
        <v>0</v>
      </c>
      <c r="Z203">
        <v>1503.8300000000002</v>
      </c>
      <c r="AA203">
        <v>1503.8300000000002</v>
      </c>
      <c r="AB203">
        <v>0</v>
      </c>
      <c r="AC203">
        <v>384.55999999999995</v>
      </c>
      <c r="AD203">
        <v>87.5</v>
      </c>
      <c r="AE203">
        <v>-297.05999999999995</v>
      </c>
      <c r="AF203">
        <v>1119.27</v>
      </c>
      <c r="AG203">
        <v>1416.3300000000002</v>
      </c>
      <c r="AH203">
        <v>297.06</v>
      </c>
      <c r="AI203">
        <v>28.55</v>
      </c>
      <c r="AJ203">
        <v>0</v>
      </c>
      <c r="AK203">
        <v>-28.55</v>
      </c>
      <c r="AL203">
        <v>1090.7200000000003</v>
      </c>
      <c r="AM203">
        <v>1416.3300000000002</v>
      </c>
      <c r="AN203">
        <v>325.60999999999996</v>
      </c>
      <c r="AO203">
        <v>26</v>
      </c>
    </row>
    <row r="204" spans="1:41" x14ac:dyDescent="0.35">
      <c r="A204">
        <v>2024</v>
      </c>
      <c r="B204">
        <v>5</v>
      </c>
      <c r="C204">
        <v>22</v>
      </c>
      <c r="D204" s="14">
        <v>45441</v>
      </c>
      <c r="E204" t="s">
        <v>44</v>
      </c>
      <c r="F204" t="s">
        <v>47</v>
      </c>
      <c r="G204" t="s">
        <v>49</v>
      </c>
      <c r="H204">
        <v>5363.05</v>
      </c>
      <c r="I204">
        <v>5363.05</v>
      </c>
      <c r="J204">
        <v>0</v>
      </c>
      <c r="K204">
        <v>57.710000000000008</v>
      </c>
      <c r="L204">
        <v>57.710000000000008</v>
      </c>
      <c r="M204">
        <v>0</v>
      </c>
      <c r="N204">
        <v>85.95</v>
      </c>
      <c r="O204">
        <v>85.95</v>
      </c>
      <c r="P204">
        <v>0</v>
      </c>
      <c r="Q204">
        <v>-1842.7</v>
      </c>
      <c r="R204">
        <v>-1842.7</v>
      </c>
      <c r="S204">
        <v>0</v>
      </c>
      <c r="T204">
        <v>-6.6000000000000005</v>
      </c>
      <c r="U204">
        <v>-6.6000000000000005</v>
      </c>
      <c r="V204">
        <v>0</v>
      </c>
      <c r="W204">
        <v>-20.990000000000002</v>
      </c>
      <c r="X204">
        <v>-20.990000000000002</v>
      </c>
      <c r="Y204">
        <v>0</v>
      </c>
      <c r="Z204">
        <v>3636.42</v>
      </c>
      <c r="AA204">
        <v>3636.42</v>
      </c>
      <c r="AB204">
        <v>0</v>
      </c>
      <c r="AC204">
        <v>696.14</v>
      </c>
      <c r="AD204">
        <v>608.64</v>
      </c>
      <c r="AE204">
        <v>-87.5</v>
      </c>
      <c r="AF204">
        <v>2940.2799999999997</v>
      </c>
      <c r="AG204">
        <v>3027.7799999999997</v>
      </c>
      <c r="AH204">
        <v>87.5</v>
      </c>
      <c r="AI204">
        <v>-91.150000000000034</v>
      </c>
      <c r="AJ204">
        <v>0</v>
      </c>
      <c r="AK204">
        <v>91.150000000000034</v>
      </c>
      <c r="AL204">
        <v>3031.43</v>
      </c>
      <c r="AM204">
        <v>3027.7799999999997</v>
      </c>
      <c r="AN204">
        <v>-3.6499999999999986</v>
      </c>
      <c r="AO204">
        <v>66</v>
      </c>
    </row>
    <row r="205" spans="1:41" x14ac:dyDescent="0.35">
      <c r="A205">
        <v>2024</v>
      </c>
      <c r="B205">
        <v>5</v>
      </c>
      <c r="C205">
        <v>22</v>
      </c>
      <c r="D205" s="14">
        <v>45442</v>
      </c>
      <c r="E205" t="s">
        <v>44</v>
      </c>
      <c r="F205" t="s">
        <v>47</v>
      </c>
      <c r="G205" t="s">
        <v>49</v>
      </c>
      <c r="H205">
        <v>13369.199999999997</v>
      </c>
      <c r="I205">
        <v>13369.199999999997</v>
      </c>
      <c r="J205">
        <v>0</v>
      </c>
      <c r="K205">
        <v>184.95999999999998</v>
      </c>
      <c r="L205">
        <v>184.95999999999998</v>
      </c>
      <c r="M205">
        <v>0</v>
      </c>
      <c r="N205">
        <v>206.87000000000003</v>
      </c>
      <c r="O205">
        <v>206.87000000000003</v>
      </c>
      <c r="P205">
        <v>0</v>
      </c>
      <c r="Q205">
        <v>-4601.6999999999971</v>
      </c>
      <c r="R205">
        <v>-4513.6999999999971</v>
      </c>
      <c r="S205">
        <v>88</v>
      </c>
      <c r="T205">
        <v>-10.100000000000001</v>
      </c>
      <c r="U205">
        <v>-10.100000000000001</v>
      </c>
      <c r="V205">
        <v>0</v>
      </c>
      <c r="W205">
        <v>-10</v>
      </c>
      <c r="X205">
        <v>-10</v>
      </c>
      <c r="Y205">
        <v>0</v>
      </c>
      <c r="Z205">
        <v>9139.2299999999923</v>
      </c>
      <c r="AA205">
        <v>9227.2299999999923</v>
      </c>
      <c r="AB205">
        <v>88</v>
      </c>
      <c r="AC205">
        <v>1263.7900000000004</v>
      </c>
      <c r="AD205">
        <v>651.49999999999989</v>
      </c>
      <c r="AE205">
        <v>-612.29</v>
      </c>
      <c r="AF205">
        <v>7875.4400000000023</v>
      </c>
      <c r="AG205">
        <v>8575.7300000000014</v>
      </c>
      <c r="AH205">
        <v>700.29</v>
      </c>
      <c r="AI205">
        <v>807.8299999999997</v>
      </c>
      <c r="AJ205">
        <v>0</v>
      </c>
      <c r="AK205">
        <v>-807.8299999999997</v>
      </c>
      <c r="AL205">
        <v>7067.6100000000024</v>
      </c>
      <c r="AM205">
        <v>8575.7300000000014</v>
      </c>
      <c r="AN205">
        <v>1508.1200000000003</v>
      </c>
      <c r="AO205">
        <v>166</v>
      </c>
    </row>
    <row r="206" spans="1:41" x14ac:dyDescent="0.35">
      <c r="A206">
        <v>2024</v>
      </c>
      <c r="B206">
        <v>5</v>
      </c>
      <c r="C206">
        <v>22</v>
      </c>
      <c r="D206" s="14">
        <v>45443</v>
      </c>
      <c r="E206" t="s">
        <v>44</v>
      </c>
      <c r="F206" t="s">
        <v>47</v>
      </c>
      <c r="G206" t="s">
        <v>49</v>
      </c>
      <c r="H206">
        <v>10325.099999999999</v>
      </c>
      <c r="I206">
        <v>10325.099999999999</v>
      </c>
      <c r="J206">
        <v>0</v>
      </c>
      <c r="K206">
        <v>175.09</v>
      </c>
      <c r="L206">
        <v>175.09</v>
      </c>
      <c r="M206">
        <v>0</v>
      </c>
      <c r="N206">
        <v>204.87000000000003</v>
      </c>
      <c r="O206">
        <v>204.87000000000003</v>
      </c>
      <c r="P206">
        <v>0</v>
      </c>
      <c r="Q206">
        <v>-3325.8</v>
      </c>
      <c r="R206">
        <v>-3296.8</v>
      </c>
      <c r="S206">
        <v>29</v>
      </c>
      <c r="T206">
        <v>-5</v>
      </c>
      <c r="U206">
        <v>-5</v>
      </c>
      <c r="V206">
        <v>0</v>
      </c>
      <c r="W206">
        <v>-5</v>
      </c>
      <c r="X206">
        <v>-5</v>
      </c>
      <c r="Y206">
        <v>0</v>
      </c>
      <c r="Z206">
        <v>7369.26</v>
      </c>
      <c r="AA206">
        <v>7398.26</v>
      </c>
      <c r="AB206">
        <v>29</v>
      </c>
      <c r="AC206">
        <v>1238.6899999999998</v>
      </c>
      <c r="AD206">
        <v>587.19000000000005</v>
      </c>
      <c r="AE206">
        <v>-651.5</v>
      </c>
      <c r="AF206">
        <v>6130.5699999999979</v>
      </c>
      <c r="AG206">
        <v>6811.07</v>
      </c>
      <c r="AH206">
        <v>680.50000000000011</v>
      </c>
      <c r="AI206">
        <v>313.32000000000022</v>
      </c>
      <c r="AJ206">
        <v>0</v>
      </c>
      <c r="AK206">
        <v>-313.32000000000022</v>
      </c>
      <c r="AL206">
        <v>5817.25</v>
      </c>
      <c r="AM206">
        <v>6811.07</v>
      </c>
      <c r="AN206">
        <v>993.81999999999982</v>
      </c>
      <c r="AO206">
        <v>132</v>
      </c>
    </row>
    <row r="207" spans="1:41" x14ac:dyDescent="0.35">
      <c r="A207">
        <v>2024</v>
      </c>
      <c r="B207">
        <v>5</v>
      </c>
      <c r="C207">
        <v>22</v>
      </c>
      <c r="D207" s="14">
        <v>45438</v>
      </c>
      <c r="E207" t="s">
        <v>44</v>
      </c>
      <c r="F207" t="s">
        <v>47</v>
      </c>
      <c r="G207" t="s">
        <v>50</v>
      </c>
      <c r="H207">
        <v>31534.05</v>
      </c>
      <c r="I207">
        <v>31534.05</v>
      </c>
      <c r="J207">
        <v>0</v>
      </c>
      <c r="K207">
        <v>307.86999999999961</v>
      </c>
      <c r="L207">
        <v>307.86999999999961</v>
      </c>
      <c r="M207">
        <v>0</v>
      </c>
      <c r="N207">
        <v>1478.0700000000006</v>
      </c>
      <c r="O207">
        <v>1478.0700000000006</v>
      </c>
      <c r="P207">
        <v>0</v>
      </c>
      <c r="Q207">
        <v>-9378.31</v>
      </c>
      <c r="R207">
        <v>-9056.31</v>
      </c>
      <c r="S207">
        <v>322</v>
      </c>
      <c r="T207">
        <v>-5</v>
      </c>
      <c r="U207">
        <v>-5</v>
      </c>
      <c r="V207">
        <v>0</v>
      </c>
      <c r="W207">
        <v>-15</v>
      </c>
      <c r="X207">
        <v>-15</v>
      </c>
      <c r="Y207">
        <v>0</v>
      </c>
      <c r="Z207">
        <v>23921.680000000004</v>
      </c>
      <c r="AA207">
        <v>24243.680000000004</v>
      </c>
      <c r="AB207">
        <v>322</v>
      </c>
      <c r="AC207">
        <v>6468.1700000000073</v>
      </c>
      <c r="AD207">
        <v>3040.7000000000016</v>
      </c>
      <c r="AE207">
        <v>-3427.470000000003</v>
      </c>
      <c r="AF207">
        <v>17453.509999999998</v>
      </c>
      <c r="AG207">
        <v>21202.979999999996</v>
      </c>
      <c r="AH207">
        <v>3749.4700000000034</v>
      </c>
      <c r="AI207">
        <v>-1503.8199999999993</v>
      </c>
      <c r="AJ207">
        <v>0</v>
      </c>
      <c r="AK207">
        <v>1503.8199999999993</v>
      </c>
      <c r="AL207">
        <v>18957.330000000034</v>
      </c>
      <c r="AM207">
        <v>21202.979999999996</v>
      </c>
      <c r="AN207">
        <v>2245.650000000001</v>
      </c>
      <c r="AO207">
        <v>360</v>
      </c>
    </row>
    <row r="208" spans="1:41" x14ac:dyDescent="0.35">
      <c r="A208">
        <v>2024</v>
      </c>
      <c r="B208">
        <v>5</v>
      </c>
      <c r="C208">
        <v>22</v>
      </c>
      <c r="D208" s="14">
        <v>45439</v>
      </c>
      <c r="E208" t="s">
        <v>44</v>
      </c>
      <c r="F208" t="s">
        <v>47</v>
      </c>
      <c r="G208" t="s">
        <v>50</v>
      </c>
      <c r="H208">
        <v>28402</v>
      </c>
      <c r="I208">
        <v>28402</v>
      </c>
      <c r="J208">
        <v>0</v>
      </c>
      <c r="K208">
        <v>288.20999999999987</v>
      </c>
      <c r="L208">
        <v>288.20999999999987</v>
      </c>
      <c r="M208">
        <v>0</v>
      </c>
      <c r="N208">
        <v>997.38000000000045</v>
      </c>
      <c r="O208">
        <v>981.39000000000044</v>
      </c>
      <c r="P208">
        <v>-15.99</v>
      </c>
      <c r="Q208">
        <v>-8243.01</v>
      </c>
      <c r="R208">
        <v>-7879.01</v>
      </c>
      <c r="S208">
        <v>364</v>
      </c>
      <c r="T208">
        <v>0</v>
      </c>
      <c r="U208">
        <v>0</v>
      </c>
      <c r="V208">
        <v>0</v>
      </c>
      <c r="W208">
        <v>-28.990000000000002</v>
      </c>
      <c r="X208">
        <v>-28.990000000000002</v>
      </c>
      <c r="Y208">
        <v>0</v>
      </c>
      <c r="Z208">
        <v>21415.590000000007</v>
      </c>
      <c r="AA208">
        <v>21763.600000000009</v>
      </c>
      <c r="AB208">
        <v>348.01</v>
      </c>
      <c r="AC208">
        <v>6015.0200000000077</v>
      </c>
      <c r="AD208">
        <v>3143.4500000000025</v>
      </c>
      <c r="AE208">
        <v>-2871.5700000000024</v>
      </c>
      <c r="AF208">
        <v>15400.570000000005</v>
      </c>
      <c r="AG208">
        <v>18620.150000000016</v>
      </c>
      <c r="AH208">
        <v>3219.5800000000017</v>
      </c>
      <c r="AI208">
        <v>-1665.8899999999994</v>
      </c>
      <c r="AJ208">
        <v>0</v>
      </c>
      <c r="AK208">
        <v>1665.8899999999994</v>
      </c>
      <c r="AL208">
        <v>17066.46000000001</v>
      </c>
      <c r="AM208">
        <v>18620.150000000016</v>
      </c>
      <c r="AN208">
        <v>1553.6900000000007</v>
      </c>
      <c r="AO208">
        <v>319</v>
      </c>
    </row>
    <row r="209" spans="1:41" x14ac:dyDescent="0.35">
      <c r="A209">
        <v>2024</v>
      </c>
      <c r="B209">
        <v>5</v>
      </c>
      <c r="C209">
        <v>22</v>
      </c>
      <c r="D209" s="14">
        <v>45440</v>
      </c>
      <c r="E209" t="s">
        <v>44</v>
      </c>
      <c r="F209" t="s">
        <v>47</v>
      </c>
      <c r="G209" t="s">
        <v>50</v>
      </c>
      <c r="H209">
        <v>23303</v>
      </c>
      <c r="I209">
        <v>23303</v>
      </c>
      <c r="J209">
        <v>0</v>
      </c>
      <c r="K209">
        <v>189.73000000000002</v>
      </c>
      <c r="L209">
        <v>189.73000000000002</v>
      </c>
      <c r="M209">
        <v>0</v>
      </c>
      <c r="N209">
        <v>681.59000000000026</v>
      </c>
      <c r="O209">
        <v>681.59000000000026</v>
      </c>
      <c r="P209">
        <v>0</v>
      </c>
      <c r="Q209">
        <v>-6458.75</v>
      </c>
      <c r="R209">
        <v>-6458.75</v>
      </c>
      <c r="S209">
        <v>0</v>
      </c>
      <c r="T209">
        <v>-5</v>
      </c>
      <c r="U209">
        <v>-5</v>
      </c>
      <c r="V209">
        <v>0</v>
      </c>
      <c r="W209">
        <v>-5</v>
      </c>
      <c r="X209">
        <v>-5</v>
      </c>
      <c r="Y209">
        <v>0</v>
      </c>
      <c r="Z209">
        <v>17705.569999999985</v>
      </c>
      <c r="AA209">
        <v>17705.569999999985</v>
      </c>
      <c r="AB209">
        <v>0</v>
      </c>
      <c r="AC209">
        <v>5117.900000000006</v>
      </c>
      <c r="AD209">
        <v>2011.8300000000008</v>
      </c>
      <c r="AE209">
        <v>-3106.0700000000029</v>
      </c>
      <c r="AF209">
        <v>12587.669999999998</v>
      </c>
      <c r="AG209">
        <v>15693.739999999991</v>
      </c>
      <c r="AH209">
        <v>3106.0700000000029</v>
      </c>
      <c r="AI209">
        <v>-972.51999999999987</v>
      </c>
      <c r="AJ209">
        <v>0</v>
      </c>
      <c r="AK209">
        <v>972.51999999999987</v>
      </c>
      <c r="AL209">
        <v>13560.190000000004</v>
      </c>
      <c r="AM209">
        <v>15693.739999999991</v>
      </c>
      <c r="AN209">
        <v>2133.5500000000015</v>
      </c>
      <c r="AO209">
        <v>269</v>
      </c>
    </row>
    <row r="210" spans="1:41" x14ac:dyDescent="0.35">
      <c r="A210">
        <v>2024</v>
      </c>
      <c r="B210">
        <v>5</v>
      </c>
      <c r="C210">
        <v>22</v>
      </c>
      <c r="D210" s="14">
        <v>45441</v>
      </c>
      <c r="E210" t="s">
        <v>44</v>
      </c>
      <c r="F210" t="s">
        <v>47</v>
      </c>
      <c r="G210" t="s">
        <v>50</v>
      </c>
      <c r="H210">
        <v>35847.1</v>
      </c>
      <c r="I210">
        <v>35847.1</v>
      </c>
      <c r="J210">
        <v>0</v>
      </c>
      <c r="K210">
        <v>421.03999999999974</v>
      </c>
      <c r="L210">
        <v>421.03999999999974</v>
      </c>
      <c r="M210">
        <v>0</v>
      </c>
      <c r="N210">
        <v>1289.1800000000005</v>
      </c>
      <c r="O210">
        <v>1289.1800000000005</v>
      </c>
      <c r="P210">
        <v>0</v>
      </c>
      <c r="Q210">
        <v>-11160.11</v>
      </c>
      <c r="R210">
        <v>-11090.11</v>
      </c>
      <c r="S210">
        <v>70</v>
      </c>
      <c r="T210">
        <v>-30.95</v>
      </c>
      <c r="U210">
        <v>-30.95</v>
      </c>
      <c r="V210">
        <v>0</v>
      </c>
      <c r="W210">
        <v>-25</v>
      </c>
      <c r="X210">
        <v>-25</v>
      </c>
      <c r="Y210">
        <v>0</v>
      </c>
      <c r="Z210">
        <v>26341.260000000006</v>
      </c>
      <c r="AA210">
        <v>26411.260000000006</v>
      </c>
      <c r="AB210">
        <v>70</v>
      </c>
      <c r="AC210">
        <v>6834.5600000000068</v>
      </c>
      <c r="AD210">
        <v>4885.3600000000033</v>
      </c>
      <c r="AE210">
        <v>-1949.200000000001</v>
      </c>
      <c r="AF210">
        <v>19506.700000000012</v>
      </c>
      <c r="AG210">
        <v>21525.900000000023</v>
      </c>
      <c r="AH210">
        <v>2019.200000000001</v>
      </c>
      <c r="AI210">
        <v>-2556.3699999999963</v>
      </c>
      <c r="AJ210">
        <v>0</v>
      </c>
      <c r="AK210">
        <v>2556.3699999999963</v>
      </c>
      <c r="AL210">
        <v>22063.070000000007</v>
      </c>
      <c r="AM210">
        <v>21525.900000000023</v>
      </c>
      <c r="AN210">
        <v>-537.17000000000007</v>
      </c>
      <c r="AO210">
        <v>406</v>
      </c>
    </row>
    <row r="211" spans="1:41" x14ac:dyDescent="0.35">
      <c r="A211">
        <v>2024</v>
      </c>
      <c r="B211">
        <v>5</v>
      </c>
      <c r="C211">
        <v>22</v>
      </c>
      <c r="D211" s="14">
        <v>45442</v>
      </c>
      <c r="E211" t="s">
        <v>44</v>
      </c>
      <c r="F211" t="s">
        <v>47</v>
      </c>
      <c r="G211" t="s">
        <v>50</v>
      </c>
      <c r="H211">
        <v>41637.050000000003</v>
      </c>
      <c r="I211">
        <v>41637.050000000003</v>
      </c>
      <c r="J211">
        <v>0</v>
      </c>
      <c r="K211">
        <v>436.95999999999873</v>
      </c>
      <c r="L211">
        <v>436.95999999999873</v>
      </c>
      <c r="M211">
        <v>0</v>
      </c>
      <c r="N211">
        <v>1565.0000000000007</v>
      </c>
      <c r="O211">
        <v>1565.0000000000007</v>
      </c>
      <c r="P211">
        <v>0</v>
      </c>
      <c r="Q211">
        <v>-13376.529999999999</v>
      </c>
      <c r="R211">
        <v>-12465.529999999999</v>
      </c>
      <c r="S211">
        <v>911</v>
      </c>
      <c r="T211">
        <v>-0.95000000000000007</v>
      </c>
      <c r="U211">
        <v>-0.95000000000000007</v>
      </c>
      <c r="V211">
        <v>0</v>
      </c>
      <c r="W211">
        <v>-20</v>
      </c>
      <c r="X211">
        <v>-20</v>
      </c>
      <c r="Y211">
        <v>0</v>
      </c>
      <c r="Z211">
        <v>30241.530000000006</v>
      </c>
      <c r="AA211">
        <v>31152.530000000006</v>
      </c>
      <c r="AB211">
        <v>911</v>
      </c>
      <c r="AC211">
        <v>8904.4100000000017</v>
      </c>
      <c r="AD211">
        <v>3980.0500000000038</v>
      </c>
      <c r="AE211">
        <v>-4924.3600000000042</v>
      </c>
      <c r="AF211">
        <v>21337.120000000046</v>
      </c>
      <c r="AG211">
        <v>27172.480000000021</v>
      </c>
      <c r="AH211">
        <v>5835.3600000000051</v>
      </c>
      <c r="AI211">
        <v>-1915.6999999999994</v>
      </c>
      <c r="AJ211">
        <v>0</v>
      </c>
      <c r="AK211">
        <v>1915.6999999999994</v>
      </c>
      <c r="AL211">
        <v>23252.820000000022</v>
      </c>
      <c r="AM211">
        <v>27172.480000000021</v>
      </c>
      <c r="AN211">
        <v>3919.6600000000021</v>
      </c>
      <c r="AO211">
        <v>476</v>
      </c>
    </row>
    <row r="212" spans="1:41" x14ac:dyDescent="0.35">
      <c r="A212">
        <v>2024</v>
      </c>
      <c r="B212">
        <v>5</v>
      </c>
      <c r="C212">
        <v>22</v>
      </c>
      <c r="D212" s="14">
        <v>45443</v>
      </c>
      <c r="E212" t="s">
        <v>44</v>
      </c>
      <c r="F212" t="s">
        <v>47</v>
      </c>
      <c r="G212" t="s">
        <v>50</v>
      </c>
      <c r="H212">
        <v>38821.300000000003</v>
      </c>
      <c r="I212">
        <v>38821.300000000003</v>
      </c>
      <c r="J212">
        <v>0</v>
      </c>
      <c r="K212">
        <v>739.82000000000016</v>
      </c>
      <c r="L212">
        <v>739.82000000000016</v>
      </c>
      <c r="M212">
        <v>0</v>
      </c>
      <c r="N212">
        <v>1159.2600000000004</v>
      </c>
      <c r="O212">
        <v>1159.2600000000004</v>
      </c>
      <c r="P212">
        <v>0</v>
      </c>
      <c r="Q212">
        <v>-11683.63</v>
      </c>
      <c r="R212">
        <v>-11368.630000000001</v>
      </c>
      <c r="S212">
        <v>315</v>
      </c>
      <c r="T212">
        <v>-20</v>
      </c>
      <c r="U212">
        <v>-20</v>
      </c>
      <c r="V212">
        <v>0</v>
      </c>
      <c r="W212">
        <v>-30</v>
      </c>
      <c r="X212">
        <v>-30</v>
      </c>
      <c r="Y212">
        <v>0</v>
      </c>
      <c r="Z212">
        <v>28986.750000000022</v>
      </c>
      <c r="AA212">
        <v>29301.750000000022</v>
      </c>
      <c r="AB212">
        <v>315</v>
      </c>
      <c r="AC212">
        <v>7742.8000000000075</v>
      </c>
      <c r="AD212">
        <v>3820.3000000000029</v>
      </c>
      <c r="AE212">
        <v>-3922.5000000000027</v>
      </c>
      <c r="AF212">
        <v>21243.950000000033</v>
      </c>
      <c r="AG212">
        <v>25481.450000000033</v>
      </c>
      <c r="AH212">
        <v>4237.5000000000027</v>
      </c>
      <c r="AI212">
        <v>-1839.5600000000002</v>
      </c>
      <c r="AJ212">
        <v>0</v>
      </c>
      <c r="AK212">
        <v>1839.5600000000002</v>
      </c>
      <c r="AL212">
        <v>23083.510000000017</v>
      </c>
      <c r="AM212">
        <v>25481.450000000033</v>
      </c>
      <c r="AN212">
        <v>2397.9400000000014</v>
      </c>
      <c r="AO212">
        <v>444</v>
      </c>
    </row>
    <row r="213" spans="1:41" x14ac:dyDescent="0.35">
      <c r="A213">
        <v>2024</v>
      </c>
      <c r="B213">
        <v>5</v>
      </c>
      <c r="C213">
        <v>22</v>
      </c>
      <c r="D213" s="14">
        <v>45438</v>
      </c>
      <c r="E213" t="s">
        <v>44</v>
      </c>
      <c r="F213" t="s">
        <v>47</v>
      </c>
      <c r="G213" t="s">
        <v>51</v>
      </c>
      <c r="H213">
        <v>10361.699999999997</v>
      </c>
      <c r="I213">
        <v>10361.699999999997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-2629.65</v>
      </c>
      <c r="R213">
        <v>-2629.65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7732.050000000002</v>
      </c>
      <c r="AA213">
        <v>7732.050000000002</v>
      </c>
      <c r="AB213">
        <v>0</v>
      </c>
      <c r="AC213">
        <v>91.48</v>
      </c>
      <c r="AD213">
        <v>91.48</v>
      </c>
      <c r="AE213">
        <v>0</v>
      </c>
      <c r="AF213">
        <v>7640.5700000000024</v>
      </c>
      <c r="AG213">
        <v>7640.5700000000024</v>
      </c>
      <c r="AH213">
        <v>0</v>
      </c>
      <c r="AI213">
        <v>2466.5699999999997</v>
      </c>
      <c r="AJ213">
        <v>0</v>
      </c>
      <c r="AK213">
        <v>-2466.5699999999997</v>
      </c>
      <c r="AL213">
        <v>5173.9999999999982</v>
      </c>
      <c r="AM213">
        <v>7640.5700000000024</v>
      </c>
      <c r="AN213">
        <v>2466.5699999999993</v>
      </c>
      <c r="AO213">
        <v>163</v>
      </c>
    </row>
    <row r="214" spans="1:41" x14ac:dyDescent="0.35">
      <c r="A214">
        <v>2024</v>
      </c>
      <c r="B214">
        <v>5</v>
      </c>
      <c r="C214">
        <v>22</v>
      </c>
      <c r="D214" s="14">
        <v>45439</v>
      </c>
      <c r="E214" t="s">
        <v>44</v>
      </c>
      <c r="F214" t="s">
        <v>47</v>
      </c>
      <c r="G214" t="s">
        <v>51</v>
      </c>
      <c r="H214">
        <v>3288</v>
      </c>
      <c r="I214">
        <v>3288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-787.49999999999989</v>
      </c>
      <c r="R214">
        <v>-787.49999999999989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2500.4999999999995</v>
      </c>
      <c r="AA214">
        <v>2500.4999999999995</v>
      </c>
      <c r="AB214">
        <v>0</v>
      </c>
      <c r="AC214">
        <v>114.81</v>
      </c>
      <c r="AD214">
        <v>15</v>
      </c>
      <c r="AE214">
        <v>-99.81</v>
      </c>
      <c r="AF214">
        <v>2385.69</v>
      </c>
      <c r="AG214">
        <v>2485.4999999999995</v>
      </c>
      <c r="AH214">
        <v>99.809999999999988</v>
      </c>
      <c r="AI214">
        <v>683.56999999999982</v>
      </c>
      <c r="AJ214">
        <v>0</v>
      </c>
      <c r="AK214">
        <v>-683.56999999999982</v>
      </c>
      <c r="AL214">
        <v>1702.1200000000015</v>
      </c>
      <c r="AM214">
        <v>2485.4999999999995</v>
      </c>
      <c r="AN214">
        <v>783.38000000000011</v>
      </c>
      <c r="AO214">
        <v>53</v>
      </c>
    </row>
    <row r="215" spans="1:41" x14ac:dyDescent="0.35">
      <c r="A215">
        <v>2024</v>
      </c>
      <c r="B215">
        <v>5</v>
      </c>
      <c r="C215">
        <v>22</v>
      </c>
      <c r="D215" s="14">
        <v>45440</v>
      </c>
      <c r="E215" t="s">
        <v>44</v>
      </c>
      <c r="F215" t="s">
        <v>47</v>
      </c>
      <c r="G215" t="s">
        <v>51</v>
      </c>
      <c r="H215">
        <v>176</v>
      </c>
      <c r="I215">
        <v>176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-69.5</v>
      </c>
      <c r="R215">
        <v>-69.5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106.5</v>
      </c>
      <c r="AA215">
        <v>106.5</v>
      </c>
      <c r="AB215">
        <v>0</v>
      </c>
      <c r="AC215">
        <v>15</v>
      </c>
      <c r="AE215">
        <v>-15</v>
      </c>
      <c r="AF215">
        <v>91.5</v>
      </c>
      <c r="AG215">
        <v>106.5</v>
      </c>
      <c r="AH215">
        <v>15</v>
      </c>
      <c r="AI215">
        <v>7.84</v>
      </c>
      <c r="AJ215">
        <v>0</v>
      </c>
      <c r="AK215">
        <v>-7.84</v>
      </c>
      <c r="AL215">
        <v>83.66</v>
      </c>
      <c r="AM215">
        <v>106.5</v>
      </c>
      <c r="AN215">
        <v>22.839999999999996</v>
      </c>
      <c r="AO215">
        <v>2</v>
      </c>
    </row>
    <row r="216" spans="1:41" x14ac:dyDescent="0.35">
      <c r="A216">
        <v>2024</v>
      </c>
      <c r="B216">
        <v>5</v>
      </c>
      <c r="C216">
        <v>22</v>
      </c>
      <c r="D216" s="14">
        <v>45441</v>
      </c>
      <c r="E216" t="s">
        <v>44</v>
      </c>
      <c r="F216" t="s">
        <v>47</v>
      </c>
      <c r="G216" t="s">
        <v>51</v>
      </c>
      <c r="H216">
        <v>2001.9999999999998</v>
      </c>
      <c r="I216">
        <v>2001.9999999999998</v>
      </c>
      <c r="J216">
        <v>0</v>
      </c>
      <c r="K216">
        <v>21.9</v>
      </c>
      <c r="L216">
        <v>21.9</v>
      </c>
      <c r="M216">
        <v>0</v>
      </c>
      <c r="N216">
        <v>0</v>
      </c>
      <c r="O216">
        <v>0</v>
      </c>
      <c r="P216">
        <v>0</v>
      </c>
      <c r="Q216">
        <v>-449.00000000000017</v>
      </c>
      <c r="R216">
        <v>-449.00000000000017</v>
      </c>
      <c r="S216">
        <v>0</v>
      </c>
      <c r="T216">
        <v>-8</v>
      </c>
      <c r="U216">
        <v>-8</v>
      </c>
      <c r="V216">
        <v>0</v>
      </c>
      <c r="W216">
        <v>0</v>
      </c>
      <c r="X216">
        <v>0</v>
      </c>
      <c r="Y216">
        <v>0</v>
      </c>
      <c r="Z216">
        <v>1566.9000000000003</v>
      </c>
      <c r="AA216">
        <v>1566.9000000000003</v>
      </c>
      <c r="AB216">
        <v>0</v>
      </c>
      <c r="AC216">
        <v>47.33</v>
      </c>
      <c r="AD216">
        <v>47.33</v>
      </c>
      <c r="AE216">
        <v>0</v>
      </c>
      <c r="AF216">
        <v>1519.5700000000004</v>
      </c>
      <c r="AG216">
        <v>1519.5700000000004</v>
      </c>
      <c r="AH216">
        <v>0</v>
      </c>
      <c r="AI216">
        <v>462.69000000000005</v>
      </c>
      <c r="AJ216">
        <v>0</v>
      </c>
      <c r="AK216">
        <v>-462.69000000000005</v>
      </c>
      <c r="AL216">
        <v>1056.8800000000008</v>
      </c>
      <c r="AM216">
        <v>1519.5700000000004</v>
      </c>
      <c r="AN216">
        <v>462.69000000000005</v>
      </c>
      <c r="AO216">
        <v>35</v>
      </c>
    </row>
    <row r="217" spans="1:41" x14ac:dyDescent="0.35">
      <c r="A217">
        <v>2024</v>
      </c>
      <c r="B217">
        <v>5</v>
      </c>
      <c r="C217">
        <v>22</v>
      </c>
      <c r="D217" s="14">
        <v>45442</v>
      </c>
      <c r="E217" t="s">
        <v>44</v>
      </c>
      <c r="F217" t="s">
        <v>47</v>
      </c>
      <c r="G217" t="s">
        <v>51</v>
      </c>
      <c r="H217">
        <v>2564.8000000000002</v>
      </c>
      <c r="I217">
        <v>2564.8000000000002</v>
      </c>
      <c r="J217">
        <v>0</v>
      </c>
      <c r="K217">
        <v>32.950000000000003</v>
      </c>
      <c r="L217">
        <v>32.950000000000003</v>
      </c>
      <c r="M217">
        <v>0</v>
      </c>
      <c r="N217">
        <v>0</v>
      </c>
      <c r="O217">
        <v>0</v>
      </c>
      <c r="P217">
        <v>0</v>
      </c>
      <c r="Q217">
        <v>-697.19999999999982</v>
      </c>
      <c r="R217">
        <v>-697.19999999999982</v>
      </c>
      <c r="S217">
        <v>0</v>
      </c>
      <c r="T217">
        <v>-4</v>
      </c>
      <c r="U217">
        <v>-4</v>
      </c>
      <c r="V217">
        <v>0</v>
      </c>
      <c r="W217">
        <v>0</v>
      </c>
      <c r="X217">
        <v>0</v>
      </c>
      <c r="Y217">
        <v>0</v>
      </c>
      <c r="Z217">
        <v>1896.5499999999997</v>
      </c>
      <c r="AA217">
        <v>1896.5499999999997</v>
      </c>
      <c r="AB217">
        <v>0</v>
      </c>
      <c r="AC217">
        <v>93.29</v>
      </c>
      <c r="AD217">
        <v>37.630000000000003</v>
      </c>
      <c r="AE217">
        <v>-55.66</v>
      </c>
      <c r="AF217">
        <v>1803.26</v>
      </c>
      <c r="AG217">
        <v>1858.9199999999998</v>
      </c>
      <c r="AH217">
        <v>55.66</v>
      </c>
      <c r="AI217">
        <v>672.12000000000012</v>
      </c>
      <c r="AJ217">
        <v>8.11</v>
      </c>
      <c r="AK217">
        <v>-664.0100000000001</v>
      </c>
      <c r="AL217">
        <v>1131.1400000000003</v>
      </c>
      <c r="AM217">
        <v>1850.81</v>
      </c>
      <c r="AN217">
        <v>719.6700000000003</v>
      </c>
      <c r="AO217">
        <v>44</v>
      </c>
    </row>
    <row r="218" spans="1:41" x14ac:dyDescent="0.35">
      <c r="A218">
        <v>2024</v>
      </c>
      <c r="B218">
        <v>5</v>
      </c>
      <c r="C218">
        <v>22</v>
      </c>
      <c r="D218" s="14">
        <v>45443</v>
      </c>
      <c r="E218" t="s">
        <v>44</v>
      </c>
      <c r="F218" t="s">
        <v>47</v>
      </c>
      <c r="G218" t="s">
        <v>51</v>
      </c>
      <c r="H218">
        <v>3964.25</v>
      </c>
      <c r="I218">
        <v>3964.25</v>
      </c>
      <c r="J218">
        <v>0</v>
      </c>
      <c r="K218">
        <v>32</v>
      </c>
      <c r="L218">
        <v>32</v>
      </c>
      <c r="M218">
        <v>0</v>
      </c>
      <c r="N218">
        <v>0</v>
      </c>
      <c r="O218">
        <v>0</v>
      </c>
      <c r="P218">
        <v>0</v>
      </c>
      <c r="Q218">
        <v>-802.09999999999968</v>
      </c>
      <c r="R218">
        <v>-802.09999999999968</v>
      </c>
      <c r="S218">
        <v>0</v>
      </c>
      <c r="T218">
        <v>-4</v>
      </c>
      <c r="U218">
        <v>-4</v>
      </c>
      <c r="V218">
        <v>0</v>
      </c>
      <c r="W218">
        <v>0</v>
      </c>
      <c r="X218">
        <v>0</v>
      </c>
      <c r="Y218">
        <v>0</v>
      </c>
      <c r="Z218">
        <v>3190.1499999999992</v>
      </c>
      <c r="AA218">
        <v>3190.1499999999992</v>
      </c>
      <c r="AB218">
        <v>0</v>
      </c>
      <c r="AC218">
        <v>62.620000000000005</v>
      </c>
      <c r="AD218">
        <v>16.66</v>
      </c>
      <c r="AE218">
        <v>-45.96</v>
      </c>
      <c r="AF218">
        <v>3127.5299999999993</v>
      </c>
      <c r="AG218">
        <v>3173.4899999999993</v>
      </c>
      <c r="AH218">
        <v>45.959999999999994</v>
      </c>
      <c r="AI218">
        <v>998.75999999999976</v>
      </c>
      <c r="AJ218">
        <v>5.2700000000000005</v>
      </c>
      <c r="AK218">
        <v>-993.48999999999978</v>
      </c>
      <c r="AL218">
        <v>2128.7699999999991</v>
      </c>
      <c r="AM218">
        <v>3168.2199999999993</v>
      </c>
      <c r="AN218">
        <v>1039.4499999999996</v>
      </c>
      <c r="AO218">
        <v>71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210"/>
  <sheetViews>
    <sheetView workbookViewId="0"/>
  </sheetViews>
  <sheetFormatPr defaultRowHeight="14.5" x14ac:dyDescent="0.35"/>
  <cols>
    <col min="1" max="3" width="13" customWidth="1"/>
    <col min="4" max="4" width="12" customWidth="1"/>
    <col min="5" max="5" width="13" customWidth="1"/>
    <col min="6" max="6" width="8" customWidth="1"/>
    <col min="7" max="7" width="12" customWidth="1"/>
    <col min="8" max="19" width="13" customWidth="1"/>
    <col min="20" max="20" width="16" customWidth="1"/>
    <col min="21" max="21" width="17" customWidth="1"/>
    <col min="22" max="22" width="16" customWidth="1"/>
    <col min="23" max="28" width="13" customWidth="1"/>
    <col min="29" max="29" width="18" customWidth="1"/>
    <col min="30" max="30" width="19" customWidth="1"/>
    <col min="31" max="31" width="18" customWidth="1"/>
    <col min="32" max="41" width="13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2024</v>
      </c>
      <c r="B2">
        <v>4</v>
      </c>
      <c r="C2">
        <v>14</v>
      </c>
      <c r="D2" s="14">
        <v>45383</v>
      </c>
      <c r="E2" t="s">
        <v>41</v>
      </c>
      <c r="F2" t="s">
        <v>42</v>
      </c>
      <c r="G2" t="s">
        <v>43</v>
      </c>
      <c r="H2">
        <v>128355</v>
      </c>
      <c r="I2">
        <v>128355</v>
      </c>
      <c r="J2">
        <v>0</v>
      </c>
      <c r="K2">
        <v>1431.7500000000191</v>
      </c>
      <c r="L2">
        <v>1414.7500000000184</v>
      </c>
      <c r="M2">
        <v>-17</v>
      </c>
      <c r="N2">
        <v>2795.0199999999891</v>
      </c>
      <c r="O2">
        <v>2795.0199999999891</v>
      </c>
      <c r="P2">
        <v>0</v>
      </c>
      <c r="Q2">
        <v>-13798.71</v>
      </c>
      <c r="R2">
        <v>-11898.71</v>
      </c>
      <c r="S2">
        <v>1900</v>
      </c>
      <c r="T2">
        <v>-4.71</v>
      </c>
      <c r="U2">
        <v>-4.71</v>
      </c>
      <c r="V2">
        <v>0</v>
      </c>
      <c r="W2">
        <v>-70.990000000000009</v>
      </c>
      <c r="X2">
        <v>-70.990000000000009</v>
      </c>
      <c r="Y2">
        <v>0</v>
      </c>
      <c r="Z2">
        <v>118707.36000000116</v>
      </c>
      <c r="AA2">
        <v>120590.36000000122</v>
      </c>
      <c r="AB2">
        <v>1883</v>
      </c>
      <c r="AC2">
        <v>37420.469999999601</v>
      </c>
      <c r="AD2">
        <v>17359.68999999994</v>
      </c>
      <c r="AE2">
        <v>-20060.779999999912</v>
      </c>
      <c r="AF2">
        <v>81286.890000000058</v>
      </c>
      <c r="AG2">
        <v>103230.67000000059</v>
      </c>
      <c r="AH2">
        <v>21943.779999999919</v>
      </c>
      <c r="AI2">
        <v>-8790.300000000012</v>
      </c>
      <c r="AJ2">
        <v>0</v>
      </c>
      <c r="AK2">
        <v>8790.300000000012</v>
      </c>
      <c r="AL2">
        <v>90077.189999999711</v>
      </c>
      <c r="AM2">
        <v>103230.67000000059</v>
      </c>
      <c r="AN2">
        <v>13153.479999999914</v>
      </c>
      <c r="AO2">
        <v>2245</v>
      </c>
    </row>
    <row r="3" spans="1:41" x14ac:dyDescent="0.35">
      <c r="A3">
        <v>2024</v>
      </c>
      <c r="B3">
        <v>4</v>
      </c>
      <c r="C3">
        <v>14</v>
      </c>
      <c r="D3" s="14">
        <v>45384</v>
      </c>
      <c r="E3" t="s">
        <v>41</v>
      </c>
      <c r="F3" t="s">
        <v>42</v>
      </c>
      <c r="G3" t="s">
        <v>43</v>
      </c>
      <c r="H3">
        <v>119408.25</v>
      </c>
      <c r="I3">
        <v>119408.25</v>
      </c>
      <c r="J3">
        <v>0</v>
      </c>
      <c r="K3">
        <v>1274.7900000000147</v>
      </c>
      <c r="L3">
        <v>1267.7900000000145</v>
      </c>
      <c r="M3">
        <v>-7</v>
      </c>
      <c r="N3">
        <v>2563.2199999999934</v>
      </c>
      <c r="O3">
        <v>2563.2199999999934</v>
      </c>
      <c r="P3">
        <v>0</v>
      </c>
      <c r="Q3">
        <v>-13018.480000000001</v>
      </c>
      <c r="R3">
        <v>-11112.48</v>
      </c>
      <c r="S3">
        <v>1906</v>
      </c>
      <c r="T3">
        <v>-4.3400000000000007</v>
      </c>
      <c r="U3">
        <v>-3.37</v>
      </c>
      <c r="V3">
        <v>0.97</v>
      </c>
      <c r="W3">
        <v>-55.99</v>
      </c>
      <c r="X3">
        <v>-55.99</v>
      </c>
      <c r="Y3">
        <v>0</v>
      </c>
      <c r="Z3">
        <v>110167.45000000061</v>
      </c>
      <c r="AA3">
        <v>112067.42000000062</v>
      </c>
      <c r="AB3">
        <v>1899.97</v>
      </c>
      <c r="AC3">
        <v>33525.289999999775</v>
      </c>
      <c r="AD3">
        <v>16329.029999999964</v>
      </c>
      <c r="AE3">
        <v>-17196.25999999994</v>
      </c>
      <c r="AF3">
        <v>76642.16000000028</v>
      </c>
      <c r="AG3">
        <v>95738.390000000349</v>
      </c>
      <c r="AH3">
        <v>19096.22999999992</v>
      </c>
      <c r="AI3">
        <v>-8341.1099999999969</v>
      </c>
      <c r="AJ3">
        <v>0</v>
      </c>
      <c r="AK3">
        <v>8341.1099999999969</v>
      </c>
      <c r="AL3">
        <v>84983.270000000033</v>
      </c>
      <c r="AM3">
        <v>95738.390000000349</v>
      </c>
      <c r="AN3">
        <v>10755.119999999961</v>
      </c>
      <c r="AO3">
        <v>2080</v>
      </c>
    </row>
    <row r="4" spans="1:41" x14ac:dyDescent="0.35">
      <c r="A4">
        <v>2024</v>
      </c>
      <c r="B4">
        <v>4</v>
      </c>
      <c r="C4">
        <v>14</v>
      </c>
      <c r="D4" s="14">
        <v>45385</v>
      </c>
      <c r="E4" t="s">
        <v>41</v>
      </c>
      <c r="F4" t="s">
        <v>42</v>
      </c>
      <c r="G4" t="s">
        <v>43</v>
      </c>
      <c r="H4">
        <v>114883.25</v>
      </c>
      <c r="I4">
        <v>114883.25</v>
      </c>
      <c r="J4">
        <v>0</v>
      </c>
      <c r="K4">
        <v>1152.6300000000101</v>
      </c>
      <c r="L4">
        <v>1145.6300000000101</v>
      </c>
      <c r="M4">
        <v>-7</v>
      </c>
      <c r="N4">
        <v>2363.3799999999956</v>
      </c>
      <c r="O4">
        <v>2363.3799999999956</v>
      </c>
      <c r="P4">
        <v>0</v>
      </c>
      <c r="Q4">
        <v>-12427.9</v>
      </c>
      <c r="R4">
        <v>-11721.9</v>
      </c>
      <c r="S4">
        <v>706</v>
      </c>
      <c r="T4">
        <v>-18.36</v>
      </c>
      <c r="U4">
        <v>-18.36</v>
      </c>
      <c r="V4">
        <v>0</v>
      </c>
      <c r="W4">
        <v>-20</v>
      </c>
      <c r="X4">
        <v>-20</v>
      </c>
      <c r="Y4">
        <v>0</v>
      </c>
      <c r="Z4">
        <v>105933.00000000063</v>
      </c>
      <c r="AA4">
        <v>106632.00000000063</v>
      </c>
      <c r="AB4">
        <v>699</v>
      </c>
      <c r="AC4">
        <v>32680.169999999776</v>
      </c>
      <c r="AD4">
        <v>16620.909999999956</v>
      </c>
      <c r="AE4">
        <v>-16059.259999999957</v>
      </c>
      <c r="AF4">
        <v>73252.830000000104</v>
      </c>
      <c r="AG4">
        <v>90011.090000000302</v>
      </c>
      <c r="AH4">
        <v>16758.259999999955</v>
      </c>
      <c r="AI4">
        <v>-8315.3199999999979</v>
      </c>
      <c r="AJ4">
        <v>0</v>
      </c>
      <c r="AK4">
        <v>8315.3199999999979</v>
      </c>
      <c r="AL4">
        <v>81568.149999999994</v>
      </c>
      <c r="AM4">
        <v>90011.090000000302</v>
      </c>
      <c r="AN4">
        <v>8442.9400000000187</v>
      </c>
      <c r="AO4">
        <v>1989</v>
      </c>
    </row>
    <row r="5" spans="1:41" x14ac:dyDescent="0.35">
      <c r="A5">
        <v>2024</v>
      </c>
      <c r="B5">
        <v>4</v>
      </c>
      <c r="C5">
        <v>14</v>
      </c>
      <c r="D5" s="14">
        <v>45386</v>
      </c>
      <c r="E5" t="s">
        <v>41</v>
      </c>
      <c r="F5" t="s">
        <v>42</v>
      </c>
      <c r="G5" t="s">
        <v>43</v>
      </c>
      <c r="H5">
        <v>90317.5</v>
      </c>
      <c r="I5">
        <v>90317.5</v>
      </c>
      <c r="J5">
        <v>0</v>
      </c>
      <c r="K5">
        <v>987.8100000000062</v>
      </c>
      <c r="L5">
        <v>994.81000000000665</v>
      </c>
      <c r="M5">
        <v>7</v>
      </c>
      <c r="N5">
        <v>2095.5100000000002</v>
      </c>
      <c r="O5">
        <v>2095.5100000000002</v>
      </c>
      <c r="P5">
        <v>0</v>
      </c>
      <c r="Q5">
        <v>-9225</v>
      </c>
      <c r="R5">
        <v>-8141</v>
      </c>
      <c r="S5">
        <v>1084</v>
      </c>
      <c r="T5">
        <v>-26.400000000000002</v>
      </c>
      <c r="U5">
        <v>-26.860000000000003</v>
      </c>
      <c r="V5">
        <v>-0.46</v>
      </c>
      <c r="W5">
        <v>-40</v>
      </c>
      <c r="X5">
        <v>-40</v>
      </c>
      <c r="Y5">
        <v>0</v>
      </c>
      <c r="Z5">
        <v>84109.420000000187</v>
      </c>
      <c r="AA5">
        <v>85199.960000000225</v>
      </c>
      <c r="AB5">
        <v>1090.54</v>
      </c>
      <c r="AC5">
        <v>23444.269999999826</v>
      </c>
      <c r="AD5">
        <v>7138.9600000000191</v>
      </c>
      <c r="AE5">
        <v>-16305.309999999959</v>
      </c>
      <c r="AF5">
        <v>60665.150000000212</v>
      </c>
      <c r="AG5">
        <v>78061.000000000087</v>
      </c>
      <c r="AH5">
        <v>17395.849999999944</v>
      </c>
      <c r="AI5">
        <v>-3618.8399999999974</v>
      </c>
      <c r="AJ5">
        <v>-7.3900000000000006</v>
      </c>
      <c r="AK5">
        <v>3611.4499999999971</v>
      </c>
      <c r="AL5">
        <v>64283.990000000129</v>
      </c>
      <c r="AM5">
        <v>78068.390000000087</v>
      </c>
      <c r="AN5">
        <v>13784.399999999971</v>
      </c>
      <c r="AO5">
        <v>1565</v>
      </c>
    </row>
    <row r="6" spans="1:41" x14ac:dyDescent="0.35">
      <c r="A6">
        <v>2024</v>
      </c>
      <c r="B6">
        <v>4</v>
      </c>
      <c r="C6">
        <v>14</v>
      </c>
      <c r="D6" s="14">
        <v>45387</v>
      </c>
      <c r="E6" t="s">
        <v>41</v>
      </c>
      <c r="F6" t="s">
        <v>42</v>
      </c>
      <c r="G6" t="s">
        <v>43</v>
      </c>
      <c r="H6">
        <v>65007.5</v>
      </c>
      <c r="I6">
        <v>65007.5</v>
      </c>
      <c r="J6">
        <v>0</v>
      </c>
      <c r="K6">
        <v>832.20000000000164</v>
      </c>
      <c r="L6">
        <v>832.20000000000164</v>
      </c>
      <c r="M6">
        <v>0</v>
      </c>
      <c r="N6">
        <v>1506.8500000000008</v>
      </c>
      <c r="O6">
        <v>1506.8500000000008</v>
      </c>
      <c r="P6">
        <v>0</v>
      </c>
      <c r="Q6">
        <v>-6561</v>
      </c>
      <c r="R6">
        <v>-6094</v>
      </c>
      <c r="S6">
        <v>467</v>
      </c>
      <c r="T6">
        <v>-12.810000000000002</v>
      </c>
      <c r="U6">
        <v>-12.810000000000002</v>
      </c>
      <c r="V6">
        <v>0</v>
      </c>
      <c r="W6">
        <v>-55</v>
      </c>
      <c r="X6">
        <v>-55</v>
      </c>
      <c r="Y6">
        <v>0</v>
      </c>
      <c r="Z6">
        <v>60717.7399999997</v>
      </c>
      <c r="AA6">
        <v>61184.739999999692</v>
      </c>
      <c r="AB6">
        <v>467</v>
      </c>
      <c r="AC6">
        <v>14305.779999999997</v>
      </c>
      <c r="AD6">
        <v>7218.3400000000183</v>
      </c>
      <c r="AE6">
        <v>-7087.4400000000169</v>
      </c>
      <c r="AF6">
        <v>46411.96000000013</v>
      </c>
      <c r="AG6">
        <v>53966.399999999914</v>
      </c>
      <c r="AH6">
        <v>7554.4400000000178</v>
      </c>
      <c r="AI6">
        <v>-3704.559999999999</v>
      </c>
      <c r="AJ6">
        <v>0</v>
      </c>
      <c r="AK6">
        <v>3704.559999999999</v>
      </c>
      <c r="AL6">
        <v>50116.52000000012</v>
      </c>
      <c r="AM6">
        <v>53966.399999999914</v>
      </c>
      <c r="AN6">
        <v>3849.8800000000138</v>
      </c>
      <c r="AO6">
        <v>1129</v>
      </c>
    </row>
    <row r="7" spans="1:41" x14ac:dyDescent="0.35">
      <c r="A7">
        <v>2024</v>
      </c>
      <c r="B7">
        <v>4</v>
      </c>
      <c r="C7">
        <v>14</v>
      </c>
      <c r="D7" s="14">
        <v>45388</v>
      </c>
      <c r="E7" t="s">
        <v>41</v>
      </c>
      <c r="F7" t="s">
        <v>42</v>
      </c>
      <c r="G7" t="s">
        <v>43</v>
      </c>
      <c r="H7">
        <v>61573.5</v>
      </c>
      <c r="I7">
        <v>61573.5</v>
      </c>
      <c r="J7">
        <v>0</v>
      </c>
      <c r="K7">
        <v>784.27999999999861</v>
      </c>
      <c r="L7">
        <v>784.27999999999861</v>
      </c>
      <c r="M7">
        <v>0</v>
      </c>
      <c r="N7">
        <v>1622.8000000000009</v>
      </c>
      <c r="O7">
        <v>1613.8100000000009</v>
      </c>
      <c r="P7">
        <v>-8.99</v>
      </c>
      <c r="Q7">
        <v>-6366</v>
      </c>
      <c r="R7">
        <v>-5822</v>
      </c>
      <c r="S7">
        <v>544</v>
      </c>
      <c r="T7">
        <v>-3.9800000000000004</v>
      </c>
      <c r="U7">
        <v>-3.9800000000000004</v>
      </c>
      <c r="V7">
        <v>0</v>
      </c>
      <c r="W7">
        <v>-40</v>
      </c>
      <c r="X7">
        <v>-40</v>
      </c>
      <c r="Y7">
        <v>0</v>
      </c>
      <c r="Z7">
        <v>57570.599999999722</v>
      </c>
      <c r="AA7">
        <v>58105.609999999724</v>
      </c>
      <c r="AB7">
        <v>535.01</v>
      </c>
      <c r="AC7">
        <v>14422.269999999999</v>
      </c>
      <c r="AD7">
        <v>7316.96000000002</v>
      </c>
      <c r="AE7">
        <v>-7105.3100000000168</v>
      </c>
      <c r="AF7">
        <v>43148.330000000111</v>
      </c>
      <c r="AG7">
        <v>50788.649999999943</v>
      </c>
      <c r="AH7">
        <v>7640.3200000000179</v>
      </c>
      <c r="AI7">
        <v>-3728.1699999999951</v>
      </c>
      <c r="AJ7">
        <v>0</v>
      </c>
      <c r="AK7">
        <v>3728.1699999999951</v>
      </c>
      <c r="AL7">
        <v>46876.5</v>
      </c>
      <c r="AM7">
        <v>50788.649999999943</v>
      </c>
      <c r="AN7">
        <v>3912.1500000000074</v>
      </c>
      <c r="AO7">
        <v>1079</v>
      </c>
    </row>
    <row r="8" spans="1:41" x14ac:dyDescent="0.35">
      <c r="A8">
        <v>2024</v>
      </c>
      <c r="B8">
        <v>4</v>
      </c>
      <c r="C8">
        <v>14</v>
      </c>
      <c r="D8" s="14">
        <v>45383</v>
      </c>
      <c r="E8" t="s">
        <v>44</v>
      </c>
      <c r="F8" t="s">
        <v>42</v>
      </c>
      <c r="G8" t="s">
        <v>45</v>
      </c>
      <c r="H8">
        <v>163952</v>
      </c>
      <c r="I8">
        <v>163952</v>
      </c>
      <c r="J8">
        <v>0</v>
      </c>
      <c r="K8">
        <v>1171.010000000013</v>
      </c>
      <c r="L8">
        <v>1171.010000000013</v>
      </c>
      <c r="M8">
        <v>0</v>
      </c>
      <c r="N8">
        <v>7026.4299999999303</v>
      </c>
      <c r="O8">
        <v>6978.4599999999309</v>
      </c>
      <c r="P8">
        <v>-47.97</v>
      </c>
      <c r="Q8">
        <v>-30925.62</v>
      </c>
      <c r="R8">
        <v>-29838.62</v>
      </c>
      <c r="S8">
        <v>1087</v>
      </c>
      <c r="T8">
        <v>-9.2900000000000009</v>
      </c>
      <c r="U8">
        <v>-9.2900000000000009</v>
      </c>
      <c r="V8">
        <v>0</v>
      </c>
      <c r="W8">
        <v>-134</v>
      </c>
      <c r="X8">
        <v>-134</v>
      </c>
      <c r="Y8">
        <v>0</v>
      </c>
      <c r="Z8">
        <v>141080.53000000081</v>
      </c>
      <c r="AA8">
        <v>142119.56000000081</v>
      </c>
      <c r="AB8">
        <v>1039.03</v>
      </c>
      <c r="AC8">
        <v>31260.27999999981</v>
      </c>
      <c r="AD8">
        <v>14684.429999999958</v>
      </c>
      <c r="AE8">
        <v>-16575.849999999944</v>
      </c>
      <c r="AF8">
        <v>109820.25000000055</v>
      </c>
      <c r="AG8">
        <v>127435.13000000078</v>
      </c>
      <c r="AH8">
        <v>17614.87999999995</v>
      </c>
      <c r="AI8">
        <v>-7317.550000000002</v>
      </c>
      <c r="AJ8">
        <v>0</v>
      </c>
      <c r="AK8">
        <v>7317.550000000002</v>
      </c>
      <c r="AL8">
        <v>117137.80000000003</v>
      </c>
      <c r="AM8">
        <v>127435.13000000078</v>
      </c>
      <c r="AN8">
        <v>10297.329999999964</v>
      </c>
      <c r="AO8">
        <v>2104</v>
      </c>
    </row>
    <row r="9" spans="1:41" x14ac:dyDescent="0.35">
      <c r="A9">
        <v>2024</v>
      </c>
      <c r="B9">
        <v>4</v>
      </c>
      <c r="C9">
        <v>14</v>
      </c>
      <c r="D9" s="14">
        <v>45384</v>
      </c>
      <c r="E9" t="s">
        <v>44</v>
      </c>
      <c r="F9" t="s">
        <v>42</v>
      </c>
      <c r="G9" t="s">
        <v>45</v>
      </c>
      <c r="H9">
        <v>140050.82</v>
      </c>
      <c r="I9">
        <v>140050.82</v>
      </c>
      <c r="J9">
        <v>0</v>
      </c>
      <c r="K9">
        <v>1022.8100000000029</v>
      </c>
      <c r="L9">
        <v>1022.8100000000029</v>
      </c>
      <c r="M9">
        <v>0</v>
      </c>
      <c r="N9">
        <v>5792.2799999999488</v>
      </c>
      <c r="O9">
        <v>5760.2999999999493</v>
      </c>
      <c r="P9">
        <v>-31.980000000000004</v>
      </c>
      <c r="Q9">
        <v>-27779.57</v>
      </c>
      <c r="R9">
        <v>-26813.57</v>
      </c>
      <c r="S9">
        <v>966</v>
      </c>
      <c r="T9">
        <v>-4</v>
      </c>
      <c r="U9">
        <v>-4</v>
      </c>
      <c r="V9">
        <v>0</v>
      </c>
      <c r="W9">
        <v>-149.98999999999998</v>
      </c>
      <c r="X9">
        <v>-149.98999999999998</v>
      </c>
      <c r="Y9">
        <v>0</v>
      </c>
      <c r="Z9">
        <v>118932.35000000073</v>
      </c>
      <c r="AA9">
        <v>119866.37000000075</v>
      </c>
      <c r="AB9">
        <v>934.02</v>
      </c>
      <c r="AC9">
        <v>26540.519999999891</v>
      </c>
      <c r="AD9">
        <v>12114.639999999987</v>
      </c>
      <c r="AE9">
        <v>-14425.87999999997</v>
      </c>
      <c r="AF9">
        <v>92391.830000000482</v>
      </c>
      <c r="AG9">
        <v>107751.73000000062</v>
      </c>
      <c r="AH9">
        <v>15359.899999999967</v>
      </c>
      <c r="AI9">
        <v>-6046.4099999999989</v>
      </c>
      <c r="AJ9">
        <v>0</v>
      </c>
      <c r="AK9">
        <v>6046.4099999999989</v>
      </c>
      <c r="AL9">
        <v>98438.240000000078</v>
      </c>
      <c r="AM9">
        <v>107751.73000000062</v>
      </c>
      <c r="AN9">
        <v>9313.4899999999907</v>
      </c>
      <c r="AO9">
        <v>1793</v>
      </c>
    </row>
    <row r="10" spans="1:41" x14ac:dyDescent="0.35">
      <c r="A10">
        <v>2024</v>
      </c>
      <c r="B10">
        <v>4</v>
      </c>
      <c r="C10">
        <v>14</v>
      </c>
      <c r="D10" s="14">
        <v>45385</v>
      </c>
      <c r="E10" t="s">
        <v>44</v>
      </c>
      <c r="F10" t="s">
        <v>42</v>
      </c>
      <c r="G10" t="s">
        <v>45</v>
      </c>
      <c r="H10">
        <v>136203.25</v>
      </c>
      <c r="I10">
        <v>136203.25</v>
      </c>
      <c r="J10">
        <v>0</v>
      </c>
      <c r="K10">
        <v>1065.8500000000083</v>
      </c>
      <c r="L10">
        <v>1065.8500000000083</v>
      </c>
      <c r="M10">
        <v>0</v>
      </c>
      <c r="N10">
        <v>5452.4899999999534</v>
      </c>
      <c r="O10">
        <v>5411.5199999999541</v>
      </c>
      <c r="P10">
        <v>-40.97</v>
      </c>
      <c r="Q10">
        <v>-26091.46</v>
      </c>
      <c r="R10">
        <v>-25523.46</v>
      </c>
      <c r="S10">
        <v>568</v>
      </c>
      <c r="T10">
        <v>-9.83</v>
      </c>
      <c r="U10">
        <v>-9.83</v>
      </c>
      <c r="V10">
        <v>0</v>
      </c>
      <c r="W10">
        <v>-116.7</v>
      </c>
      <c r="X10">
        <v>-116.7</v>
      </c>
      <c r="Y10">
        <v>0</v>
      </c>
      <c r="Z10">
        <v>116503.6000000007</v>
      </c>
      <c r="AA10">
        <v>117030.6300000007</v>
      </c>
      <c r="AB10">
        <v>527.03</v>
      </c>
      <c r="AC10">
        <v>25786.209999999843</v>
      </c>
      <c r="AD10">
        <v>13808.509999999977</v>
      </c>
      <c r="AE10">
        <v>-11977.699999999988</v>
      </c>
      <c r="AF10">
        <v>90717.390000000407</v>
      </c>
      <c r="AG10">
        <v>103222.12000000039</v>
      </c>
      <c r="AH10">
        <v>12504.729999999983</v>
      </c>
      <c r="AI10">
        <v>-6852.6900000000051</v>
      </c>
      <c r="AJ10">
        <v>0</v>
      </c>
      <c r="AK10">
        <v>6852.6900000000051</v>
      </c>
      <c r="AL10">
        <v>97570.080000000089</v>
      </c>
      <c r="AM10">
        <v>103222.12000000039</v>
      </c>
      <c r="AN10">
        <v>5652.0400000000154</v>
      </c>
      <c r="AO10">
        <v>1767</v>
      </c>
    </row>
    <row r="11" spans="1:41" x14ac:dyDescent="0.35">
      <c r="A11">
        <v>2024</v>
      </c>
      <c r="B11">
        <v>4</v>
      </c>
      <c r="C11">
        <v>14</v>
      </c>
      <c r="D11" s="14">
        <v>45386</v>
      </c>
      <c r="E11" t="s">
        <v>44</v>
      </c>
      <c r="F11" t="s">
        <v>42</v>
      </c>
      <c r="G11" t="s">
        <v>45</v>
      </c>
      <c r="H11">
        <v>129291</v>
      </c>
      <c r="I11">
        <v>129291</v>
      </c>
      <c r="J11">
        <v>0</v>
      </c>
      <c r="K11">
        <v>1217.8400000000083</v>
      </c>
      <c r="L11">
        <v>1187.8400000000076</v>
      </c>
      <c r="M11">
        <v>-30</v>
      </c>
      <c r="N11">
        <v>5572.2599999999493</v>
      </c>
      <c r="O11">
        <v>5556.2699999999495</v>
      </c>
      <c r="P11">
        <v>-15.99</v>
      </c>
      <c r="Q11">
        <v>-23433.67</v>
      </c>
      <c r="R11">
        <v>-22718.67</v>
      </c>
      <c r="S11">
        <v>715</v>
      </c>
      <c r="T11">
        <v>-15.390000000000002</v>
      </c>
      <c r="U11">
        <v>-15.390000000000002</v>
      </c>
      <c r="V11">
        <v>0</v>
      </c>
      <c r="W11">
        <v>-105.2</v>
      </c>
      <c r="X11">
        <v>-105.2</v>
      </c>
      <c r="Y11">
        <v>0</v>
      </c>
      <c r="Z11">
        <v>112526.84000000067</v>
      </c>
      <c r="AA11">
        <v>113195.85000000069</v>
      </c>
      <c r="AB11">
        <v>669.01</v>
      </c>
      <c r="AC11">
        <v>21161.989999999871</v>
      </c>
      <c r="AD11">
        <v>7689.5700000000215</v>
      </c>
      <c r="AE11">
        <v>-13472.419999999973</v>
      </c>
      <c r="AF11">
        <v>91364.850000000399</v>
      </c>
      <c r="AG11">
        <v>105506.28000000052</v>
      </c>
      <c r="AH11">
        <v>14141.429999999966</v>
      </c>
      <c r="AI11">
        <v>-4192.8700000000026</v>
      </c>
      <c r="AJ11">
        <v>0</v>
      </c>
      <c r="AK11">
        <v>4192.8700000000026</v>
      </c>
      <c r="AL11">
        <v>95557.72000000019</v>
      </c>
      <c r="AM11">
        <v>105506.28000000052</v>
      </c>
      <c r="AN11">
        <v>9948.56</v>
      </c>
      <c r="AO11">
        <v>1689</v>
      </c>
    </row>
    <row r="12" spans="1:41" x14ac:dyDescent="0.35">
      <c r="A12">
        <v>2024</v>
      </c>
      <c r="B12">
        <v>4</v>
      </c>
      <c r="C12">
        <v>14</v>
      </c>
      <c r="D12" s="14">
        <v>45387</v>
      </c>
      <c r="E12" t="s">
        <v>44</v>
      </c>
      <c r="F12" t="s">
        <v>42</v>
      </c>
      <c r="G12" t="s">
        <v>45</v>
      </c>
      <c r="H12">
        <v>105157</v>
      </c>
      <c r="I12">
        <v>105157</v>
      </c>
      <c r="J12">
        <v>0</v>
      </c>
      <c r="K12">
        <v>844.79000000000315</v>
      </c>
      <c r="L12">
        <v>844.79000000000315</v>
      </c>
      <c r="M12">
        <v>0</v>
      </c>
      <c r="N12">
        <v>4249.0799999999681</v>
      </c>
      <c r="O12">
        <v>4240.0899999999683</v>
      </c>
      <c r="P12">
        <v>-8.99</v>
      </c>
      <c r="Q12">
        <v>-17805.71</v>
      </c>
      <c r="R12">
        <v>-17526.71</v>
      </c>
      <c r="S12">
        <v>279</v>
      </c>
      <c r="T12">
        <v>-10.950000000000001</v>
      </c>
      <c r="U12">
        <v>-10.950000000000001</v>
      </c>
      <c r="V12">
        <v>0</v>
      </c>
      <c r="W12">
        <v>-63</v>
      </c>
      <c r="X12">
        <v>-63</v>
      </c>
      <c r="Y12">
        <v>0</v>
      </c>
      <c r="Z12">
        <v>92371.210000000327</v>
      </c>
      <c r="AA12">
        <v>92641.220000000321</v>
      </c>
      <c r="AB12">
        <v>270.01</v>
      </c>
      <c r="AC12">
        <v>15368.32999999994</v>
      </c>
      <c r="AD12">
        <v>7773.4800000000187</v>
      </c>
      <c r="AE12">
        <v>-7594.8500000000204</v>
      </c>
      <c r="AF12">
        <v>77002.880000000281</v>
      </c>
      <c r="AG12">
        <v>84867.740000000253</v>
      </c>
      <c r="AH12">
        <v>7864.8600000000197</v>
      </c>
      <c r="AI12">
        <v>-4005.1300000000078</v>
      </c>
      <c r="AJ12">
        <v>0</v>
      </c>
      <c r="AK12">
        <v>4005.1300000000078</v>
      </c>
      <c r="AL12">
        <v>81008.010000000169</v>
      </c>
      <c r="AM12">
        <v>84867.740000000253</v>
      </c>
      <c r="AN12">
        <v>3859.7300000000059</v>
      </c>
      <c r="AO12">
        <v>1396</v>
      </c>
    </row>
    <row r="13" spans="1:41" x14ac:dyDescent="0.35">
      <c r="A13">
        <v>2024</v>
      </c>
      <c r="B13">
        <v>4</v>
      </c>
      <c r="C13">
        <v>14</v>
      </c>
      <c r="D13" s="14">
        <v>45388</v>
      </c>
      <c r="E13" t="s">
        <v>44</v>
      </c>
      <c r="F13" t="s">
        <v>42</v>
      </c>
      <c r="G13" t="s">
        <v>45</v>
      </c>
      <c r="H13">
        <v>97364</v>
      </c>
      <c r="I13">
        <v>97364</v>
      </c>
      <c r="J13">
        <v>0</v>
      </c>
      <c r="K13">
        <v>845.21000000000186</v>
      </c>
      <c r="L13">
        <v>845.21000000000186</v>
      </c>
      <c r="M13">
        <v>0</v>
      </c>
      <c r="N13">
        <v>4561.9599999999646</v>
      </c>
      <c r="O13">
        <v>4561.9599999999646</v>
      </c>
      <c r="P13">
        <v>0</v>
      </c>
      <c r="Q13">
        <v>-16576.41</v>
      </c>
      <c r="R13">
        <v>-16286.41</v>
      </c>
      <c r="S13">
        <v>290</v>
      </c>
      <c r="T13">
        <v>-6.1800000000000006</v>
      </c>
      <c r="U13">
        <v>-6.1800000000000006</v>
      </c>
      <c r="V13">
        <v>0</v>
      </c>
      <c r="W13">
        <v>-95.490000000000009</v>
      </c>
      <c r="X13">
        <v>-95.490000000000009</v>
      </c>
      <c r="Y13">
        <v>0</v>
      </c>
      <c r="Z13">
        <v>86093.090000000142</v>
      </c>
      <c r="AA13">
        <v>86383.090000000157</v>
      </c>
      <c r="AB13">
        <v>290</v>
      </c>
      <c r="AC13">
        <v>12999.81999999996</v>
      </c>
      <c r="AD13">
        <v>5591.6800000000176</v>
      </c>
      <c r="AE13">
        <v>-7408.1400000000185</v>
      </c>
      <c r="AF13">
        <v>73093.270000000164</v>
      </c>
      <c r="AG13">
        <v>80791.41000000012</v>
      </c>
      <c r="AH13">
        <v>7698.1400000000185</v>
      </c>
      <c r="AI13">
        <v>-3144.0200000000009</v>
      </c>
      <c r="AJ13">
        <v>0</v>
      </c>
      <c r="AK13">
        <v>3144.0200000000009</v>
      </c>
      <c r="AL13">
        <v>76237.290000000023</v>
      </c>
      <c r="AM13">
        <v>80791.41000000012</v>
      </c>
      <c r="AN13">
        <v>4554.1200000000099</v>
      </c>
      <c r="AO13">
        <v>1286</v>
      </c>
    </row>
    <row r="14" spans="1:41" x14ac:dyDescent="0.35">
      <c r="A14">
        <v>2024</v>
      </c>
      <c r="B14">
        <v>4</v>
      </c>
      <c r="C14">
        <v>14</v>
      </c>
      <c r="D14" s="14">
        <v>45383</v>
      </c>
      <c r="E14" t="s">
        <v>44</v>
      </c>
      <c r="F14" t="s">
        <v>42</v>
      </c>
      <c r="G14" t="s">
        <v>46</v>
      </c>
      <c r="H14">
        <v>39661.579999999965</v>
      </c>
      <c r="I14">
        <v>39661.579999999965</v>
      </c>
      <c r="J14">
        <v>0</v>
      </c>
      <c r="K14">
        <v>207.96000000000009</v>
      </c>
      <c r="L14">
        <v>207.96000000000009</v>
      </c>
      <c r="M14">
        <v>0</v>
      </c>
      <c r="N14">
        <v>1043.3400000000004</v>
      </c>
      <c r="O14">
        <v>1027.3500000000004</v>
      </c>
      <c r="P14">
        <v>-15.99</v>
      </c>
      <c r="Q14">
        <v>-13974.019999999971</v>
      </c>
      <c r="R14">
        <v>-13373.019999999971</v>
      </c>
      <c r="S14">
        <v>601</v>
      </c>
      <c r="T14">
        <v>-3</v>
      </c>
      <c r="U14">
        <v>-3</v>
      </c>
      <c r="V14">
        <v>0</v>
      </c>
      <c r="W14">
        <v>0</v>
      </c>
      <c r="X14">
        <v>0</v>
      </c>
      <c r="Y14">
        <v>0</v>
      </c>
      <c r="Z14">
        <v>26935.860000000008</v>
      </c>
      <c r="AA14">
        <v>27520.870000000014</v>
      </c>
      <c r="AB14">
        <v>585.01</v>
      </c>
      <c r="AC14">
        <v>7635.8800000000101</v>
      </c>
      <c r="AD14">
        <v>3179.7500000000027</v>
      </c>
      <c r="AE14">
        <v>-4456.1300000000047</v>
      </c>
      <c r="AF14">
        <v>19299.980000000014</v>
      </c>
      <c r="AG14">
        <v>24341.120000000021</v>
      </c>
      <c r="AH14">
        <v>5041.140000000004</v>
      </c>
      <c r="AI14">
        <v>-1223.8599999999997</v>
      </c>
      <c r="AJ14">
        <v>0</v>
      </c>
      <c r="AK14">
        <v>1223.8599999999997</v>
      </c>
      <c r="AL14">
        <v>20523.84</v>
      </c>
      <c r="AM14">
        <v>24341.120000000021</v>
      </c>
      <c r="AN14">
        <v>3817.2800000000011</v>
      </c>
      <c r="AO14">
        <v>467</v>
      </c>
    </row>
    <row r="15" spans="1:41" x14ac:dyDescent="0.35">
      <c r="A15">
        <v>2024</v>
      </c>
      <c r="B15">
        <v>4</v>
      </c>
      <c r="C15">
        <v>14</v>
      </c>
      <c r="D15" s="14">
        <v>45384</v>
      </c>
      <c r="E15" t="s">
        <v>44</v>
      </c>
      <c r="F15" t="s">
        <v>42</v>
      </c>
      <c r="G15" t="s">
        <v>46</v>
      </c>
      <c r="H15">
        <v>31275.139999999978</v>
      </c>
      <c r="I15">
        <v>31275.139999999978</v>
      </c>
      <c r="J15">
        <v>0</v>
      </c>
      <c r="K15">
        <v>232.11999999999998</v>
      </c>
      <c r="L15">
        <v>232.11999999999998</v>
      </c>
      <c r="M15">
        <v>0</v>
      </c>
      <c r="N15">
        <v>906.4400000000004</v>
      </c>
      <c r="O15">
        <v>906.4400000000004</v>
      </c>
      <c r="P15">
        <v>0</v>
      </c>
      <c r="Q15">
        <v>-10884.14999999998</v>
      </c>
      <c r="R15">
        <v>-10722.14999999998</v>
      </c>
      <c r="S15">
        <v>162</v>
      </c>
      <c r="T15">
        <v>0</v>
      </c>
      <c r="U15">
        <v>0</v>
      </c>
      <c r="V15">
        <v>0</v>
      </c>
      <c r="W15">
        <v>-8</v>
      </c>
      <c r="X15">
        <v>-8</v>
      </c>
      <c r="Y15">
        <v>0</v>
      </c>
      <c r="Z15">
        <v>21521.550000000007</v>
      </c>
      <c r="AA15">
        <v>21683.550000000003</v>
      </c>
      <c r="AB15">
        <v>162</v>
      </c>
      <c r="AC15">
        <v>5571.3000000000075</v>
      </c>
      <c r="AD15">
        <v>2459.9300000000012</v>
      </c>
      <c r="AE15">
        <v>-3111.3700000000031</v>
      </c>
      <c r="AF15">
        <v>15950.250000000015</v>
      </c>
      <c r="AG15">
        <v>19223.620000000017</v>
      </c>
      <c r="AH15">
        <v>3273.3700000000026</v>
      </c>
      <c r="AI15">
        <v>-996.21999999999969</v>
      </c>
      <c r="AJ15">
        <v>0</v>
      </c>
      <c r="AK15">
        <v>996.21999999999969</v>
      </c>
      <c r="AL15">
        <v>16946.469999999998</v>
      </c>
      <c r="AM15">
        <v>19223.620000000017</v>
      </c>
      <c r="AN15">
        <v>2277.15</v>
      </c>
      <c r="AO15">
        <v>364</v>
      </c>
    </row>
    <row r="16" spans="1:41" x14ac:dyDescent="0.35">
      <c r="A16">
        <v>2024</v>
      </c>
      <c r="B16">
        <v>4</v>
      </c>
      <c r="C16">
        <v>14</v>
      </c>
      <c r="D16" s="14">
        <v>45385</v>
      </c>
      <c r="E16" t="s">
        <v>44</v>
      </c>
      <c r="F16" t="s">
        <v>42</v>
      </c>
      <c r="G16" t="s">
        <v>46</v>
      </c>
      <c r="H16">
        <v>40324.599999999962</v>
      </c>
      <c r="I16">
        <v>40324.599999999962</v>
      </c>
      <c r="J16">
        <v>0</v>
      </c>
      <c r="K16">
        <v>354.37999999999988</v>
      </c>
      <c r="L16">
        <v>354.37999999999988</v>
      </c>
      <c r="M16">
        <v>0</v>
      </c>
      <c r="N16">
        <v>993.35000000000048</v>
      </c>
      <c r="O16">
        <v>993.35000000000048</v>
      </c>
      <c r="P16">
        <v>0</v>
      </c>
      <c r="Q16">
        <v>-13532.199999999973</v>
      </c>
      <c r="R16">
        <v>-13532.199999999973</v>
      </c>
      <c r="S16">
        <v>0</v>
      </c>
      <c r="T16">
        <v>-8</v>
      </c>
      <c r="U16">
        <v>-8</v>
      </c>
      <c r="V16">
        <v>0</v>
      </c>
      <c r="W16">
        <v>-8</v>
      </c>
      <c r="X16">
        <v>-8</v>
      </c>
      <c r="Y16">
        <v>0</v>
      </c>
      <c r="Z16">
        <v>28124.13</v>
      </c>
      <c r="AA16">
        <v>28124.13</v>
      </c>
      <c r="AB16">
        <v>0</v>
      </c>
      <c r="AC16">
        <v>6819.4700000000093</v>
      </c>
      <c r="AD16">
        <v>4404.5400000000054</v>
      </c>
      <c r="AE16">
        <v>-2414.9300000000012</v>
      </c>
      <c r="AF16">
        <v>21304.660000000014</v>
      </c>
      <c r="AG16">
        <v>23719.590000000015</v>
      </c>
      <c r="AH16">
        <v>2414.9300000000012</v>
      </c>
      <c r="AI16">
        <v>-1174.7600000000002</v>
      </c>
      <c r="AJ16">
        <v>0</v>
      </c>
      <c r="AK16">
        <v>1174.7600000000002</v>
      </c>
      <c r="AL16">
        <v>22479.420000000002</v>
      </c>
      <c r="AM16">
        <v>23719.590000000015</v>
      </c>
      <c r="AN16">
        <v>1240.1700000000012</v>
      </c>
      <c r="AO16">
        <v>486</v>
      </c>
    </row>
    <row r="17" spans="1:41" x14ac:dyDescent="0.35">
      <c r="A17">
        <v>2024</v>
      </c>
      <c r="B17">
        <v>4</v>
      </c>
      <c r="C17">
        <v>14</v>
      </c>
      <c r="D17" s="14">
        <v>45386</v>
      </c>
      <c r="E17" t="s">
        <v>44</v>
      </c>
      <c r="F17" t="s">
        <v>42</v>
      </c>
      <c r="G17" t="s">
        <v>46</v>
      </c>
      <c r="H17">
        <v>41869.209999999955</v>
      </c>
      <c r="I17">
        <v>41869.209999999955</v>
      </c>
      <c r="J17">
        <v>0</v>
      </c>
      <c r="K17">
        <v>159.55999999999997</v>
      </c>
      <c r="L17">
        <v>159.55999999999997</v>
      </c>
      <c r="M17">
        <v>0</v>
      </c>
      <c r="N17">
        <v>995.36000000000047</v>
      </c>
      <c r="O17">
        <v>979.37000000000046</v>
      </c>
      <c r="P17">
        <v>-15.99</v>
      </c>
      <c r="Q17">
        <v>-13844.999999999967</v>
      </c>
      <c r="R17">
        <v>-13422.999999999967</v>
      </c>
      <c r="S17">
        <v>422</v>
      </c>
      <c r="T17">
        <v>-8</v>
      </c>
      <c r="U17">
        <v>-8</v>
      </c>
      <c r="V17">
        <v>0</v>
      </c>
      <c r="W17">
        <v>-10</v>
      </c>
      <c r="X17">
        <v>-10</v>
      </c>
      <c r="Y17">
        <v>0</v>
      </c>
      <c r="Z17">
        <v>29161.130000000026</v>
      </c>
      <c r="AA17">
        <v>29567.140000000025</v>
      </c>
      <c r="AB17">
        <v>406.01</v>
      </c>
      <c r="AC17">
        <v>7017.1200000000126</v>
      </c>
      <c r="AD17">
        <v>2662.3200000000015</v>
      </c>
      <c r="AE17">
        <v>-4354.8000000000056</v>
      </c>
      <c r="AF17">
        <v>22144.010000000042</v>
      </c>
      <c r="AG17">
        <v>26904.820000000036</v>
      </c>
      <c r="AH17">
        <v>4760.8100000000049</v>
      </c>
      <c r="AI17">
        <v>-540.08999999999935</v>
      </c>
      <c r="AJ17">
        <v>0</v>
      </c>
      <c r="AK17">
        <v>540.08999999999935</v>
      </c>
      <c r="AL17">
        <v>22684.100000000028</v>
      </c>
      <c r="AM17">
        <v>26904.820000000036</v>
      </c>
      <c r="AN17">
        <v>4220.7200000000021</v>
      </c>
      <c r="AO17">
        <v>506</v>
      </c>
    </row>
    <row r="18" spans="1:41" x14ac:dyDescent="0.35">
      <c r="A18">
        <v>2024</v>
      </c>
      <c r="B18">
        <v>4</v>
      </c>
      <c r="C18">
        <v>14</v>
      </c>
      <c r="D18" s="14">
        <v>45387</v>
      </c>
      <c r="E18" t="s">
        <v>44</v>
      </c>
      <c r="F18" t="s">
        <v>42</v>
      </c>
      <c r="G18" t="s">
        <v>46</v>
      </c>
      <c r="H18">
        <v>30170.509999999973</v>
      </c>
      <c r="I18">
        <v>30170.509999999973</v>
      </c>
      <c r="J18">
        <v>0</v>
      </c>
      <c r="K18">
        <v>161.25</v>
      </c>
      <c r="L18">
        <v>161.25</v>
      </c>
      <c r="M18">
        <v>0</v>
      </c>
      <c r="N18">
        <v>666.59000000000026</v>
      </c>
      <c r="O18">
        <v>666.59000000000026</v>
      </c>
      <c r="P18">
        <v>0</v>
      </c>
      <c r="Q18">
        <v>-9566.1799999999857</v>
      </c>
      <c r="R18">
        <v>-9473.1799999999857</v>
      </c>
      <c r="S18">
        <v>93</v>
      </c>
      <c r="T18">
        <v>0</v>
      </c>
      <c r="U18">
        <v>0</v>
      </c>
      <c r="V18">
        <v>0</v>
      </c>
      <c r="W18">
        <v>-5</v>
      </c>
      <c r="X18">
        <v>-5</v>
      </c>
      <c r="Y18">
        <v>0</v>
      </c>
      <c r="Z18">
        <v>21427.170000000006</v>
      </c>
      <c r="AA18">
        <v>21520.170000000006</v>
      </c>
      <c r="AB18">
        <v>93</v>
      </c>
      <c r="AC18">
        <v>4613.6200000000108</v>
      </c>
      <c r="AD18">
        <v>2033.7999999999993</v>
      </c>
      <c r="AE18">
        <v>-2579.8200000000011</v>
      </c>
      <c r="AF18">
        <v>16813.550000000003</v>
      </c>
      <c r="AG18">
        <v>19486.37000000001</v>
      </c>
      <c r="AH18">
        <v>2672.8200000000015</v>
      </c>
      <c r="AI18">
        <v>-398.86000000000018</v>
      </c>
      <c r="AJ18">
        <v>0</v>
      </c>
      <c r="AK18">
        <v>398.86000000000018</v>
      </c>
      <c r="AL18">
        <v>17212.410000000003</v>
      </c>
      <c r="AM18">
        <v>19486.37000000001</v>
      </c>
      <c r="AN18">
        <v>2273.9600000000014</v>
      </c>
      <c r="AO18">
        <v>376</v>
      </c>
    </row>
    <row r="19" spans="1:41" x14ac:dyDescent="0.35">
      <c r="A19">
        <v>2024</v>
      </c>
      <c r="B19">
        <v>4</v>
      </c>
      <c r="C19">
        <v>14</v>
      </c>
      <c r="D19" s="14">
        <v>45388</v>
      </c>
      <c r="E19" t="s">
        <v>44</v>
      </c>
      <c r="F19" t="s">
        <v>42</v>
      </c>
      <c r="G19" t="s">
        <v>46</v>
      </c>
      <c r="H19">
        <v>29385.199999999972</v>
      </c>
      <c r="I19">
        <v>29385.199999999972</v>
      </c>
      <c r="J19">
        <v>0</v>
      </c>
      <c r="K19">
        <v>257.05</v>
      </c>
      <c r="L19">
        <v>257.05</v>
      </c>
      <c r="M19">
        <v>0</v>
      </c>
      <c r="N19">
        <v>703.57000000000028</v>
      </c>
      <c r="O19">
        <v>687.58000000000027</v>
      </c>
      <c r="P19">
        <v>-15.99</v>
      </c>
      <c r="Q19">
        <v>-9669.5799999999817</v>
      </c>
      <c r="R19">
        <v>-9559.3699999999808</v>
      </c>
      <c r="S19">
        <v>110.21000000000001</v>
      </c>
      <c r="T19">
        <v>-5.6</v>
      </c>
      <c r="U19">
        <v>-5.6</v>
      </c>
      <c r="V19">
        <v>0</v>
      </c>
      <c r="W19">
        <v>-15</v>
      </c>
      <c r="X19">
        <v>-15</v>
      </c>
      <c r="Y19">
        <v>0</v>
      </c>
      <c r="Z19">
        <v>20655.639999999992</v>
      </c>
      <c r="AA19">
        <v>20749.85999999999</v>
      </c>
      <c r="AB19">
        <v>94.22</v>
      </c>
      <c r="AC19">
        <v>4512.6200000000108</v>
      </c>
      <c r="AD19">
        <v>2486.2700000000023</v>
      </c>
      <c r="AE19">
        <v>-2026.3499999999992</v>
      </c>
      <c r="AF19">
        <v>16143.020000000017</v>
      </c>
      <c r="AG19">
        <v>18263.590000000011</v>
      </c>
      <c r="AH19">
        <v>2120.5699999999997</v>
      </c>
      <c r="AI19">
        <v>-727.02999999999906</v>
      </c>
      <c r="AJ19">
        <v>0</v>
      </c>
      <c r="AK19">
        <v>727.02999999999906</v>
      </c>
      <c r="AL19">
        <v>16870.049999999988</v>
      </c>
      <c r="AM19">
        <v>18263.590000000011</v>
      </c>
      <c r="AN19">
        <v>1393.5400000000002</v>
      </c>
      <c r="AO19">
        <v>356</v>
      </c>
    </row>
    <row r="20" spans="1:41" x14ac:dyDescent="0.35">
      <c r="A20">
        <v>2024</v>
      </c>
      <c r="B20">
        <v>4</v>
      </c>
      <c r="C20">
        <v>14</v>
      </c>
      <c r="D20" s="14">
        <v>45383</v>
      </c>
      <c r="E20" t="s">
        <v>44</v>
      </c>
      <c r="F20" t="s">
        <v>47</v>
      </c>
      <c r="G20" t="s">
        <v>48</v>
      </c>
      <c r="H20">
        <v>263</v>
      </c>
      <c r="I20">
        <v>263</v>
      </c>
      <c r="J20">
        <v>0</v>
      </c>
      <c r="K20">
        <v>0.46</v>
      </c>
      <c r="L20">
        <v>0.46</v>
      </c>
      <c r="M20">
        <v>0</v>
      </c>
      <c r="N20">
        <v>0</v>
      </c>
      <c r="O20">
        <v>0</v>
      </c>
      <c r="P20">
        <v>0</v>
      </c>
      <c r="Q20">
        <v>-108</v>
      </c>
      <c r="R20">
        <v>-108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155.46</v>
      </c>
      <c r="AA20">
        <v>155.46</v>
      </c>
      <c r="AB20">
        <v>0</v>
      </c>
      <c r="AC20">
        <v>63.34</v>
      </c>
      <c r="AE20">
        <v>-63.34</v>
      </c>
      <c r="AF20">
        <v>92.12</v>
      </c>
      <c r="AG20">
        <v>155.46</v>
      </c>
      <c r="AH20">
        <v>63.34</v>
      </c>
      <c r="AI20">
        <v>0</v>
      </c>
      <c r="AJ20">
        <v>0</v>
      </c>
      <c r="AK20">
        <v>0</v>
      </c>
      <c r="AL20">
        <v>92.12</v>
      </c>
      <c r="AM20">
        <v>155.46</v>
      </c>
      <c r="AN20">
        <v>63.34</v>
      </c>
      <c r="AO20">
        <v>3</v>
      </c>
    </row>
    <row r="21" spans="1:41" x14ac:dyDescent="0.35">
      <c r="A21">
        <v>2024</v>
      </c>
      <c r="B21">
        <v>4</v>
      </c>
      <c r="C21">
        <v>14</v>
      </c>
      <c r="D21" s="14">
        <v>45384</v>
      </c>
      <c r="E21" t="s">
        <v>44</v>
      </c>
      <c r="F21" t="s">
        <v>47</v>
      </c>
      <c r="G21" t="s">
        <v>48</v>
      </c>
      <c r="H21">
        <v>111.05</v>
      </c>
      <c r="I21">
        <v>111.05</v>
      </c>
      <c r="J21">
        <v>0</v>
      </c>
      <c r="K21">
        <v>0</v>
      </c>
      <c r="L21">
        <v>0</v>
      </c>
      <c r="M21">
        <v>0</v>
      </c>
      <c r="N21">
        <v>15.99</v>
      </c>
      <c r="O21">
        <v>15.99</v>
      </c>
      <c r="P21">
        <v>0</v>
      </c>
      <c r="Q21">
        <v>-32</v>
      </c>
      <c r="R21">
        <v>-32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95.039999999999992</v>
      </c>
      <c r="AA21">
        <v>95.039999999999992</v>
      </c>
      <c r="AB21">
        <v>0</v>
      </c>
      <c r="AC21">
        <v>15</v>
      </c>
      <c r="AD21">
        <v>15</v>
      </c>
      <c r="AE21">
        <v>0</v>
      </c>
      <c r="AF21">
        <v>80.040000000000006</v>
      </c>
      <c r="AG21">
        <v>80.040000000000006</v>
      </c>
      <c r="AH21">
        <v>0</v>
      </c>
      <c r="AI21">
        <v>1.4400000000000013</v>
      </c>
      <c r="AJ21">
        <v>0</v>
      </c>
      <c r="AK21">
        <v>-1.4400000000000013</v>
      </c>
      <c r="AL21">
        <v>78.599999999999994</v>
      </c>
      <c r="AM21">
        <v>80.040000000000006</v>
      </c>
      <c r="AN21">
        <v>1.4400000000000013</v>
      </c>
      <c r="AO21">
        <v>2</v>
      </c>
    </row>
    <row r="22" spans="1:41" x14ac:dyDescent="0.35">
      <c r="A22">
        <v>2024</v>
      </c>
      <c r="B22">
        <v>4</v>
      </c>
      <c r="C22">
        <v>14</v>
      </c>
      <c r="D22" s="14">
        <v>45385</v>
      </c>
      <c r="E22" t="s">
        <v>44</v>
      </c>
      <c r="F22" t="s">
        <v>47</v>
      </c>
      <c r="G22" t="s">
        <v>48</v>
      </c>
      <c r="H22">
        <v>3774.9500000000107</v>
      </c>
      <c r="I22">
        <v>3774.9500000000107</v>
      </c>
      <c r="J22">
        <v>0</v>
      </c>
      <c r="K22">
        <v>934.00000000000045</v>
      </c>
      <c r="L22">
        <v>934.00000000000045</v>
      </c>
      <c r="M22">
        <v>0</v>
      </c>
      <c r="N22">
        <v>15.99</v>
      </c>
      <c r="O22">
        <v>15.99</v>
      </c>
      <c r="P22">
        <v>0</v>
      </c>
      <c r="Q22">
        <v>-116.85000000000001</v>
      </c>
      <c r="R22">
        <v>-116.85000000000001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4608.0900000000092</v>
      </c>
      <c r="AA22">
        <v>4608.0900000000092</v>
      </c>
      <c r="AB22">
        <v>0</v>
      </c>
      <c r="AC22">
        <v>21.71</v>
      </c>
      <c r="AD22">
        <v>6.71</v>
      </c>
      <c r="AE22">
        <v>-15</v>
      </c>
      <c r="AF22">
        <v>4586.3800000000101</v>
      </c>
      <c r="AG22">
        <v>4601.3800000000101</v>
      </c>
      <c r="AH22">
        <v>14.999999999999993</v>
      </c>
      <c r="AI22">
        <v>1389.0899999999992</v>
      </c>
      <c r="AJ22">
        <v>0</v>
      </c>
      <c r="AK22">
        <v>-1389.0899999999992</v>
      </c>
      <c r="AL22">
        <v>3197.2899999999995</v>
      </c>
      <c r="AM22">
        <v>4601.3800000000101</v>
      </c>
      <c r="AN22">
        <v>1404.0899999999992</v>
      </c>
      <c r="AO22">
        <v>182</v>
      </c>
    </row>
    <row r="23" spans="1:41" x14ac:dyDescent="0.35">
      <c r="A23">
        <v>2024</v>
      </c>
      <c r="B23">
        <v>4</v>
      </c>
      <c r="C23">
        <v>14</v>
      </c>
      <c r="D23" s="14">
        <v>45386</v>
      </c>
      <c r="E23" t="s">
        <v>44</v>
      </c>
      <c r="F23" t="s">
        <v>47</v>
      </c>
      <c r="G23" t="s">
        <v>48</v>
      </c>
      <c r="H23">
        <v>6517.3800000000119</v>
      </c>
      <c r="I23">
        <v>6517.3800000000119</v>
      </c>
      <c r="J23">
        <v>0</v>
      </c>
      <c r="K23">
        <v>571.15</v>
      </c>
      <c r="L23">
        <v>509.74999999999989</v>
      </c>
      <c r="M23">
        <v>-61.4</v>
      </c>
      <c r="N23">
        <v>0</v>
      </c>
      <c r="O23">
        <v>0</v>
      </c>
      <c r="P23">
        <v>0</v>
      </c>
      <c r="Q23">
        <v>-980.3599999999999</v>
      </c>
      <c r="R23">
        <v>-1001.4499999999999</v>
      </c>
      <c r="S23">
        <v>-21.089999999999996</v>
      </c>
      <c r="T23">
        <v>-21</v>
      </c>
      <c r="U23">
        <v>-21</v>
      </c>
      <c r="V23">
        <v>0</v>
      </c>
      <c r="W23">
        <v>0</v>
      </c>
      <c r="X23">
        <v>0</v>
      </c>
      <c r="Y23">
        <v>0</v>
      </c>
      <c r="Z23">
        <v>6087.1700000000101</v>
      </c>
      <c r="AA23">
        <v>6004.6800000000103</v>
      </c>
      <c r="AB23">
        <v>-82.49</v>
      </c>
      <c r="AC23">
        <v>20.420000000000002</v>
      </c>
      <c r="AD23">
        <v>13.71</v>
      </c>
      <c r="AE23">
        <v>-6.71</v>
      </c>
      <c r="AF23">
        <v>6066.7500000000091</v>
      </c>
      <c r="AG23">
        <v>5990.9700000000093</v>
      </c>
      <c r="AH23">
        <v>-75.78</v>
      </c>
      <c r="AI23">
        <v>2070.0699999999993</v>
      </c>
      <c r="AJ23">
        <v>0</v>
      </c>
      <c r="AK23">
        <v>-2070.0699999999993</v>
      </c>
      <c r="AL23">
        <v>3996.6800000000007</v>
      </c>
      <c r="AM23">
        <v>5990.9700000000093</v>
      </c>
      <c r="AN23">
        <v>1994.2899999999991</v>
      </c>
      <c r="AO23">
        <v>189</v>
      </c>
    </row>
    <row r="24" spans="1:41" x14ac:dyDescent="0.35">
      <c r="A24">
        <v>2024</v>
      </c>
      <c r="B24">
        <v>4</v>
      </c>
      <c r="C24">
        <v>14</v>
      </c>
      <c r="D24" s="14">
        <v>45387</v>
      </c>
      <c r="E24" t="s">
        <v>44</v>
      </c>
      <c r="F24" t="s">
        <v>47</v>
      </c>
      <c r="G24" t="s">
        <v>48</v>
      </c>
      <c r="H24">
        <v>18685.579999999911</v>
      </c>
      <c r="I24">
        <v>18685.579999999911</v>
      </c>
      <c r="J24">
        <v>0</v>
      </c>
      <c r="K24">
        <v>858.67000000000041</v>
      </c>
      <c r="L24">
        <v>858.67000000000041</v>
      </c>
      <c r="M24">
        <v>0</v>
      </c>
      <c r="N24">
        <v>15.99</v>
      </c>
      <c r="O24">
        <v>15.99</v>
      </c>
      <c r="P24">
        <v>0</v>
      </c>
      <c r="Q24">
        <v>-4856.649999999986</v>
      </c>
      <c r="R24">
        <v>-4849.649999999986</v>
      </c>
      <c r="S24">
        <v>7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14703.589999999927</v>
      </c>
      <c r="AA24">
        <v>14710.589999999927</v>
      </c>
      <c r="AB24">
        <v>7</v>
      </c>
      <c r="AC24">
        <v>28.71</v>
      </c>
      <c r="AD24">
        <v>15</v>
      </c>
      <c r="AE24">
        <v>-13.71</v>
      </c>
      <c r="AF24">
        <v>14674.879999999926</v>
      </c>
      <c r="AG24">
        <v>14695.589999999927</v>
      </c>
      <c r="AH24">
        <v>20.71</v>
      </c>
      <c r="AI24">
        <v>5909.6299999999965</v>
      </c>
      <c r="AJ24">
        <v>0</v>
      </c>
      <c r="AK24">
        <v>-5909.6299999999965</v>
      </c>
      <c r="AL24">
        <v>8765.2499999999927</v>
      </c>
      <c r="AM24">
        <v>14695.589999999927</v>
      </c>
      <c r="AN24">
        <v>5930.3399999999965</v>
      </c>
      <c r="AO24">
        <v>410</v>
      </c>
    </row>
    <row r="25" spans="1:41" x14ac:dyDescent="0.35">
      <c r="A25">
        <v>2024</v>
      </c>
      <c r="B25">
        <v>4</v>
      </c>
      <c r="C25">
        <v>14</v>
      </c>
      <c r="D25" s="14">
        <v>45388</v>
      </c>
      <c r="E25" t="s">
        <v>44</v>
      </c>
      <c r="F25" t="s">
        <v>47</v>
      </c>
      <c r="G25" t="s">
        <v>48</v>
      </c>
      <c r="H25">
        <v>5233.3000000000056</v>
      </c>
      <c r="I25">
        <v>5233.3000000000056</v>
      </c>
      <c r="J25">
        <v>0</v>
      </c>
      <c r="K25">
        <v>304.34999999999997</v>
      </c>
      <c r="L25">
        <v>304.34999999999997</v>
      </c>
      <c r="M25">
        <v>0</v>
      </c>
      <c r="N25">
        <v>34.980000000000004</v>
      </c>
      <c r="O25">
        <v>34.980000000000004</v>
      </c>
      <c r="P25">
        <v>0</v>
      </c>
      <c r="Q25">
        <v>-1363.9999999999998</v>
      </c>
      <c r="R25">
        <v>-1324.9</v>
      </c>
      <c r="S25">
        <v>39.1</v>
      </c>
      <c r="T25">
        <v>0</v>
      </c>
      <c r="U25">
        <v>0</v>
      </c>
      <c r="V25">
        <v>0</v>
      </c>
      <c r="W25">
        <v>-5</v>
      </c>
      <c r="X25">
        <v>-5</v>
      </c>
      <c r="Y25">
        <v>0</v>
      </c>
      <c r="Z25">
        <v>4203.6300000000047</v>
      </c>
      <c r="AA25">
        <v>4242.730000000005</v>
      </c>
      <c r="AB25">
        <v>39.1</v>
      </c>
      <c r="AC25">
        <v>22.92</v>
      </c>
      <c r="AD25">
        <v>7.92</v>
      </c>
      <c r="AE25">
        <v>-15</v>
      </c>
      <c r="AF25">
        <v>4180.7100000000046</v>
      </c>
      <c r="AG25">
        <v>4234.8100000000049</v>
      </c>
      <c r="AH25">
        <v>54.1</v>
      </c>
      <c r="AI25">
        <v>1313.2900000000002</v>
      </c>
      <c r="AJ25">
        <v>0</v>
      </c>
      <c r="AK25">
        <v>-1313.2900000000002</v>
      </c>
      <c r="AL25">
        <v>2867.4200000000028</v>
      </c>
      <c r="AM25">
        <v>4234.8100000000049</v>
      </c>
      <c r="AN25">
        <v>1367.3900000000003</v>
      </c>
      <c r="AO25">
        <v>142</v>
      </c>
    </row>
    <row r="26" spans="1:41" x14ac:dyDescent="0.35">
      <c r="A26">
        <v>2024</v>
      </c>
      <c r="B26">
        <v>4</v>
      </c>
      <c r="C26">
        <v>14</v>
      </c>
      <c r="D26" s="14">
        <v>45383</v>
      </c>
      <c r="E26" t="s">
        <v>44</v>
      </c>
      <c r="F26" t="s">
        <v>47</v>
      </c>
      <c r="G26" t="s">
        <v>49</v>
      </c>
      <c r="H26">
        <v>3179</v>
      </c>
      <c r="I26">
        <v>3179</v>
      </c>
      <c r="J26">
        <v>0</v>
      </c>
      <c r="K26">
        <v>95.739999999999981</v>
      </c>
      <c r="L26">
        <v>95.739999999999981</v>
      </c>
      <c r="M26">
        <v>0</v>
      </c>
      <c r="N26">
        <v>213.87000000000003</v>
      </c>
      <c r="O26">
        <v>213.87000000000003</v>
      </c>
      <c r="P26">
        <v>0</v>
      </c>
      <c r="Q26">
        <v>-1132.3200000000002</v>
      </c>
      <c r="R26">
        <v>-1127.3200000000002</v>
      </c>
      <c r="S26">
        <v>5</v>
      </c>
      <c r="T26">
        <v>-20</v>
      </c>
      <c r="U26">
        <v>-20</v>
      </c>
      <c r="V26">
        <v>0</v>
      </c>
      <c r="W26">
        <v>0</v>
      </c>
      <c r="X26">
        <v>0</v>
      </c>
      <c r="Y26">
        <v>0</v>
      </c>
      <c r="Z26">
        <v>2336.29</v>
      </c>
      <c r="AA26">
        <v>2341.29</v>
      </c>
      <c r="AB26">
        <v>5</v>
      </c>
      <c r="AC26">
        <v>404.51</v>
      </c>
      <c r="AD26">
        <v>105</v>
      </c>
      <c r="AE26">
        <v>-299.51</v>
      </c>
      <c r="AF26">
        <v>1931.7800000000002</v>
      </c>
      <c r="AG26">
        <v>2236.29</v>
      </c>
      <c r="AH26">
        <v>304.51</v>
      </c>
      <c r="AI26">
        <v>-21.419999999999998</v>
      </c>
      <c r="AJ26">
        <v>9.0500000000000007</v>
      </c>
      <c r="AK26">
        <v>30.470000000000002</v>
      </c>
      <c r="AL26">
        <v>1953.2000000000005</v>
      </c>
      <c r="AM26">
        <v>2227.2400000000002</v>
      </c>
      <c r="AN26">
        <v>274.03999999999996</v>
      </c>
      <c r="AO26">
        <v>35</v>
      </c>
    </row>
    <row r="27" spans="1:41" x14ac:dyDescent="0.35">
      <c r="A27">
        <v>2024</v>
      </c>
      <c r="B27">
        <v>4</v>
      </c>
      <c r="C27">
        <v>14</v>
      </c>
      <c r="D27" s="14">
        <v>45384</v>
      </c>
      <c r="E27" t="s">
        <v>44</v>
      </c>
      <c r="F27" t="s">
        <v>47</v>
      </c>
      <c r="G27" t="s">
        <v>49</v>
      </c>
      <c r="H27">
        <v>1276</v>
      </c>
      <c r="I27">
        <v>1276</v>
      </c>
      <c r="J27">
        <v>0</v>
      </c>
      <c r="K27">
        <v>13.86</v>
      </c>
      <c r="L27">
        <v>13.86</v>
      </c>
      <c r="M27">
        <v>0</v>
      </c>
      <c r="N27">
        <v>92.94</v>
      </c>
      <c r="O27">
        <v>92.94</v>
      </c>
      <c r="P27">
        <v>0</v>
      </c>
      <c r="Q27">
        <v>-338.25</v>
      </c>
      <c r="R27">
        <v>-338.25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1044.5500000000002</v>
      </c>
      <c r="AA27">
        <v>1044.5500000000002</v>
      </c>
      <c r="AB27">
        <v>0</v>
      </c>
      <c r="AC27">
        <v>130.75</v>
      </c>
      <c r="AD27">
        <v>25.75</v>
      </c>
      <c r="AE27">
        <v>-105</v>
      </c>
      <c r="AF27">
        <v>913.80000000000007</v>
      </c>
      <c r="AG27">
        <v>1018.8000000000001</v>
      </c>
      <c r="AH27">
        <v>105</v>
      </c>
      <c r="AI27">
        <v>21.229999999999993</v>
      </c>
      <c r="AJ27">
        <v>0</v>
      </c>
      <c r="AK27">
        <v>-21.229999999999993</v>
      </c>
      <c r="AL27">
        <v>892.56999999999994</v>
      </c>
      <c r="AM27">
        <v>1018.8000000000001</v>
      </c>
      <c r="AN27">
        <v>126.22999999999999</v>
      </c>
      <c r="AO27">
        <v>15</v>
      </c>
    </row>
    <row r="28" spans="1:41" x14ac:dyDescent="0.35">
      <c r="A28">
        <v>2024</v>
      </c>
      <c r="B28">
        <v>4</v>
      </c>
      <c r="C28">
        <v>14</v>
      </c>
      <c r="D28" s="14">
        <v>45385</v>
      </c>
      <c r="E28" t="s">
        <v>44</v>
      </c>
      <c r="F28" t="s">
        <v>47</v>
      </c>
      <c r="G28" t="s">
        <v>49</v>
      </c>
      <c r="H28">
        <v>4534.1500000000005</v>
      </c>
      <c r="I28">
        <v>4534.1500000000005</v>
      </c>
      <c r="J28">
        <v>0</v>
      </c>
      <c r="K28">
        <v>81.180000000000007</v>
      </c>
      <c r="L28">
        <v>81.180000000000007</v>
      </c>
      <c r="M28">
        <v>0</v>
      </c>
      <c r="N28">
        <v>31.98</v>
      </c>
      <c r="O28">
        <v>31.98</v>
      </c>
      <c r="P28">
        <v>0</v>
      </c>
      <c r="Q28">
        <v>-1894.5800000000004</v>
      </c>
      <c r="R28">
        <v>-1894.5800000000004</v>
      </c>
      <c r="S28">
        <v>0</v>
      </c>
      <c r="T28">
        <v>-6.6000000000000005</v>
      </c>
      <c r="U28">
        <v>-6.6000000000000005</v>
      </c>
      <c r="V28">
        <v>0</v>
      </c>
      <c r="W28">
        <v>0</v>
      </c>
      <c r="X28">
        <v>0</v>
      </c>
      <c r="Y28">
        <v>0</v>
      </c>
      <c r="Z28">
        <v>2746.1299999999997</v>
      </c>
      <c r="AA28">
        <v>2746.1299999999997</v>
      </c>
      <c r="AB28">
        <v>0</v>
      </c>
      <c r="AC28">
        <v>526.19999999999993</v>
      </c>
      <c r="AD28">
        <v>500.44999999999993</v>
      </c>
      <c r="AE28">
        <v>-25.75</v>
      </c>
      <c r="AF28">
        <v>2219.9299999999998</v>
      </c>
      <c r="AG28">
        <v>2245.6799999999998</v>
      </c>
      <c r="AH28">
        <v>25.75</v>
      </c>
      <c r="AI28">
        <v>-48.449999999999967</v>
      </c>
      <c r="AJ28">
        <v>0</v>
      </c>
      <c r="AK28">
        <v>48.449999999999967</v>
      </c>
      <c r="AL28">
        <v>2268.38</v>
      </c>
      <c r="AM28">
        <v>2245.6799999999998</v>
      </c>
      <c r="AN28">
        <v>-22.699999999999996</v>
      </c>
      <c r="AO28">
        <v>51</v>
      </c>
    </row>
    <row r="29" spans="1:41" x14ac:dyDescent="0.35">
      <c r="A29">
        <v>2024</v>
      </c>
      <c r="B29">
        <v>4</v>
      </c>
      <c r="C29">
        <v>14</v>
      </c>
      <c r="D29" s="14">
        <v>45386</v>
      </c>
      <c r="E29" t="s">
        <v>44</v>
      </c>
      <c r="F29" t="s">
        <v>47</v>
      </c>
      <c r="G29" t="s">
        <v>49</v>
      </c>
      <c r="H29">
        <v>11642.1</v>
      </c>
      <c r="I29">
        <v>11642.1</v>
      </c>
      <c r="J29">
        <v>0</v>
      </c>
      <c r="K29">
        <v>96.48</v>
      </c>
      <c r="L29">
        <v>96.48</v>
      </c>
      <c r="M29">
        <v>0</v>
      </c>
      <c r="N29">
        <v>40.97</v>
      </c>
      <c r="O29">
        <v>40.97</v>
      </c>
      <c r="P29">
        <v>0</v>
      </c>
      <c r="Q29">
        <v>-4767.529999999997</v>
      </c>
      <c r="R29">
        <v>-4736.529999999997</v>
      </c>
      <c r="S29">
        <v>31</v>
      </c>
      <c r="T29">
        <v>-5</v>
      </c>
      <c r="U29">
        <v>-5</v>
      </c>
      <c r="V29">
        <v>0</v>
      </c>
      <c r="W29">
        <v>0</v>
      </c>
      <c r="X29">
        <v>0</v>
      </c>
      <c r="Y29">
        <v>0</v>
      </c>
      <c r="Z29">
        <v>7007.0200000000032</v>
      </c>
      <c r="AA29">
        <v>7038.0200000000032</v>
      </c>
      <c r="AB29">
        <v>31</v>
      </c>
      <c r="AC29">
        <v>546.82000000000005</v>
      </c>
      <c r="AD29">
        <v>46.370000000000005</v>
      </c>
      <c r="AE29">
        <v>-500.44999999999993</v>
      </c>
      <c r="AF29">
        <v>6460.2000000000016</v>
      </c>
      <c r="AG29">
        <v>6991.6500000000033</v>
      </c>
      <c r="AH29">
        <v>531.45000000000005</v>
      </c>
      <c r="AI29">
        <v>1221.8899999999994</v>
      </c>
      <c r="AJ29">
        <v>0</v>
      </c>
      <c r="AK29">
        <v>-1221.8899999999994</v>
      </c>
      <c r="AL29">
        <v>5238.3100000000004</v>
      </c>
      <c r="AM29">
        <v>6991.6500000000033</v>
      </c>
      <c r="AN29">
        <v>1753.3399999999995</v>
      </c>
      <c r="AO29">
        <v>133</v>
      </c>
    </row>
    <row r="30" spans="1:41" x14ac:dyDescent="0.35">
      <c r="A30">
        <v>2024</v>
      </c>
      <c r="B30">
        <v>4</v>
      </c>
      <c r="C30">
        <v>14</v>
      </c>
      <c r="D30" s="14">
        <v>45387</v>
      </c>
      <c r="E30" t="s">
        <v>44</v>
      </c>
      <c r="F30" t="s">
        <v>47</v>
      </c>
      <c r="G30" t="s">
        <v>49</v>
      </c>
      <c r="H30">
        <v>13781.900000000001</v>
      </c>
      <c r="I30">
        <v>13781.900000000001</v>
      </c>
      <c r="J30">
        <v>0</v>
      </c>
      <c r="K30">
        <v>126.79999999999998</v>
      </c>
      <c r="L30">
        <v>126.79999999999998</v>
      </c>
      <c r="M30">
        <v>0</v>
      </c>
      <c r="N30">
        <v>222.85000000000002</v>
      </c>
      <c r="O30">
        <v>222.85000000000002</v>
      </c>
      <c r="P30">
        <v>0</v>
      </c>
      <c r="Q30">
        <v>-4679.4999999999991</v>
      </c>
      <c r="R30">
        <v>-4664.4999999999991</v>
      </c>
      <c r="S30">
        <v>15</v>
      </c>
      <c r="T30">
        <v>-5</v>
      </c>
      <c r="U30">
        <v>-5</v>
      </c>
      <c r="V30">
        <v>0</v>
      </c>
      <c r="W30">
        <v>-18.990000000000002</v>
      </c>
      <c r="X30">
        <v>-18.990000000000002</v>
      </c>
      <c r="Y30">
        <v>0</v>
      </c>
      <c r="Z30">
        <v>9428.0600000000013</v>
      </c>
      <c r="AA30">
        <v>9443.0600000000013</v>
      </c>
      <c r="AB30">
        <v>15</v>
      </c>
      <c r="AC30">
        <v>306.19000000000011</v>
      </c>
      <c r="AD30">
        <v>259.82000000000005</v>
      </c>
      <c r="AE30">
        <v>-46.370000000000005</v>
      </c>
      <c r="AF30">
        <v>9121.8700000000026</v>
      </c>
      <c r="AG30">
        <v>9183.2400000000016</v>
      </c>
      <c r="AH30">
        <v>61.370000000000005</v>
      </c>
      <c r="AI30">
        <v>2155.5899999999983</v>
      </c>
      <c r="AJ30">
        <v>0</v>
      </c>
      <c r="AK30">
        <v>-2155.5899999999983</v>
      </c>
      <c r="AL30">
        <v>6966.279999999997</v>
      </c>
      <c r="AM30">
        <v>9183.2400000000016</v>
      </c>
      <c r="AN30">
        <v>2216.9599999999991</v>
      </c>
      <c r="AO30">
        <v>180</v>
      </c>
    </row>
    <row r="31" spans="1:41" x14ac:dyDescent="0.35">
      <c r="A31">
        <v>2024</v>
      </c>
      <c r="B31">
        <v>4</v>
      </c>
      <c r="C31">
        <v>14</v>
      </c>
      <c r="D31" s="14">
        <v>45388</v>
      </c>
      <c r="E31" t="s">
        <v>44</v>
      </c>
      <c r="F31" t="s">
        <v>47</v>
      </c>
      <c r="G31" t="s">
        <v>49</v>
      </c>
      <c r="H31">
        <v>12521.299999999992</v>
      </c>
      <c r="I31">
        <v>12521.299999999992</v>
      </c>
      <c r="J31">
        <v>0</v>
      </c>
      <c r="K31">
        <v>248.10999999999999</v>
      </c>
      <c r="L31">
        <v>248.10999999999999</v>
      </c>
      <c r="M31">
        <v>0</v>
      </c>
      <c r="N31">
        <v>252.84000000000006</v>
      </c>
      <c r="O31">
        <v>252.84000000000006</v>
      </c>
      <c r="P31">
        <v>0</v>
      </c>
      <c r="Q31">
        <v>-4312.0099999999975</v>
      </c>
      <c r="R31">
        <v>-4288.0099999999975</v>
      </c>
      <c r="S31">
        <v>24</v>
      </c>
      <c r="T31">
        <v>-37.400000000000006</v>
      </c>
      <c r="U31">
        <v>-37.400000000000006</v>
      </c>
      <c r="V31">
        <v>0</v>
      </c>
      <c r="W31">
        <v>-5</v>
      </c>
      <c r="X31">
        <v>-5</v>
      </c>
      <c r="Y31">
        <v>0</v>
      </c>
      <c r="Z31">
        <v>8667.84</v>
      </c>
      <c r="AA31">
        <v>8691.8399999999983</v>
      </c>
      <c r="AB31">
        <v>24</v>
      </c>
      <c r="AC31">
        <v>589.44999999999993</v>
      </c>
      <c r="AD31">
        <v>313.46000000000004</v>
      </c>
      <c r="AE31">
        <v>-275.99</v>
      </c>
      <c r="AF31">
        <v>8078.3900000000031</v>
      </c>
      <c r="AG31">
        <v>8378.3800000000028</v>
      </c>
      <c r="AH31">
        <v>299.99000000000007</v>
      </c>
      <c r="AI31">
        <v>1296.1899999999994</v>
      </c>
      <c r="AJ31">
        <v>-18.59</v>
      </c>
      <c r="AK31">
        <v>-1314.7799999999993</v>
      </c>
      <c r="AL31">
        <v>6782.2</v>
      </c>
      <c r="AM31">
        <v>8396.970000000003</v>
      </c>
      <c r="AN31">
        <v>1614.7699999999993</v>
      </c>
      <c r="AO31">
        <v>168</v>
      </c>
    </row>
    <row r="32" spans="1:41" x14ac:dyDescent="0.35">
      <c r="A32">
        <v>2024</v>
      </c>
      <c r="B32">
        <v>4</v>
      </c>
      <c r="C32">
        <v>14</v>
      </c>
      <c r="D32" s="14">
        <v>45383</v>
      </c>
      <c r="E32" t="s">
        <v>44</v>
      </c>
      <c r="F32" t="s">
        <v>47</v>
      </c>
      <c r="G32" t="s">
        <v>50</v>
      </c>
      <c r="H32">
        <v>33735</v>
      </c>
      <c r="I32">
        <v>33735</v>
      </c>
      <c r="J32">
        <v>0</v>
      </c>
      <c r="K32">
        <v>444.0699999999996</v>
      </c>
      <c r="L32">
        <v>444.0699999999996</v>
      </c>
      <c r="M32">
        <v>0</v>
      </c>
      <c r="N32">
        <v>1418.1000000000006</v>
      </c>
      <c r="O32">
        <v>1418.1000000000006</v>
      </c>
      <c r="P32">
        <v>0</v>
      </c>
      <c r="Q32">
        <v>-9856.7200000000012</v>
      </c>
      <c r="R32">
        <v>-9637.7200000000012</v>
      </c>
      <c r="S32">
        <v>219</v>
      </c>
      <c r="T32">
        <v>-5</v>
      </c>
      <c r="U32">
        <v>-5</v>
      </c>
      <c r="V32">
        <v>0</v>
      </c>
      <c r="W32">
        <v>-50</v>
      </c>
      <c r="X32">
        <v>-50</v>
      </c>
      <c r="Y32">
        <v>0</v>
      </c>
      <c r="Z32">
        <v>25685.450000000026</v>
      </c>
      <c r="AA32">
        <v>25904.45000000003</v>
      </c>
      <c r="AB32">
        <v>219.00000000000003</v>
      </c>
      <c r="AC32">
        <v>5607.6400000000076</v>
      </c>
      <c r="AD32">
        <v>2795.9700000000012</v>
      </c>
      <c r="AE32">
        <v>-2811.6700000000037</v>
      </c>
      <c r="AF32">
        <v>20077.810000000041</v>
      </c>
      <c r="AG32">
        <v>23108.480000000029</v>
      </c>
      <c r="AH32">
        <v>3030.6700000000033</v>
      </c>
      <c r="AI32">
        <v>-1454.9299999999994</v>
      </c>
      <c r="AJ32">
        <v>0</v>
      </c>
      <c r="AK32">
        <v>1454.9299999999994</v>
      </c>
      <c r="AL32">
        <v>21532.740000000049</v>
      </c>
      <c r="AM32">
        <v>23108.480000000029</v>
      </c>
      <c r="AN32">
        <v>1575.7399999999986</v>
      </c>
      <c r="AO32">
        <v>379</v>
      </c>
    </row>
    <row r="33" spans="1:41" x14ac:dyDescent="0.35">
      <c r="A33">
        <v>2024</v>
      </c>
      <c r="B33">
        <v>4</v>
      </c>
      <c r="C33">
        <v>14</v>
      </c>
      <c r="D33" s="14">
        <v>45384</v>
      </c>
      <c r="E33" t="s">
        <v>44</v>
      </c>
      <c r="F33" t="s">
        <v>47</v>
      </c>
      <c r="G33" t="s">
        <v>50</v>
      </c>
      <c r="H33">
        <v>29105</v>
      </c>
      <c r="I33">
        <v>29105</v>
      </c>
      <c r="J33">
        <v>0</v>
      </c>
      <c r="K33">
        <v>265.56000000000012</v>
      </c>
      <c r="L33">
        <v>265.56000000000012</v>
      </c>
      <c r="M33">
        <v>0</v>
      </c>
      <c r="N33">
        <v>1020.3600000000005</v>
      </c>
      <c r="O33">
        <v>1020.3600000000005</v>
      </c>
      <c r="P33">
        <v>0</v>
      </c>
      <c r="Q33">
        <v>-9420.0499999999993</v>
      </c>
      <c r="R33">
        <v>-9143.0499999999993</v>
      </c>
      <c r="S33">
        <v>277</v>
      </c>
      <c r="T33">
        <v>-10</v>
      </c>
      <c r="U33">
        <v>-10</v>
      </c>
      <c r="V33">
        <v>0</v>
      </c>
      <c r="W33">
        <v>-25.990000000000002</v>
      </c>
      <c r="X33">
        <v>-25.990000000000002</v>
      </c>
      <c r="Y33">
        <v>0</v>
      </c>
      <c r="Z33">
        <v>20934.879999999976</v>
      </c>
      <c r="AA33">
        <v>21211.879999999979</v>
      </c>
      <c r="AB33">
        <v>277</v>
      </c>
      <c r="AC33">
        <v>4664.4900000000043</v>
      </c>
      <c r="AD33">
        <v>1908.0700000000008</v>
      </c>
      <c r="AE33">
        <v>-2756.4200000000019</v>
      </c>
      <c r="AF33">
        <v>16270.389999999996</v>
      </c>
      <c r="AG33">
        <v>19303.809999999983</v>
      </c>
      <c r="AH33">
        <v>3033.4200000000019</v>
      </c>
      <c r="AI33">
        <v>-1094.9199999999985</v>
      </c>
      <c r="AJ33">
        <v>0</v>
      </c>
      <c r="AK33">
        <v>1094.9199999999985</v>
      </c>
      <c r="AL33">
        <v>17365.310000000016</v>
      </c>
      <c r="AM33">
        <v>19303.809999999983</v>
      </c>
      <c r="AN33">
        <v>1938.5000000000011</v>
      </c>
      <c r="AO33">
        <v>321</v>
      </c>
    </row>
    <row r="34" spans="1:41" x14ac:dyDescent="0.35">
      <c r="A34">
        <v>2024</v>
      </c>
      <c r="B34">
        <v>4</v>
      </c>
      <c r="C34">
        <v>14</v>
      </c>
      <c r="D34" s="14">
        <v>45385</v>
      </c>
      <c r="E34" t="s">
        <v>44</v>
      </c>
      <c r="F34" t="s">
        <v>47</v>
      </c>
      <c r="G34" t="s">
        <v>50</v>
      </c>
      <c r="H34">
        <v>29170.45</v>
      </c>
      <c r="I34">
        <v>29170.45</v>
      </c>
      <c r="J34">
        <v>0</v>
      </c>
      <c r="K34">
        <v>471.05999999999966</v>
      </c>
      <c r="L34">
        <v>471.05999999999966</v>
      </c>
      <c r="M34">
        <v>0</v>
      </c>
      <c r="N34">
        <v>1079.3200000000004</v>
      </c>
      <c r="O34">
        <v>1079.3200000000004</v>
      </c>
      <c r="P34">
        <v>0</v>
      </c>
      <c r="Q34">
        <v>-9115.85</v>
      </c>
      <c r="R34">
        <v>-9049.85</v>
      </c>
      <c r="S34">
        <v>66</v>
      </c>
      <c r="T34">
        <v>-25</v>
      </c>
      <c r="U34">
        <v>-25</v>
      </c>
      <c r="V34">
        <v>0</v>
      </c>
      <c r="W34">
        <v>-20</v>
      </c>
      <c r="X34">
        <v>-20</v>
      </c>
      <c r="Y34">
        <v>0</v>
      </c>
      <c r="Z34">
        <v>21559.980000000021</v>
      </c>
      <c r="AA34">
        <v>21625.980000000021</v>
      </c>
      <c r="AB34">
        <v>66.000000000000014</v>
      </c>
      <c r="AC34">
        <v>4424.7200000000048</v>
      </c>
      <c r="AD34">
        <v>2561.6500000000024</v>
      </c>
      <c r="AE34">
        <v>-1863.0700000000004</v>
      </c>
      <c r="AF34">
        <v>17135.260000000013</v>
      </c>
      <c r="AG34">
        <v>19064.33000000002</v>
      </c>
      <c r="AH34">
        <v>1929.0700000000002</v>
      </c>
      <c r="AI34">
        <v>-1373.0299999999984</v>
      </c>
      <c r="AJ34">
        <v>0</v>
      </c>
      <c r="AK34">
        <v>1373.0299999999984</v>
      </c>
      <c r="AL34">
        <v>18508.290000000015</v>
      </c>
      <c r="AM34">
        <v>19064.33000000002</v>
      </c>
      <c r="AN34">
        <v>556.03999999999974</v>
      </c>
      <c r="AO34">
        <v>323</v>
      </c>
    </row>
    <row r="35" spans="1:41" x14ac:dyDescent="0.35">
      <c r="A35">
        <v>2024</v>
      </c>
      <c r="B35">
        <v>4</v>
      </c>
      <c r="C35">
        <v>14</v>
      </c>
      <c r="D35" s="14">
        <v>45386</v>
      </c>
      <c r="E35" t="s">
        <v>44</v>
      </c>
      <c r="F35" t="s">
        <v>47</v>
      </c>
      <c r="G35" t="s">
        <v>50</v>
      </c>
      <c r="H35">
        <v>26428.1</v>
      </c>
      <c r="I35">
        <v>26428.1</v>
      </c>
      <c r="J35">
        <v>0</v>
      </c>
      <c r="K35">
        <v>500.27999999999952</v>
      </c>
      <c r="L35">
        <v>500.27999999999952</v>
      </c>
      <c r="M35">
        <v>0</v>
      </c>
      <c r="N35">
        <v>1166.2500000000005</v>
      </c>
      <c r="O35">
        <v>1166.2500000000005</v>
      </c>
      <c r="P35">
        <v>0</v>
      </c>
      <c r="Q35">
        <v>-7828.59</v>
      </c>
      <c r="R35">
        <v>-7597.59</v>
      </c>
      <c r="S35">
        <v>231</v>
      </c>
      <c r="T35">
        <v>-25</v>
      </c>
      <c r="U35">
        <v>-25</v>
      </c>
      <c r="V35">
        <v>0</v>
      </c>
      <c r="W35">
        <v>-25</v>
      </c>
      <c r="X35">
        <v>-25</v>
      </c>
      <c r="Y35">
        <v>0</v>
      </c>
      <c r="Z35">
        <v>20216.040000000012</v>
      </c>
      <c r="AA35">
        <v>20447.040000000015</v>
      </c>
      <c r="AB35">
        <v>231</v>
      </c>
      <c r="AC35">
        <v>3243.8200000000033</v>
      </c>
      <c r="AD35">
        <v>838.68000000000018</v>
      </c>
      <c r="AE35">
        <v>-2405.1400000000008</v>
      </c>
      <c r="AF35">
        <v>16972.220000000005</v>
      </c>
      <c r="AG35">
        <v>19608.360000000008</v>
      </c>
      <c r="AH35">
        <v>2636.1400000000012</v>
      </c>
      <c r="AI35">
        <v>-337.36000000000024</v>
      </c>
      <c r="AJ35">
        <v>0</v>
      </c>
      <c r="AK35">
        <v>337.36000000000024</v>
      </c>
      <c r="AL35">
        <v>17309.579999999998</v>
      </c>
      <c r="AM35">
        <v>19608.360000000008</v>
      </c>
      <c r="AN35">
        <v>2298.7800000000007</v>
      </c>
      <c r="AO35">
        <v>299</v>
      </c>
    </row>
    <row r="36" spans="1:41" x14ac:dyDescent="0.35">
      <c r="A36">
        <v>2024</v>
      </c>
      <c r="B36">
        <v>4</v>
      </c>
      <c r="C36">
        <v>14</v>
      </c>
      <c r="D36" s="14">
        <v>45387</v>
      </c>
      <c r="E36" t="s">
        <v>44</v>
      </c>
      <c r="F36" t="s">
        <v>47</v>
      </c>
      <c r="G36" t="s">
        <v>50</v>
      </c>
      <c r="H36">
        <v>18146.150000000001</v>
      </c>
      <c r="I36">
        <v>18146.150000000001</v>
      </c>
      <c r="J36">
        <v>0</v>
      </c>
      <c r="K36">
        <v>451.8399999999998</v>
      </c>
      <c r="L36">
        <v>451.8399999999998</v>
      </c>
      <c r="M36">
        <v>0</v>
      </c>
      <c r="N36">
        <v>709.5400000000003</v>
      </c>
      <c r="O36">
        <v>709.5400000000003</v>
      </c>
      <c r="P36">
        <v>0</v>
      </c>
      <c r="Q36">
        <v>-5110.3600000000006</v>
      </c>
      <c r="R36">
        <v>-5090.3600000000006</v>
      </c>
      <c r="S36">
        <v>20</v>
      </c>
      <c r="T36">
        <v>-25</v>
      </c>
      <c r="U36">
        <v>-25</v>
      </c>
      <c r="V36">
        <v>0</v>
      </c>
      <c r="W36">
        <v>-15</v>
      </c>
      <c r="X36">
        <v>-15</v>
      </c>
      <c r="Y36">
        <v>0</v>
      </c>
      <c r="Z36">
        <v>14157.169999999987</v>
      </c>
      <c r="AA36">
        <v>14177.169999999987</v>
      </c>
      <c r="AB36">
        <v>20</v>
      </c>
      <c r="AC36">
        <v>1650.5100000000004</v>
      </c>
      <c r="AD36">
        <v>796.82999999999993</v>
      </c>
      <c r="AE36">
        <v>-853.67999999999984</v>
      </c>
      <c r="AF36">
        <v>12506.659999999998</v>
      </c>
      <c r="AG36">
        <v>13380.339999999989</v>
      </c>
      <c r="AH36">
        <v>873.68</v>
      </c>
      <c r="AI36">
        <v>-399.77999999999986</v>
      </c>
      <c r="AJ36">
        <v>0</v>
      </c>
      <c r="AK36">
        <v>399.77999999999986</v>
      </c>
      <c r="AL36">
        <v>12906.440000000006</v>
      </c>
      <c r="AM36">
        <v>13380.339999999989</v>
      </c>
      <c r="AN36">
        <v>473.89999999999986</v>
      </c>
      <c r="AO36">
        <v>212</v>
      </c>
    </row>
    <row r="37" spans="1:41" x14ac:dyDescent="0.35">
      <c r="A37">
        <v>2024</v>
      </c>
      <c r="B37">
        <v>4</v>
      </c>
      <c r="C37">
        <v>14</v>
      </c>
      <c r="D37" s="14">
        <v>45388</v>
      </c>
      <c r="E37" t="s">
        <v>44</v>
      </c>
      <c r="F37" t="s">
        <v>47</v>
      </c>
      <c r="G37" t="s">
        <v>50</v>
      </c>
      <c r="H37">
        <v>21270.05</v>
      </c>
      <c r="I37">
        <v>21270.05</v>
      </c>
      <c r="J37">
        <v>0</v>
      </c>
      <c r="K37">
        <v>602.08999999999958</v>
      </c>
      <c r="L37">
        <v>602.08999999999958</v>
      </c>
      <c r="M37">
        <v>0</v>
      </c>
      <c r="N37">
        <v>1006.3300000000005</v>
      </c>
      <c r="O37">
        <v>1006.3300000000005</v>
      </c>
      <c r="P37">
        <v>0</v>
      </c>
      <c r="Q37">
        <v>-6527</v>
      </c>
      <c r="R37">
        <v>-6414</v>
      </c>
      <c r="S37">
        <v>113</v>
      </c>
      <c r="T37">
        <v>-40</v>
      </c>
      <c r="U37">
        <v>-40</v>
      </c>
      <c r="V37">
        <v>0</v>
      </c>
      <c r="W37">
        <v>-25</v>
      </c>
      <c r="X37">
        <v>-25</v>
      </c>
      <c r="Y37">
        <v>0</v>
      </c>
      <c r="Z37">
        <v>16286.47</v>
      </c>
      <c r="AA37">
        <v>16399.47</v>
      </c>
      <c r="AB37">
        <v>113</v>
      </c>
      <c r="AC37">
        <v>1763.7000000000014</v>
      </c>
      <c r="AD37">
        <v>966.86999999999966</v>
      </c>
      <c r="AE37">
        <v>-796.82999999999981</v>
      </c>
      <c r="AF37">
        <v>14522.770000000004</v>
      </c>
      <c r="AG37">
        <v>15432.600000000006</v>
      </c>
      <c r="AH37">
        <v>909.83</v>
      </c>
      <c r="AI37">
        <v>-718.66999999999962</v>
      </c>
      <c r="AJ37">
        <v>0</v>
      </c>
      <c r="AK37">
        <v>718.66999999999962</v>
      </c>
      <c r="AL37">
        <v>15241.440000000004</v>
      </c>
      <c r="AM37">
        <v>15432.600000000006</v>
      </c>
      <c r="AN37">
        <v>191.15999999999985</v>
      </c>
      <c r="AO37">
        <v>240</v>
      </c>
    </row>
    <row r="38" spans="1:41" x14ac:dyDescent="0.35">
      <c r="A38">
        <v>2024</v>
      </c>
      <c r="B38">
        <v>4</v>
      </c>
      <c r="C38">
        <v>14</v>
      </c>
      <c r="D38" s="14">
        <v>45383</v>
      </c>
      <c r="E38" t="s">
        <v>44</v>
      </c>
      <c r="F38" t="s">
        <v>47</v>
      </c>
      <c r="G38" t="s">
        <v>51</v>
      </c>
      <c r="H38">
        <v>705</v>
      </c>
      <c r="I38">
        <v>705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-282</v>
      </c>
      <c r="R38">
        <v>-282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423</v>
      </c>
      <c r="AA38">
        <v>423</v>
      </c>
      <c r="AB38">
        <v>0</v>
      </c>
      <c r="AC38">
        <v>91.63</v>
      </c>
      <c r="AE38">
        <v>-91.63</v>
      </c>
      <c r="AF38">
        <v>331.37000000000012</v>
      </c>
      <c r="AG38">
        <v>423</v>
      </c>
      <c r="AH38">
        <v>91.629999999999981</v>
      </c>
      <c r="AI38">
        <v>40.099999999999994</v>
      </c>
      <c r="AJ38">
        <v>42.06</v>
      </c>
      <c r="AK38">
        <v>1.96</v>
      </c>
      <c r="AL38">
        <v>291.27</v>
      </c>
      <c r="AM38">
        <v>380.93999999999994</v>
      </c>
      <c r="AN38">
        <v>89.669999999999987</v>
      </c>
      <c r="AO38">
        <v>11</v>
      </c>
    </row>
    <row r="39" spans="1:41" x14ac:dyDescent="0.35">
      <c r="A39">
        <v>2024</v>
      </c>
      <c r="B39">
        <v>4</v>
      </c>
      <c r="C39">
        <v>14</v>
      </c>
      <c r="D39" s="14">
        <v>45384</v>
      </c>
      <c r="E39" t="s">
        <v>44</v>
      </c>
      <c r="F39" t="s">
        <v>47</v>
      </c>
      <c r="G39" t="s">
        <v>51</v>
      </c>
      <c r="H39">
        <v>60</v>
      </c>
      <c r="I39">
        <v>60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-24</v>
      </c>
      <c r="R39">
        <v>-24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36</v>
      </c>
      <c r="AA39">
        <v>36</v>
      </c>
      <c r="AB39">
        <v>0</v>
      </c>
      <c r="AC39">
        <v>8.33</v>
      </c>
      <c r="AE39">
        <v>-8.33</v>
      </c>
      <c r="AF39">
        <v>27.67</v>
      </c>
      <c r="AG39">
        <v>36</v>
      </c>
      <c r="AH39">
        <v>8.3299999999999983</v>
      </c>
      <c r="AI39">
        <v>5.99</v>
      </c>
      <c r="AJ39">
        <v>5.99</v>
      </c>
      <c r="AK39">
        <v>0</v>
      </c>
      <c r="AL39">
        <v>21.68</v>
      </c>
      <c r="AM39">
        <v>30.01</v>
      </c>
      <c r="AN39">
        <v>8.3300000000000018</v>
      </c>
      <c r="AO39">
        <v>1</v>
      </c>
    </row>
    <row r="40" spans="1:41" x14ac:dyDescent="0.35">
      <c r="A40">
        <v>2024</v>
      </c>
      <c r="B40">
        <v>4</v>
      </c>
      <c r="C40">
        <v>14</v>
      </c>
      <c r="D40" s="14">
        <v>45385</v>
      </c>
      <c r="E40" t="s">
        <v>44</v>
      </c>
      <c r="F40" t="s">
        <v>47</v>
      </c>
      <c r="G40" t="s">
        <v>51</v>
      </c>
      <c r="H40">
        <v>1585.5</v>
      </c>
      <c r="I40">
        <v>1585.5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-345.95000000000005</v>
      </c>
      <c r="R40">
        <v>-345.95000000000005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1239.55</v>
      </c>
      <c r="AA40">
        <v>1239.55</v>
      </c>
      <c r="AB40">
        <v>0</v>
      </c>
      <c r="AC40">
        <v>48.87</v>
      </c>
      <c r="AD40">
        <v>48.87</v>
      </c>
      <c r="AE40">
        <v>0</v>
      </c>
      <c r="AF40">
        <v>1190.6799999999998</v>
      </c>
      <c r="AG40">
        <v>1190.6799999999998</v>
      </c>
      <c r="AH40">
        <v>0</v>
      </c>
      <c r="AI40">
        <v>340.75999999999993</v>
      </c>
      <c r="AJ40">
        <v>0</v>
      </c>
      <c r="AK40">
        <v>-340.75999999999993</v>
      </c>
      <c r="AL40">
        <v>849.91999999999985</v>
      </c>
      <c r="AM40">
        <v>1190.6799999999998</v>
      </c>
      <c r="AN40">
        <v>340.75999999999993</v>
      </c>
      <c r="AO40">
        <v>26</v>
      </c>
    </row>
    <row r="41" spans="1:41" x14ac:dyDescent="0.35">
      <c r="A41">
        <v>2024</v>
      </c>
      <c r="B41">
        <v>4</v>
      </c>
      <c r="C41">
        <v>14</v>
      </c>
      <c r="D41" s="14">
        <v>45386</v>
      </c>
      <c r="E41" t="s">
        <v>44</v>
      </c>
      <c r="F41" t="s">
        <v>47</v>
      </c>
      <c r="G41" t="s">
        <v>51</v>
      </c>
      <c r="H41">
        <v>23389.599999999995</v>
      </c>
      <c r="I41">
        <v>23389.599999999995</v>
      </c>
      <c r="J41">
        <v>0</v>
      </c>
      <c r="K41">
        <v>20</v>
      </c>
      <c r="L41">
        <v>20</v>
      </c>
      <c r="M41">
        <v>0</v>
      </c>
      <c r="N41">
        <v>0</v>
      </c>
      <c r="O41">
        <v>0</v>
      </c>
      <c r="P41">
        <v>0</v>
      </c>
      <c r="Q41">
        <v>-7985.099999999994</v>
      </c>
      <c r="R41">
        <v>-7985.099999999994</v>
      </c>
      <c r="S41">
        <v>0</v>
      </c>
      <c r="T41">
        <v>-4</v>
      </c>
      <c r="U41">
        <v>-4</v>
      </c>
      <c r="V41">
        <v>0</v>
      </c>
      <c r="W41">
        <v>0</v>
      </c>
      <c r="X41">
        <v>0</v>
      </c>
      <c r="Y41">
        <v>0</v>
      </c>
      <c r="Z41">
        <v>15420.500000000004</v>
      </c>
      <c r="AA41">
        <v>15420.500000000004</v>
      </c>
      <c r="AB41">
        <v>0</v>
      </c>
      <c r="AC41">
        <v>252.1400000000001</v>
      </c>
      <c r="AD41">
        <v>61.66</v>
      </c>
      <c r="AE41">
        <v>-190.48000000000005</v>
      </c>
      <c r="AF41">
        <v>15168.360000000006</v>
      </c>
      <c r="AG41">
        <v>15358.840000000006</v>
      </c>
      <c r="AH41">
        <v>190.4799999999999</v>
      </c>
      <c r="AI41">
        <v>3162.6200000000003</v>
      </c>
      <c r="AJ41">
        <v>99.140000000000015</v>
      </c>
      <c r="AK41">
        <v>-3063.4800000000005</v>
      </c>
      <c r="AL41">
        <v>12005.740000000007</v>
      </c>
      <c r="AM41">
        <v>15259.700000000003</v>
      </c>
      <c r="AN41">
        <v>3253.9600000000005</v>
      </c>
      <c r="AO41">
        <v>337</v>
      </c>
    </row>
    <row r="42" spans="1:41" x14ac:dyDescent="0.35">
      <c r="A42">
        <v>2024</v>
      </c>
      <c r="B42">
        <v>4</v>
      </c>
      <c r="C42">
        <v>14</v>
      </c>
      <c r="D42" s="14">
        <v>45387</v>
      </c>
      <c r="E42" t="s">
        <v>44</v>
      </c>
      <c r="F42" t="s">
        <v>47</v>
      </c>
      <c r="G42" t="s">
        <v>51</v>
      </c>
      <c r="H42">
        <v>5201.6000000000004</v>
      </c>
      <c r="I42">
        <v>5201.6000000000004</v>
      </c>
      <c r="J42">
        <v>0</v>
      </c>
      <c r="K42">
        <v>60</v>
      </c>
      <c r="L42">
        <v>60</v>
      </c>
      <c r="M42">
        <v>0</v>
      </c>
      <c r="N42">
        <v>15.99</v>
      </c>
      <c r="O42">
        <v>15.99</v>
      </c>
      <c r="P42">
        <v>0</v>
      </c>
      <c r="Q42">
        <v>-1162.299999999999</v>
      </c>
      <c r="R42">
        <v>-1162.299999999999</v>
      </c>
      <c r="S42">
        <v>0</v>
      </c>
      <c r="T42">
        <v>-20</v>
      </c>
      <c r="U42">
        <v>-20</v>
      </c>
      <c r="V42">
        <v>0</v>
      </c>
      <c r="W42">
        <v>0</v>
      </c>
      <c r="X42">
        <v>0</v>
      </c>
      <c r="Y42">
        <v>0</v>
      </c>
      <c r="Z42">
        <v>4095.2899999999968</v>
      </c>
      <c r="AA42">
        <v>4095.2899999999968</v>
      </c>
      <c r="AB42">
        <v>0</v>
      </c>
      <c r="AC42">
        <v>105.80999999999999</v>
      </c>
      <c r="AD42">
        <v>44.15</v>
      </c>
      <c r="AE42">
        <v>-61.66</v>
      </c>
      <c r="AF42">
        <v>3989.4799999999968</v>
      </c>
      <c r="AG42">
        <v>4051.1399999999971</v>
      </c>
      <c r="AH42">
        <v>61.66</v>
      </c>
      <c r="AI42">
        <v>1184.8499999999983</v>
      </c>
      <c r="AJ42">
        <v>0</v>
      </c>
      <c r="AK42">
        <v>-1184.8499999999983</v>
      </c>
      <c r="AL42">
        <v>2804.6300000000024</v>
      </c>
      <c r="AM42">
        <v>4051.1399999999971</v>
      </c>
      <c r="AN42">
        <v>1246.5099999999993</v>
      </c>
      <c r="AO42">
        <v>92</v>
      </c>
    </row>
    <row r="43" spans="1:41" x14ac:dyDescent="0.35">
      <c r="A43">
        <v>2024</v>
      </c>
      <c r="B43">
        <v>4</v>
      </c>
      <c r="C43">
        <v>14</v>
      </c>
      <c r="D43" s="14">
        <v>45388</v>
      </c>
      <c r="E43" t="s">
        <v>44</v>
      </c>
      <c r="F43" t="s">
        <v>47</v>
      </c>
      <c r="G43" t="s">
        <v>51</v>
      </c>
      <c r="H43">
        <v>3753.7500000000009</v>
      </c>
      <c r="I43">
        <v>3753.7500000000009</v>
      </c>
      <c r="J43">
        <v>0</v>
      </c>
      <c r="K43">
        <v>50</v>
      </c>
      <c r="L43">
        <v>50</v>
      </c>
      <c r="M43">
        <v>0</v>
      </c>
      <c r="N43">
        <v>18.990000000000002</v>
      </c>
      <c r="O43">
        <v>18.990000000000002</v>
      </c>
      <c r="P43">
        <v>0</v>
      </c>
      <c r="Q43">
        <v>-1159.2599999999998</v>
      </c>
      <c r="R43">
        <v>-1159.2599999999998</v>
      </c>
      <c r="S43">
        <v>0</v>
      </c>
      <c r="T43">
        <v>-16</v>
      </c>
      <c r="U43">
        <v>-16</v>
      </c>
      <c r="V43">
        <v>0</v>
      </c>
      <c r="W43">
        <v>0</v>
      </c>
      <c r="X43">
        <v>0</v>
      </c>
      <c r="Y43">
        <v>0</v>
      </c>
      <c r="Z43">
        <v>2647.48</v>
      </c>
      <c r="AA43">
        <v>2647.48</v>
      </c>
      <c r="AB43">
        <v>0</v>
      </c>
      <c r="AC43">
        <v>90.81</v>
      </c>
      <c r="AD43">
        <v>46.66</v>
      </c>
      <c r="AE43">
        <v>-44.15</v>
      </c>
      <c r="AF43">
        <v>2556.67</v>
      </c>
      <c r="AG43">
        <v>2600.8200000000002</v>
      </c>
      <c r="AH43">
        <v>44.149999999999991</v>
      </c>
      <c r="AI43">
        <v>654.68000000000006</v>
      </c>
      <c r="AJ43">
        <v>0</v>
      </c>
      <c r="AK43">
        <v>-654.68000000000006</v>
      </c>
      <c r="AL43">
        <v>1901.9899999999998</v>
      </c>
      <c r="AM43">
        <v>2600.8200000000002</v>
      </c>
      <c r="AN43">
        <v>698.83</v>
      </c>
      <c r="AO43">
        <v>55</v>
      </c>
    </row>
    <row r="44" spans="1:41" x14ac:dyDescent="0.35">
      <c r="A44">
        <v>2024</v>
      </c>
      <c r="B44">
        <v>4</v>
      </c>
      <c r="C44">
        <v>15</v>
      </c>
      <c r="D44" s="14">
        <v>45389</v>
      </c>
      <c r="E44" t="s">
        <v>41</v>
      </c>
      <c r="F44" t="s">
        <v>42</v>
      </c>
      <c r="G44" t="s">
        <v>43</v>
      </c>
      <c r="H44">
        <v>64817</v>
      </c>
      <c r="I44">
        <v>64817</v>
      </c>
      <c r="J44">
        <v>0</v>
      </c>
      <c r="K44">
        <v>833.6300000000025</v>
      </c>
      <c r="L44">
        <v>833.6300000000025</v>
      </c>
      <c r="M44">
        <v>0</v>
      </c>
      <c r="N44">
        <v>1882.600000000001</v>
      </c>
      <c r="O44">
        <v>1882.600000000001</v>
      </c>
      <c r="P44">
        <v>0</v>
      </c>
      <c r="Q44">
        <v>-6534.7999999999993</v>
      </c>
      <c r="R44">
        <v>-6087.7999999999993</v>
      </c>
      <c r="S44">
        <v>447</v>
      </c>
      <c r="T44">
        <v>-22.85</v>
      </c>
      <c r="U44">
        <v>-22.85</v>
      </c>
      <c r="V44">
        <v>0</v>
      </c>
      <c r="W44">
        <v>-69.98</v>
      </c>
      <c r="X44">
        <v>-69.98</v>
      </c>
      <c r="Y44">
        <v>0</v>
      </c>
      <c r="Z44">
        <v>60905.59999999962</v>
      </c>
      <c r="AA44">
        <v>61352.59999999962</v>
      </c>
      <c r="AB44">
        <v>447</v>
      </c>
      <c r="AC44">
        <v>13831.93999999999</v>
      </c>
      <c r="AD44">
        <v>6558.1500000000242</v>
      </c>
      <c r="AE44">
        <v>-7273.7900000000245</v>
      </c>
      <c r="AF44">
        <v>47073.660000000069</v>
      </c>
      <c r="AG44">
        <v>54794.449999999895</v>
      </c>
      <c r="AH44">
        <v>7720.7900000000236</v>
      </c>
      <c r="AI44">
        <v>-3481.1399999999971</v>
      </c>
      <c r="AJ44">
        <v>0</v>
      </c>
      <c r="AK44">
        <v>3481.1399999999971</v>
      </c>
      <c r="AL44">
        <v>50554.800000000141</v>
      </c>
      <c r="AM44">
        <v>54794.449999999895</v>
      </c>
      <c r="AN44">
        <v>4239.6500000000206</v>
      </c>
      <c r="AO44">
        <v>1136</v>
      </c>
    </row>
    <row r="45" spans="1:41" x14ac:dyDescent="0.35">
      <c r="A45">
        <v>2024</v>
      </c>
      <c r="B45">
        <v>4</v>
      </c>
      <c r="C45">
        <v>15</v>
      </c>
      <c r="D45" s="14">
        <v>45390</v>
      </c>
      <c r="E45" t="s">
        <v>41</v>
      </c>
      <c r="F45" t="s">
        <v>42</v>
      </c>
      <c r="G45" t="s">
        <v>43</v>
      </c>
      <c r="H45">
        <v>69851.25</v>
      </c>
      <c r="I45">
        <v>69851.25</v>
      </c>
      <c r="J45">
        <v>0</v>
      </c>
      <c r="K45">
        <v>752.31000000000586</v>
      </c>
      <c r="L45">
        <v>752.31000000000586</v>
      </c>
      <c r="M45">
        <v>0</v>
      </c>
      <c r="N45">
        <v>2241.3699999999981</v>
      </c>
      <c r="O45">
        <v>2241.3699999999981</v>
      </c>
      <c r="P45">
        <v>0</v>
      </c>
      <c r="Q45">
        <v>-7433.45</v>
      </c>
      <c r="R45">
        <v>-6701.45</v>
      </c>
      <c r="S45">
        <v>732</v>
      </c>
      <c r="T45">
        <v>-15.55</v>
      </c>
      <c r="U45">
        <v>-15.55</v>
      </c>
      <c r="V45">
        <v>0</v>
      </c>
      <c r="W45">
        <v>-64.98</v>
      </c>
      <c r="X45">
        <v>-64.98</v>
      </c>
      <c r="Y45">
        <v>0</v>
      </c>
      <c r="Z45">
        <v>65330.949999999655</v>
      </c>
      <c r="AA45">
        <v>66062.949999999648</v>
      </c>
      <c r="AB45">
        <v>732</v>
      </c>
      <c r="AC45">
        <v>14091.109999999993</v>
      </c>
      <c r="AD45">
        <v>7605.9500000000244</v>
      </c>
      <c r="AE45">
        <v>-6485.1600000000217</v>
      </c>
      <c r="AF45">
        <v>51239.84000000012</v>
      </c>
      <c r="AG45">
        <v>58456.99999999992</v>
      </c>
      <c r="AH45">
        <v>7217.1600000000244</v>
      </c>
      <c r="AI45">
        <v>-4088.0399999999963</v>
      </c>
      <c r="AJ45">
        <v>0</v>
      </c>
      <c r="AK45">
        <v>4088.0399999999963</v>
      </c>
      <c r="AL45">
        <v>55327.880000000128</v>
      </c>
      <c r="AM45">
        <v>58456.99999999992</v>
      </c>
      <c r="AN45">
        <v>3129.1200000000044</v>
      </c>
      <c r="AO45">
        <v>1224</v>
      </c>
    </row>
    <row r="46" spans="1:41" x14ac:dyDescent="0.35">
      <c r="A46">
        <v>2024</v>
      </c>
      <c r="B46">
        <v>4</v>
      </c>
      <c r="C46">
        <v>15</v>
      </c>
      <c r="D46" s="14">
        <v>45391</v>
      </c>
      <c r="E46" t="s">
        <v>41</v>
      </c>
      <c r="F46" t="s">
        <v>42</v>
      </c>
      <c r="G46" t="s">
        <v>43</v>
      </c>
      <c r="H46">
        <v>63439</v>
      </c>
      <c r="I46">
        <v>63439</v>
      </c>
      <c r="J46">
        <v>0</v>
      </c>
      <c r="K46">
        <v>666.2500000000025</v>
      </c>
      <c r="L46">
        <v>673.2500000000025</v>
      </c>
      <c r="M46">
        <v>7</v>
      </c>
      <c r="N46">
        <v>1837.640000000001</v>
      </c>
      <c r="O46">
        <v>1837.640000000001</v>
      </c>
      <c r="P46">
        <v>0</v>
      </c>
      <c r="Q46">
        <v>-7166.75</v>
      </c>
      <c r="R46">
        <v>-6426.75</v>
      </c>
      <c r="S46">
        <v>740</v>
      </c>
      <c r="T46">
        <v>-1.7800000000000002</v>
      </c>
      <c r="U46">
        <v>-2.2400000000000002</v>
      </c>
      <c r="V46">
        <v>-0.46</v>
      </c>
      <c r="W46">
        <v>-54.980000000000004</v>
      </c>
      <c r="X46">
        <v>-54.980000000000004</v>
      </c>
      <c r="Y46">
        <v>0</v>
      </c>
      <c r="Z46">
        <v>58719.379999999648</v>
      </c>
      <c r="AA46">
        <v>59465.919999999649</v>
      </c>
      <c r="AB46">
        <v>746.54</v>
      </c>
      <c r="AC46">
        <v>13740.529999999995</v>
      </c>
      <c r="AD46">
        <v>6262.760000000022</v>
      </c>
      <c r="AE46">
        <v>-7477.7700000000214</v>
      </c>
      <c r="AF46">
        <v>44994.480000000178</v>
      </c>
      <c r="AG46">
        <v>53218.789999999906</v>
      </c>
      <c r="AH46">
        <v>8224.3100000000213</v>
      </c>
      <c r="AI46">
        <v>-3391.8299999999954</v>
      </c>
      <c r="AJ46">
        <v>0</v>
      </c>
      <c r="AK46">
        <v>3391.8299999999954</v>
      </c>
      <c r="AL46">
        <v>48386.31000000015</v>
      </c>
      <c r="AM46">
        <v>53218.789999999906</v>
      </c>
      <c r="AN46">
        <v>4832.4800000000196</v>
      </c>
      <c r="AO46">
        <v>1111</v>
      </c>
    </row>
    <row r="47" spans="1:41" x14ac:dyDescent="0.35">
      <c r="A47">
        <v>2024</v>
      </c>
      <c r="B47">
        <v>4</v>
      </c>
      <c r="C47">
        <v>15</v>
      </c>
      <c r="D47" s="14">
        <v>45392</v>
      </c>
      <c r="E47" t="s">
        <v>41</v>
      </c>
      <c r="F47" t="s">
        <v>42</v>
      </c>
      <c r="G47" t="s">
        <v>43</v>
      </c>
      <c r="H47">
        <v>62072</v>
      </c>
      <c r="I47">
        <v>62072</v>
      </c>
      <c r="J47">
        <v>0</v>
      </c>
      <c r="K47">
        <v>749.7700000000026</v>
      </c>
      <c r="L47">
        <v>749.7700000000026</v>
      </c>
      <c r="M47">
        <v>0</v>
      </c>
      <c r="N47">
        <v>1686.7500000000009</v>
      </c>
      <c r="O47">
        <v>1686.7500000000009</v>
      </c>
      <c r="P47">
        <v>0</v>
      </c>
      <c r="Q47">
        <v>-6452.5</v>
      </c>
      <c r="R47">
        <v>-6037.5</v>
      </c>
      <c r="S47">
        <v>415</v>
      </c>
      <c r="T47">
        <v>-2.4700000000000002</v>
      </c>
      <c r="U47">
        <v>-2.4700000000000002</v>
      </c>
      <c r="V47">
        <v>0</v>
      </c>
      <c r="W47">
        <v>-38.99</v>
      </c>
      <c r="X47">
        <v>-38.99</v>
      </c>
      <c r="Y47">
        <v>0</v>
      </c>
      <c r="Z47">
        <v>58014.559999999707</v>
      </c>
      <c r="AA47">
        <v>58429.559999999699</v>
      </c>
      <c r="AB47">
        <v>415</v>
      </c>
      <c r="AC47">
        <v>13128.43000000002</v>
      </c>
      <c r="AD47">
        <v>6969.5500000000211</v>
      </c>
      <c r="AE47">
        <v>-6158.8800000000165</v>
      </c>
      <c r="AF47">
        <v>44886.130000000143</v>
      </c>
      <c r="AG47">
        <v>51460.00999999998</v>
      </c>
      <c r="AH47">
        <v>6573.8800000000165</v>
      </c>
      <c r="AI47">
        <v>-3649.7699999999973</v>
      </c>
      <c r="AJ47">
        <v>0</v>
      </c>
      <c r="AK47">
        <v>3649.7699999999973</v>
      </c>
      <c r="AL47">
        <v>48535.900000000067</v>
      </c>
      <c r="AM47">
        <v>51460.00999999998</v>
      </c>
      <c r="AN47">
        <v>2924.1100000000029</v>
      </c>
      <c r="AO47">
        <v>1093</v>
      </c>
    </row>
    <row r="48" spans="1:41" x14ac:dyDescent="0.35">
      <c r="A48">
        <v>2024</v>
      </c>
      <c r="B48">
        <v>4</v>
      </c>
      <c r="C48">
        <v>15</v>
      </c>
      <c r="D48" s="14">
        <v>45393</v>
      </c>
      <c r="E48" t="s">
        <v>41</v>
      </c>
      <c r="F48" t="s">
        <v>42</v>
      </c>
      <c r="G48" t="s">
        <v>43</v>
      </c>
      <c r="H48">
        <v>68013.75</v>
      </c>
      <c r="I48">
        <v>68013.75</v>
      </c>
      <c r="J48">
        <v>0</v>
      </c>
      <c r="K48">
        <v>791.95000000000368</v>
      </c>
      <c r="L48">
        <v>777.95000000000346</v>
      </c>
      <c r="M48">
        <v>-14</v>
      </c>
      <c r="N48">
        <v>1553.8500000000008</v>
      </c>
      <c r="O48">
        <v>1553.8500000000008</v>
      </c>
      <c r="P48">
        <v>0</v>
      </c>
      <c r="Q48">
        <v>-6982.5</v>
      </c>
      <c r="R48">
        <v>-6369.5</v>
      </c>
      <c r="S48">
        <v>613</v>
      </c>
      <c r="T48">
        <v>-8.06</v>
      </c>
      <c r="U48">
        <v>-8.06</v>
      </c>
      <c r="V48">
        <v>0</v>
      </c>
      <c r="W48">
        <v>-35</v>
      </c>
      <c r="X48">
        <v>-35</v>
      </c>
      <c r="Y48">
        <v>0</v>
      </c>
      <c r="Z48">
        <v>63333.989999999605</v>
      </c>
      <c r="AA48">
        <v>63932.989999999605</v>
      </c>
      <c r="AB48">
        <v>599</v>
      </c>
      <c r="AC48">
        <v>14727.339999999982</v>
      </c>
      <c r="AD48">
        <v>7796.6600000000253</v>
      </c>
      <c r="AE48">
        <v>-6930.6800000000239</v>
      </c>
      <c r="AF48">
        <v>48606.650000000249</v>
      </c>
      <c r="AG48">
        <v>56136.329999999929</v>
      </c>
      <c r="AH48">
        <v>7529.6800000000239</v>
      </c>
      <c r="AI48">
        <v>-3921.3100000000004</v>
      </c>
      <c r="AJ48">
        <v>0</v>
      </c>
      <c r="AK48">
        <v>3921.3100000000004</v>
      </c>
      <c r="AL48">
        <v>52527.960000000145</v>
      </c>
      <c r="AM48">
        <v>56136.329999999929</v>
      </c>
      <c r="AN48">
        <v>3608.3700000000072</v>
      </c>
      <c r="AO48">
        <v>1197</v>
      </c>
    </row>
    <row r="49" spans="1:41" x14ac:dyDescent="0.35">
      <c r="A49">
        <v>2024</v>
      </c>
      <c r="B49">
        <v>4</v>
      </c>
      <c r="C49">
        <v>15</v>
      </c>
      <c r="D49" s="14">
        <v>45394</v>
      </c>
      <c r="E49" t="s">
        <v>41</v>
      </c>
      <c r="F49" t="s">
        <v>42</v>
      </c>
      <c r="G49" t="s">
        <v>43</v>
      </c>
      <c r="H49">
        <v>68743.75</v>
      </c>
      <c r="I49">
        <v>68743.75</v>
      </c>
      <c r="J49">
        <v>0</v>
      </c>
      <c r="K49">
        <v>781.81000000000506</v>
      </c>
      <c r="L49">
        <v>781.81000000000506</v>
      </c>
      <c r="M49">
        <v>0</v>
      </c>
      <c r="N49">
        <v>1805.6500000000012</v>
      </c>
      <c r="O49">
        <v>1776.670000000001</v>
      </c>
      <c r="P49">
        <v>-28.98</v>
      </c>
      <c r="Q49">
        <v>-7057.5</v>
      </c>
      <c r="R49">
        <v>-6451.5</v>
      </c>
      <c r="S49">
        <v>606</v>
      </c>
      <c r="T49">
        <v>-8.4</v>
      </c>
      <c r="U49">
        <v>-8.4</v>
      </c>
      <c r="V49">
        <v>0</v>
      </c>
      <c r="W49">
        <v>-77.97</v>
      </c>
      <c r="X49">
        <v>-77.97</v>
      </c>
      <c r="Y49">
        <v>0</v>
      </c>
      <c r="Z49">
        <v>64187.339999999604</v>
      </c>
      <c r="AA49">
        <v>64764.3599999996</v>
      </c>
      <c r="AB49">
        <v>577.02</v>
      </c>
      <c r="AC49">
        <v>15801.359999999995</v>
      </c>
      <c r="AD49">
        <v>8060.8200000000279</v>
      </c>
      <c r="AE49">
        <v>-7740.5400000000209</v>
      </c>
      <c r="AF49">
        <v>48385.980000000134</v>
      </c>
      <c r="AG49">
        <v>56703.539999999892</v>
      </c>
      <c r="AH49">
        <v>8317.5600000000213</v>
      </c>
      <c r="AI49">
        <v>-3922</v>
      </c>
      <c r="AJ49">
        <v>0</v>
      </c>
      <c r="AK49">
        <v>3922</v>
      </c>
      <c r="AL49">
        <v>52307.98000000012</v>
      </c>
      <c r="AM49">
        <v>56703.539999999892</v>
      </c>
      <c r="AN49">
        <v>4395.5600000000131</v>
      </c>
      <c r="AO49">
        <v>1211</v>
      </c>
    </row>
    <row r="50" spans="1:41" x14ac:dyDescent="0.35">
      <c r="A50">
        <v>2024</v>
      </c>
      <c r="B50">
        <v>4</v>
      </c>
      <c r="C50">
        <v>15</v>
      </c>
      <c r="D50" s="14">
        <v>45395</v>
      </c>
      <c r="E50" t="s">
        <v>41</v>
      </c>
      <c r="F50" t="s">
        <v>42</v>
      </c>
      <c r="G50" t="s">
        <v>43</v>
      </c>
      <c r="H50">
        <v>73566.25</v>
      </c>
      <c r="I50">
        <v>73566.25</v>
      </c>
      <c r="J50">
        <v>0</v>
      </c>
      <c r="K50">
        <v>882.96000000000481</v>
      </c>
      <c r="L50">
        <v>882.96000000000481</v>
      </c>
      <c r="M50">
        <v>0</v>
      </c>
      <c r="N50">
        <v>2094.4500000000003</v>
      </c>
      <c r="O50">
        <v>2081.4600000000005</v>
      </c>
      <c r="P50">
        <v>-12.99</v>
      </c>
      <c r="Q50">
        <v>-7529.2</v>
      </c>
      <c r="R50">
        <v>-6894.2</v>
      </c>
      <c r="S50">
        <v>635</v>
      </c>
      <c r="T50">
        <v>-1.9500000000000002</v>
      </c>
      <c r="U50">
        <v>-1.9500000000000002</v>
      </c>
      <c r="V50">
        <v>0</v>
      </c>
      <c r="W50">
        <v>-73.98</v>
      </c>
      <c r="X50">
        <v>-73.98</v>
      </c>
      <c r="Y50">
        <v>0</v>
      </c>
      <c r="Z50">
        <v>68938.529999999708</v>
      </c>
      <c r="AA50">
        <v>69560.539999999703</v>
      </c>
      <c r="AB50">
        <v>622.01</v>
      </c>
      <c r="AC50">
        <v>17348.439999999937</v>
      </c>
      <c r="AD50">
        <v>9336.2900000000227</v>
      </c>
      <c r="AE50">
        <v>-8012.1500000000278</v>
      </c>
      <c r="AF50">
        <v>51590.09000000012</v>
      </c>
      <c r="AG50">
        <v>60224.249999999804</v>
      </c>
      <c r="AH50">
        <v>8634.1600000000217</v>
      </c>
      <c r="AI50">
        <v>-4854.549999999992</v>
      </c>
      <c r="AJ50">
        <v>0</v>
      </c>
      <c r="AK50">
        <v>4854.549999999992</v>
      </c>
      <c r="AL50">
        <v>56444.640000000065</v>
      </c>
      <c r="AM50">
        <v>60224.249999999804</v>
      </c>
      <c r="AN50">
        <v>3779.6100000000197</v>
      </c>
      <c r="AO50">
        <v>1294</v>
      </c>
    </row>
    <row r="51" spans="1:41" x14ac:dyDescent="0.35">
      <c r="A51">
        <v>2024</v>
      </c>
      <c r="B51">
        <v>4</v>
      </c>
      <c r="C51">
        <v>15</v>
      </c>
      <c r="D51" s="14">
        <v>45389</v>
      </c>
      <c r="E51" t="s">
        <v>44</v>
      </c>
      <c r="F51" t="s">
        <v>42</v>
      </c>
      <c r="G51" t="s">
        <v>45</v>
      </c>
      <c r="H51">
        <v>94305.5</v>
      </c>
      <c r="I51">
        <v>94305.5</v>
      </c>
      <c r="J51">
        <v>0</v>
      </c>
      <c r="K51">
        <v>699.79000000000428</v>
      </c>
      <c r="L51">
        <v>699.79000000000428</v>
      </c>
      <c r="M51">
        <v>0</v>
      </c>
      <c r="N51">
        <v>4436.0199999999668</v>
      </c>
      <c r="O51">
        <v>4436.0199999999668</v>
      </c>
      <c r="P51">
        <v>0</v>
      </c>
      <c r="Q51">
        <v>-15901.5</v>
      </c>
      <c r="R51">
        <v>-15642</v>
      </c>
      <c r="S51">
        <v>259.5</v>
      </c>
      <c r="T51">
        <v>-0.49</v>
      </c>
      <c r="U51">
        <v>-0.49</v>
      </c>
      <c r="V51">
        <v>0</v>
      </c>
      <c r="W51">
        <v>-76</v>
      </c>
      <c r="X51">
        <v>-76</v>
      </c>
      <c r="Y51">
        <v>0</v>
      </c>
      <c r="Z51">
        <v>83463.320000000153</v>
      </c>
      <c r="AA51">
        <v>83722.820000000153</v>
      </c>
      <c r="AB51">
        <v>259.5</v>
      </c>
      <c r="AC51">
        <v>11737.93999999996</v>
      </c>
      <c r="AD51">
        <v>6242.8500000000167</v>
      </c>
      <c r="AE51">
        <v>-5495.0900000000156</v>
      </c>
      <c r="AF51">
        <v>71725.380000000121</v>
      </c>
      <c r="AG51">
        <v>77479.97000000019</v>
      </c>
      <c r="AH51">
        <v>5754.5900000000156</v>
      </c>
      <c r="AI51">
        <v>-3465.349999999999</v>
      </c>
      <c r="AJ51">
        <v>0</v>
      </c>
      <c r="AK51">
        <v>3465.349999999999</v>
      </c>
      <c r="AL51">
        <v>75190.73000000001</v>
      </c>
      <c r="AM51">
        <v>77479.97000000019</v>
      </c>
      <c r="AN51">
        <v>2289.2400000000011</v>
      </c>
      <c r="AO51">
        <v>1234</v>
      </c>
    </row>
    <row r="52" spans="1:41" x14ac:dyDescent="0.35">
      <c r="A52">
        <v>2024</v>
      </c>
      <c r="B52">
        <v>4</v>
      </c>
      <c r="C52">
        <v>15</v>
      </c>
      <c r="D52" s="14">
        <v>45390</v>
      </c>
      <c r="E52" t="s">
        <v>44</v>
      </c>
      <c r="F52" t="s">
        <v>42</v>
      </c>
      <c r="G52" t="s">
        <v>45</v>
      </c>
      <c r="H52">
        <v>105238</v>
      </c>
      <c r="I52">
        <v>105238</v>
      </c>
      <c r="J52">
        <v>0</v>
      </c>
      <c r="K52">
        <v>775.24000000000319</v>
      </c>
      <c r="L52">
        <v>775.24000000000319</v>
      </c>
      <c r="M52">
        <v>0</v>
      </c>
      <c r="N52">
        <v>5169.5799999999554</v>
      </c>
      <c r="O52">
        <v>5114.6199999999562</v>
      </c>
      <c r="P52">
        <v>-54.96</v>
      </c>
      <c r="Q52">
        <v>-17671</v>
      </c>
      <c r="R52">
        <v>-17188</v>
      </c>
      <c r="S52">
        <v>483</v>
      </c>
      <c r="T52">
        <v>-0.72</v>
      </c>
      <c r="U52">
        <v>-0.72</v>
      </c>
      <c r="V52">
        <v>0</v>
      </c>
      <c r="W52">
        <v>-74.5</v>
      </c>
      <c r="X52">
        <v>-74.5</v>
      </c>
      <c r="Y52">
        <v>0</v>
      </c>
      <c r="Z52">
        <v>93436.600000000442</v>
      </c>
      <c r="AA52">
        <v>93864.640000000436</v>
      </c>
      <c r="AB52">
        <v>428.03999999999996</v>
      </c>
      <c r="AC52">
        <v>12777.409999999936</v>
      </c>
      <c r="AD52">
        <v>6600.8700000000208</v>
      </c>
      <c r="AE52">
        <v>-6176.5400000000209</v>
      </c>
      <c r="AF52">
        <v>80659.190000000148</v>
      </c>
      <c r="AG52">
        <v>87263.770000000251</v>
      </c>
      <c r="AH52">
        <v>6604.5800000000208</v>
      </c>
      <c r="AI52">
        <v>-4108.1899999999987</v>
      </c>
      <c r="AJ52">
        <v>0</v>
      </c>
      <c r="AK52">
        <v>4108.1899999999987</v>
      </c>
      <c r="AL52">
        <v>84767.379999999888</v>
      </c>
      <c r="AM52">
        <v>87263.770000000251</v>
      </c>
      <c r="AN52">
        <v>2496.3900000000112</v>
      </c>
      <c r="AO52">
        <v>1378</v>
      </c>
    </row>
    <row r="53" spans="1:41" x14ac:dyDescent="0.35">
      <c r="A53">
        <v>2024</v>
      </c>
      <c r="B53">
        <v>4</v>
      </c>
      <c r="C53">
        <v>15</v>
      </c>
      <c r="D53" s="14">
        <v>45391</v>
      </c>
      <c r="E53" t="s">
        <v>44</v>
      </c>
      <c r="F53" t="s">
        <v>42</v>
      </c>
      <c r="G53" t="s">
        <v>45</v>
      </c>
      <c r="H53">
        <v>79033</v>
      </c>
      <c r="I53">
        <v>79033</v>
      </c>
      <c r="J53">
        <v>0</v>
      </c>
      <c r="K53">
        <v>573.36000000000092</v>
      </c>
      <c r="L53">
        <v>573.36000000000092</v>
      </c>
      <c r="M53">
        <v>0</v>
      </c>
      <c r="N53">
        <v>3893.4699999999752</v>
      </c>
      <c r="O53">
        <v>3858.4899999999757</v>
      </c>
      <c r="P53">
        <v>-34.980000000000004</v>
      </c>
      <c r="Q53">
        <v>-13878</v>
      </c>
      <c r="R53">
        <v>-13512</v>
      </c>
      <c r="S53">
        <v>366</v>
      </c>
      <c r="T53">
        <v>-10.950000000000001</v>
      </c>
      <c r="U53">
        <v>-10.950000000000001</v>
      </c>
      <c r="V53">
        <v>0</v>
      </c>
      <c r="W53">
        <v>-79.5</v>
      </c>
      <c r="X53">
        <v>-79.5</v>
      </c>
      <c r="Y53">
        <v>0</v>
      </c>
      <c r="Z53">
        <v>69531.379999999845</v>
      </c>
      <c r="AA53">
        <v>69862.399999999849</v>
      </c>
      <c r="AB53">
        <v>331.02000000000004</v>
      </c>
      <c r="AC53">
        <v>10461.759999999986</v>
      </c>
      <c r="AD53">
        <v>3964.370000000009</v>
      </c>
      <c r="AE53">
        <v>-6497.3900000000194</v>
      </c>
      <c r="AF53">
        <v>59069.63000000015</v>
      </c>
      <c r="AG53">
        <v>65898.03999999995</v>
      </c>
      <c r="AH53">
        <v>6828.4100000000199</v>
      </c>
      <c r="AI53">
        <v>-2500.7899999999995</v>
      </c>
      <c r="AJ53">
        <v>0</v>
      </c>
      <c r="AK53">
        <v>2500.7899999999995</v>
      </c>
      <c r="AL53">
        <v>61570.420000000093</v>
      </c>
      <c r="AM53">
        <v>65898.03999999995</v>
      </c>
      <c r="AN53">
        <v>4327.6200000000154</v>
      </c>
      <c r="AO53">
        <v>1022</v>
      </c>
    </row>
    <row r="54" spans="1:41" x14ac:dyDescent="0.35">
      <c r="A54">
        <v>2024</v>
      </c>
      <c r="B54">
        <v>4</v>
      </c>
      <c r="C54">
        <v>15</v>
      </c>
      <c r="D54" s="14">
        <v>45392</v>
      </c>
      <c r="E54" t="s">
        <v>44</v>
      </c>
      <c r="F54" t="s">
        <v>42</v>
      </c>
      <c r="G54" t="s">
        <v>45</v>
      </c>
      <c r="H54">
        <v>84495.25</v>
      </c>
      <c r="I54">
        <v>84495.25</v>
      </c>
      <c r="J54">
        <v>0</v>
      </c>
      <c r="K54">
        <v>636.53000000000259</v>
      </c>
      <c r="L54">
        <v>636.53000000000259</v>
      </c>
      <c r="M54">
        <v>0</v>
      </c>
      <c r="N54">
        <v>3774.4599999999755</v>
      </c>
      <c r="O54">
        <v>3774.4599999999755</v>
      </c>
      <c r="P54">
        <v>0</v>
      </c>
      <c r="Q54">
        <v>-14050</v>
      </c>
      <c r="R54">
        <v>-13844</v>
      </c>
      <c r="S54">
        <v>206</v>
      </c>
      <c r="T54">
        <v>-11.52</v>
      </c>
      <c r="U54">
        <v>-11.52</v>
      </c>
      <c r="V54">
        <v>0</v>
      </c>
      <c r="W54">
        <v>-65</v>
      </c>
      <c r="X54">
        <v>-65</v>
      </c>
      <c r="Y54">
        <v>0</v>
      </c>
      <c r="Z54">
        <v>74779.720000000016</v>
      </c>
      <c r="AA54">
        <v>74985.720000000016</v>
      </c>
      <c r="AB54">
        <v>206</v>
      </c>
      <c r="AC54">
        <v>10035.479999999981</v>
      </c>
      <c r="AD54">
        <v>6111.1600000000162</v>
      </c>
      <c r="AE54">
        <v>-3924.3200000000088</v>
      </c>
      <c r="AF54">
        <v>64744.240000000042</v>
      </c>
      <c r="AG54">
        <v>68874.559999999983</v>
      </c>
      <c r="AH54">
        <v>4130.3200000000097</v>
      </c>
      <c r="AI54">
        <v>-3485.5800000000004</v>
      </c>
      <c r="AJ54">
        <v>0</v>
      </c>
      <c r="AK54">
        <v>3485.5800000000004</v>
      </c>
      <c r="AL54">
        <v>68229.820000000022</v>
      </c>
      <c r="AM54">
        <v>68874.559999999983</v>
      </c>
      <c r="AN54">
        <v>644.73999999999842</v>
      </c>
      <c r="AO54">
        <v>1095</v>
      </c>
    </row>
    <row r="55" spans="1:41" x14ac:dyDescent="0.35">
      <c r="A55">
        <v>2024</v>
      </c>
      <c r="B55">
        <v>4</v>
      </c>
      <c r="C55">
        <v>15</v>
      </c>
      <c r="D55" s="14">
        <v>45393</v>
      </c>
      <c r="E55" t="s">
        <v>44</v>
      </c>
      <c r="F55" t="s">
        <v>42</v>
      </c>
      <c r="G55" t="s">
        <v>45</v>
      </c>
      <c r="H55">
        <v>93035.32</v>
      </c>
      <c r="I55">
        <v>93035.32</v>
      </c>
      <c r="J55">
        <v>0</v>
      </c>
      <c r="K55">
        <v>761.60000000000377</v>
      </c>
      <c r="L55">
        <v>760.65000000000373</v>
      </c>
      <c r="M55">
        <v>-0.95000000000000007</v>
      </c>
      <c r="N55">
        <v>4161.1699999999701</v>
      </c>
      <c r="O55">
        <v>4145.1799999999703</v>
      </c>
      <c r="P55">
        <v>-15.99</v>
      </c>
      <c r="Q55">
        <v>-15440.27</v>
      </c>
      <c r="R55">
        <v>-15168.27</v>
      </c>
      <c r="S55">
        <v>272</v>
      </c>
      <c r="T55">
        <v>-6.2300000000000013</v>
      </c>
      <c r="U55">
        <v>-6.2300000000000013</v>
      </c>
      <c r="V55">
        <v>0</v>
      </c>
      <c r="W55">
        <v>-103.4</v>
      </c>
      <c r="X55">
        <v>-103.4</v>
      </c>
      <c r="Y55">
        <v>0</v>
      </c>
      <c r="Z55">
        <v>82408.189999999988</v>
      </c>
      <c r="AA55">
        <v>82663.25</v>
      </c>
      <c r="AB55">
        <v>255.06</v>
      </c>
      <c r="AC55">
        <v>12463.789999999954</v>
      </c>
      <c r="AD55">
        <v>6455.7300000000159</v>
      </c>
      <c r="AE55">
        <v>-6008.060000000014</v>
      </c>
      <c r="AF55">
        <v>69944.39999999998</v>
      </c>
      <c r="AG55">
        <v>76207.51999999996</v>
      </c>
      <c r="AH55">
        <v>6263.1200000000154</v>
      </c>
      <c r="AI55">
        <v>-3384.42</v>
      </c>
      <c r="AJ55">
        <v>0</v>
      </c>
      <c r="AK55">
        <v>3384.42</v>
      </c>
      <c r="AL55">
        <v>73328.820000000065</v>
      </c>
      <c r="AM55">
        <v>76207.51999999996</v>
      </c>
      <c r="AN55">
        <v>2878.7000000000116</v>
      </c>
      <c r="AO55">
        <v>1218</v>
      </c>
    </row>
    <row r="56" spans="1:41" x14ac:dyDescent="0.35">
      <c r="A56">
        <v>2024</v>
      </c>
      <c r="B56">
        <v>4</v>
      </c>
      <c r="C56">
        <v>15</v>
      </c>
      <c r="D56" s="14">
        <v>45394</v>
      </c>
      <c r="E56" t="s">
        <v>44</v>
      </c>
      <c r="F56" t="s">
        <v>42</v>
      </c>
      <c r="G56" t="s">
        <v>45</v>
      </c>
      <c r="H56">
        <v>92739.07</v>
      </c>
      <c r="I56">
        <v>92739.07</v>
      </c>
      <c r="J56">
        <v>0</v>
      </c>
      <c r="K56">
        <v>858.35000000000457</v>
      </c>
      <c r="L56">
        <v>858.35000000000457</v>
      </c>
      <c r="M56">
        <v>0</v>
      </c>
      <c r="N56">
        <v>4290.0899999999683</v>
      </c>
      <c r="O56">
        <v>4271.0999999999685</v>
      </c>
      <c r="P56">
        <v>-18.990000000000002</v>
      </c>
      <c r="Q56">
        <v>-14958.27</v>
      </c>
      <c r="R56">
        <v>-14595.27</v>
      </c>
      <c r="S56">
        <v>363</v>
      </c>
      <c r="T56">
        <v>-4.7300000000000004</v>
      </c>
      <c r="U56">
        <v>-4.7300000000000004</v>
      </c>
      <c r="V56">
        <v>0</v>
      </c>
      <c r="W56">
        <v>-90.59</v>
      </c>
      <c r="X56">
        <v>-90.59</v>
      </c>
      <c r="Y56">
        <v>0</v>
      </c>
      <c r="Z56">
        <v>82833.920000000246</v>
      </c>
      <c r="AA56">
        <v>83177.930000000255</v>
      </c>
      <c r="AB56">
        <v>344.01</v>
      </c>
      <c r="AC56">
        <v>12098.679999999955</v>
      </c>
      <c r="AD56">
        <v>5741.8000000000175</v>
      </c>
      <c r="AE56">
        <v>-6356.8800000000183</v>
      </c>
      <c r="AF56">
        <v>70735.240000000107</v>
      </c>
      <c r="AG56">
        <v>77436.130000000092</v>
      </c>
      <c r="AH56">
        <v>6700.8900000000185</v>
      </c>
      <c r="AI56">
        <v>-3207.3400000000038</v>
      </c>
      <c r="AJ56">
        <v>0</v>
      </c>
      <c r="AK56">
        <v>3207.3400000000038</v>
      </c>
      <c r="AL56">
        <v>73942.5799999999</v>
      </c>
      <c r="AM56">
        <v>77436.130000000092</v>
      </c>
      <c r="AN56">
        <v>3493.5500000000061</v>
      </c>
      <c r="AO56">
        <v>1206</v>
      </c>
    </row>
    <row r="57" spans="1:41" x14ac:dyDescent="0.35">
      <c r="A57">
        <v>2024</v>
      </c>
      <c r="B57">
        <v>4</v>
      </c>
      <c r="C57">
        <v>15</v>
      </c>
      <c r="D57" s="14">
        <v>45395</v>
      </c>
      <c r="E57" t="s">
        <v>44</v>
      </c>
      <c r="F57" t="s">
        <v>42</v>
      </c>
      <c r="G57" t="s">
        <v>45</v>
      </c>
      <c r="H57">
        <v>95489.5</v>
      </c>
      <c r="I57">
        <v>95489.5</v>
      </c>
      <c r="J57">
        <v>0</v>
      </c>
      <c r="K57">
        <v>730.45000000000402</v>
      </c>
      <c r="L57">
        <v>730.45000000000402</v>
      </c>
      <c r="M57">
        <v>0</v>
      </c>
      <c r="N57">
        <v>4959.7199999999584</v>
      </c>
      <c r="O57">
        <v>4959.7199999999584</v>
      </c>
      <c r="P57">
        <v>0</v>
      </c>
      <c r="Q57">
        <v>-15489</v>
      </c>
      <c r="R57">
        <v>-15207</v>
      </c>
      <c r="S57">
        <v>282</v>
      </c>
      <c r="T57">
        <v>-3.5</v>
      </c>
      <c r="U57">
        <v>-3.5</v>
      </c>
      <c r="V57">
        <v>0</v>
      </c>
      <c r="W57">
        <v>-79.7</v>
      </c>
      <c r="X57">
        <v>-79.7</v>
      </c>
      <c r="Y57">
        <v>0</v>
      </c>
      <c r="Z57">
        <v>85607.470000000234</v>
      </c>
      <c r="AA57">
        <v>85889.470000000249</v>
      </c>
      <c r="AB57">
        <v>282</v>
      </c>
      <c r="AC57">
        <v>13389.299999999945</v>
      </c>
      <c r="AD57">
        <v>7786.380000000021</v>
      </c>
      <c r="AE57">
        <v>-5602.9200000000155</v>
      </c>
      <c r="AF57">
        <v>72218.169999999984</v>
      </c>
      <c r="AG57">
        <v>78103.09</v>
      </c>
      <c r="AH57">
        <v>5884.9200000000174</v>
      </c>
      <c r="AI57">
        <v>-4334.4400000000005</v>
      </c>
      <c r="AJ57">
        <v>0</v>
      </c>
      <c r="AK57">
        <v>4334.4400000000005</v>
      </c>
      <c r="AL57">
        <v>76552.609999999986</v>
      </c>
      <c r="AM57">
        <v>78103.09</v>
      </c>
      <c r="AN57">
        <v>1550.4800000000039</v>
      </c>
      <c r="AO57">
        <v>1252</v>
      </c>
    </row>
    <row r="58" spans="1:41" x14ac:dyDescent="0.35">
      <c r="A58">
        <v>2024</v>
      </c>
      <c r="B58">
        <v>4</v>
      </c>
      <c r="C58">
        <v>15</v>
      </c>
      <c r="D58" s="14">
        <v>45389</v>
      </c>
      <c r="E58" t="s">
        <v>44</v>
      </c>
      <c r="F58" t="s">
        <v>42</v>
      </c>
      <c r="G58" t="s">
        <v>46</v>
      </c>
      <c r="H58">
        <v>31402.13999999997</v>
      </c>
      <c r="I58">
        <v>31402.13999999997</v>
      </c>
      <c r="J58">
        <v>0</v>
      </c>
      <c r="K58">
        <v>283.68999999999988</v>
      </c>
      <c r="L58">
        <v>283.68999999999988</v>
      </c>
      <c r="M58">
        <v>0</v>
      </c>
      <c r="N58">
        <v>829.46000000000038</v>
      </c>
      <c r="O58">
        <v>829.46000000000038</v>
      </c>
      <c r="P58">
        <v>0</v>
      </c>
      <c r="Q58">
        <v>-10415.619999999981</v>
      </c>
      <c r="R58">
        <v>-10161.619999999983</v>
      </c>
      <c r="S58">
        <v>254</v>
      </c>
      <c r="T58">
        <v>0</v>
      </c>
      <c r="U58">
        <v>0</v>
      </c>
      <c r="V58">
        <v>0</v>
      </c>
      <c r="W58">
        <v>-20</v>
      </c>
      <c r="X58">
        <v>-20</v>
      </c>
      <c r="Y58">
        <v>0</v>
      </c>
      <c r="Z58">
        <v>22079.669999999995</v>
      </c>
      <c r="AA58">
        <v>22333.669999999995</v>
      </c>
      <c r="AB58">
        <v>254</v>
      </c>
      <c r="AC58">
        <v>4563.1900000000096</v>
      </c>
      <c r="AD58">
        <v>2192.3900000000017</v>
      </c>
      <c r="AE58">
        <v>-2370.8000000000015</v>
      </c>
      <c r="AF58">
        <v>17516.480000000018</v>
      </c>
      <c r="AG58">
        <v>20141.28000000001</v>
      </c>
      <c r="AH58">
        <v>2624.800000000002</v>
      </c>
      <c r="AI58">
        <v>-518.9000000000002</v>
      </c>
      <c r="AJ58">
        <v>0</v>
      </c>
      <c r="AK58">
        <v>518.9000000000002</v>
      </c>
      <c r="AL58">
        <v>18035.380000000016</v>
      </c>
      <c r="AM58">
        <v>20141.28000000001</v>
      </c>
      <c r="AN58">
        <v>2105.900000000001</v>
      </c>
      <c r="AO58">
        <v>384</v>
      </c>
    </row>
    <row r="59" spans="1:41" x14ac:dyDescent="0.35">
      <c r="A59">
        <v>2024</v>
      </c>
      <c r="B59">
        <v>4</v>
      </c>
      <c r="C59">
        <v>15</v>
      </c>
      <c r="D59" s="14">
        <v>45390</v>
      </c>
      <c r="E59" t="s">
        <v>44</v>
      </c>
      <c r="F59" t="s">
        <v>42</v>
      </c>
      <c r="G59" t="s">
        <v>46</v>
      </c>
      <c r="H59">
        <v>27147.169999999976</v>
      </c>
      <c r="I59">
        <v>27147.169999999976</v>
      </c>
      <c r="J59">
        <v>0</v>
      </c>
      <c r="K59">
        <v>135.87999999999997</v>
      </c>
      <c r="L59">
        <v>135.87999999999997</v>
      </c>
      <c r="M59">
        <v>0</v>
      </c>
      <c r="N59">
        <v>878.41000000000042</v>
      </c>
      <c r="O59">
        <v>878.41000000000042</v>
      </c>
      <c r="P59">
        <v>0</v>
      </c>
      <c r="Q59">
        <v>-9378.9699999999848</v>
      </c>
      <c r="R59">
        <v>-9265.9699999999848</v>
      </c>
      <c r="S59">
        <v>113</v>
      </c>
      <c r="T59">
        <v>-7</v>
      </c>
      <c r="U59">
        <v>-7</v>
      </c>
      <c r="V59">
        <v>0</v>
      </c>
      <c r="W59">
        <v>-20.990000000000002</v>
      </c>
      <c r="X59">
        <v>-20.990000000000002</v>
      </c>
      <c r="Y59">
        <v>0</v>
      </c>
      <c r="Z59">
        <v>18754.500000000004</v>
      </c>
      <c r="AA59">
        <v>18867.500000000004</v>
      </c>
      <c r="AB59">
        <v>113</v>
      </c>
      <c r="AC59">
        <v>3824.7700000000086</v>
      </c>
      <c r="AD59">
        <v>1641.89</v>
      </c>
      <c r="AE59">
        <v>-2182.8799999999997</v>
      </c>
      <c r="AF59">
        <v>14929.730000000005</v>
      </c>
      <c r="AG59">
        <v>17225.610000000015</v>
      </c>
      <c r="AH59">
        <v>2295.8800000000006</v>
      </c>
      <c r="AI59">
        <v>-628.82000000000028</v>
      </c>
      <c r="AJ59">
        <v>0</v>
      </c>
      <c r="AK59">
        <v>628.82000000000028</v>
      </c>
      <c r="AL59">
        <v>15558.549999999997</v>
      </c>
      <c r="AM59">
        <v>17225.610000000015</v>
      </c>
      <c r="AN59">
        <v>1667.059999999999</v>
      </c>
      <c r="AO59">
        <v>320</v>
      </c>
    </row>
    <row r="60" spans="1:41" x14ac:dyDescent="0.35">
      <c r="A60">
        <v>2024</v>
      </c>
      <c r="B60">
        <v>4</v>
      </c>
      <c r="C60">
        <v>15</v>
      </c>
      <c r="D60" s="14">
        <v>45391</v>
      </c>
      <c r="E60" t="s">
        <v>44</v>
      </c>
      <c r="F60" t="s">
        <v>42</v>
      </c>
      <c r="G60" t="s">
        <v>46</v>
      </c>
      <c r="H60">
        <v>21511.709999999985</v>
      </c>
      <c r="I60">
        <v>21511.709999999985</v>
      </c>
      <c r="J60">
        <v>0</v>
      </c>
      <c r="K60">
        <v>93.560000000000045</v>
      </c>
      <c r="L60">
        <v>93.560000000000045</v>
      </c>
      <c r="M60">
        <v>0</v>
      </c>
      <c r="N60">
        <v>790.48000000000036</v>
      </c>
      <c r="O60">
        <v>790.48000000000036</v>
      </c>
      <c r="P60">
        <v>0</v>
      </c>
      <c r="Q60">
        <v>-7748.1299999999928</v>
      </c>
      <c r="R60">
        <v>-7653.1299999999928</v>
      </c>
      <c r="S60">
        <v>95</v>
      </c>
      <c r="T60">
        <v>-7</v>
      </c>
      <c r="U60">
        <v>-7</v>
      </c>
      <c r="V60">
        <v>0</v>
      </c>
      <c r="W60">
        <v>-15.99</v>
      </c>
      <c r="X60">
        <v>-15.99</v>
      </c>
      <c r="Y60">
        <v>0</v>
      </c>
      <c r="Z60">
        <v>14624.629999999997</v>
      </c>
      <c r="AA60">
        <v>14719.629999999997</v>
      </c>
      <c r="AB60">
        <v>95</v>
      </c>
      <c r="AC60">
        <v>2813.8900000000035</v>
      </c>
      <c r="AD60">
        <v>1171.9999999999995</v>
      </c>
      <c r="AE60">
        <v>-1641.8899999999996</v>
      </c>
      <c r="AF60">
        <v>11810.739999999998</v>
      </c>
      <c r="AG60">
        <v>13547.63</v>
      </c>
      <c r="AH60">
        <v>1736.8899999999996</v>
      </c>
      <c r="AI60">
        <v>-375.28999999999996</v>
      </c>
      <c r="AJ60">
        <v>0</v>
      </c>
      <c r="AK60">
        <v>375.28999999999996</v>
      </c>
      <c r="AL60">
        <v>12186.029999999992</v>
      </c>
      <c r="AM60">
        <v>13547.63</v>
      </c>
      <c r="AN60">
        <v>1361.5999999999988</v>
      </c>
      <c r="AO60">
        <v>247</v>
      </c>
    </row>
    <row r="61" spans="1:41" x14ac:dyDescent="0.35">
      <c r="A61">
        <v>2024</v>
      </c>
      <c r="B61">
        <v>4</v>
      </c>
      <c r="C61">
        <v>15</v>
      </c>
      <c r="D61" s="14">
        <v>45392</v>
      </c>
      <c r="E61" t="s">
        <v>44</v>
      </c>
      <c r="F61" t="s">
        <v>42</v>
      </c>
      <c r="G61" t="s">
        <v>46</v>
      </c>
      <c r="H61">
        <v>28324.209999999974</v>
      </c>
      <c r="I61">
        <v>28324.209999999974</v>
      </c>
      <c r="J61">
        <v>0</v>
      </c>
      <c r="K61">
        <v>272.03999999999985</v>
      </c>
      <c r="L61">
        <v>272.03999999999985</v>
      </c>
      <c r="M61">
        <v>0</v>
      </c>
      <c r="N61">
        <v>892.40000000000043</v>
      </c>
      <c r="O61">
        <v>892.40000000000043</v>
      </c>
      <c r="P61">
        <v>0</v>
      </c>
      <c r="Q61">
        <v>-9555.6899999999878</v>
      </c>
      <c r="R61">
        <v>-9420.6899999999878</v>
      </c>
      <c r="S61">
        <v>135</v>
      </c>
      <c r="T61">
        <v>0</v>
      </c>
      <c r="U61">
        <v>0</v>
      </c>
      <c r="V61">
        <v>0</v>
      </c>
      <c r="W61">
        <v>-5</v>
      </c>
      <c r="X61">
        <v>-5</v>
      </c>
      <c r="Y61">
        <v>0</v>
      </c>
      <c r="Z61">
        <v>19927.960000000003</v>
      </c>
      <c r="AA61">
        <v>20062.960000000003</v>
      </c>
      <c r="AB61">
        <v>135</v>
      </c>
      <c r="AC61">
        <v>3573.7200000000043</v>
      </c>
      <c r="AD61">
        <v>2382.0900000000011</v>
      </c>
      <c r="AE61">
        <v>-1191.6300000000001</v>
      </c>
      <c r="AF61">
        <v>16354.240000000007</v>
      </c>
      <c r="AG61">
        <v>17680.870000000006</v>
      </c>
      <c r="AH61">
        <v>1326.63</v>
      </c>
      <c r="AI61">
        <v>-258.74000000000012</v>
      </c>
      <c r="AJ61">
        <v>0</v>
      </c>
      <c r="AK61">
        <v>258.74000000000012</v>
      </c>
      <c r="AL61">
        <v>16612.980000000029</v>
      </c>
      <c r="AM61">
        <v>17680.870000000006</v>
      </c>
      <c r="AN61">
        <v>1067.8899999999999</v>
      </c>
      <c r="AO61">
        <v>344</v>
      </c>
    </row>
    <row r="62" spans="1:41" x14ac:dyDescent="0.35">
      <c r="A62">
        <v>2024</v>
      </c>
      <c r="B62">
        <v>4</v>
      </c>
      <c r="C62">
        <v>15</v>
      </c>
      <c r="D62" s="14">
        <v>45393</v>
      </c>
      <c r="E62" t="s">
        <v>44</v>
      </c>
      <c r="F62" t="s">
        <v>42</v>
      </c>
      <c r="G62" t="s">
        <v>46</v>
      </c>
      <c r="H62">
        <v>32952.889999999963</v>
      </c>
      <c r="I62">
        <v>32952.889999999963</v>
      </c>
      <c r="J62">
        <v>0</v>
      </c>
      <c r="K62">
        <v>492.04999999999922</v>
      </c>
      <c r="L62">
        <v>492.04999999999922</v>
      </c>
      <c r="M62">
        <v>0</v>
      </c>
      <c r="N62">
        <v>734.52000000000032</v>
      </c>
      <c r="O62">
        <v>734.52000000000032</v>
      </c>
      <c r="P62">
        <v>0</v>
      </c>
      <c r="Q62">
        <v>-10928.749999999976</v>
      </c>
      <c r="R62">
        <v>-10825.749999999976</v>
      </c>
      <c r="S62">
        <v>103</v>
      </c>
      <c r="T62">
        <v>0</v>
      </c>
      <c r="U62">
        <v>0</v>
      </c>
      <c r="V62">
        <v>0</v>
      </c>
      <c r="W62">
        <v>-6.6</v>
      </c>
      <c r="X62">
        <v>-6.6</v>
      </c>
      <c r="Y62">
        <v>0</v>
      </c>
      <c r="Z62">
        <v>23244.110000000008</v>
      </c>
      <c r="AA62">
        <v>23347.110000000008</v>
      </c>
      <c r="AB62">
        <v>103</v>
      </c>
      <c r="AC62">
        <v>5186.5200000000104</v>
      </c>
      <c r="AD62">
        <v>2817.1800000000035</v>
      </c>
      <c r="AE62">
        <v>-2369.3400000000015</v>
      </c>
      <c r="AF62">
        <v>18057.590000000022</v>
      </c>
      <c r="AG62">
        <v>20529.930000000018</v>
      </c>
      <c r="AH62">
        <v>2472.3400000000011</v>
      </c>
      <c r="AI62">
        <v>-618.98</v>
      </c>
      <c r="AJ62">
        <v>0</v>
      </c>
      <c r="AK62">
        <v>618.98</v>
      </c>
      <c r="AL62">
        <v>18676.570000000011</v>
      </c>
      <c r="AM62">
        <v>20529.930000000018</v>
      </c>
      <c r="AN62">
        <v>1853.359999999999</v>
      </c>
      <c r="AO62">
        <v>400</v>
      </c>
    </row>
    <row r="63" spans="1:41" x14ac:dyDescent="0.35">
      <c r="A63">
        <v>2024</v>
      </c>
      <c r="B63">
        <v>4</v>
      </c>
      <c r="C63">
        <v>15</v>
      </c>
      <c r="D63" s="14">
        <v>45394</v>
      </c>
      <c r="E63" t="s">
        <v>44</v>
      </c>
      <c r="F63" t="s">
        <v>42</v>
      </c>
      <c r="G63" t="s">
        <v>46</v>
      </c>
      <c r="H63">
        <v>36747.059999999961</v>
      </c>
      <c r="I63">
        <v>36747.059999999961</v>
      </c>
      <c r="J63">
        <v>0</v>
      </c>
      <c r="K63">
        <v>286.45999999999987</v>
      </c>
      <c r="L63">
        <v>286.45999999999987</v>
      </c>
      <c r="M63">
        <v>0</v>
      </c>
      <c r="N63">
        <v>795.49000000000035</v>
      </c>
      <c r="O63">
        <v>795.49000000000035</v>
      </c>
      <c r="P63">
        <v>0</v>
      </c>
      <c r="Q63">
        <v>-12564.419999999973</v>
      </c>
      <c r="R63">
        <v>-12415.419999999973</v>
      </c>
      <c r="S63">
        <v>149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25264.589999999978</v>
      </c>
      <c r="AA63">
        <v>25413.589999999978</v>
      </c>
      <c r="AB63">
        <v>149</v>
      </c>
      <c r="AC63">
        <v>6074.3000000000147</v>
      </c>
      <c r="AD63">
        <v>3272.9700000000043</v>
      </c>
      <c r="AE63">
        <v>-2801.3300000000036</v>
      </c>
      <c r="AF63">
        <v>19190.290000000015</v>
      </c>
      <c r="AG63">
        <v>22140.619999999995</v>
      </c>
      <c r="AH63">
        <v>2950.3300000000036</v>
      </c>
      <c r="AI63">
        <v>-858.97</v>
      </c>
      <c r="AJ63">
        <v>0</v>
      </c>
      <c r="AK63">
        <v>858.97</v>
      </c>
      <c r="AL63">
        <v>20049.260000000006</v>
      </c>
      <c r="AM63">
        <v>22140.619999999995</v>
      </c>
      <c r="AN63">
        <v>2091.3599999999983</v>
      </c>
      <c r="AO63">
        <v>437</v>
      </c>
    </row>
    <row r="64" spans="1:41" x14ac:dyDescent="0.35">
      <c r="A64">
        <v>2024</v>
      </c>
      <c r="B64">
        <v>4</v>
      </c>
      <c r="C64">
        <v>15</v>
      </c>
      <c r="D64" s="14">
        <v>45395</v>
      </c>
      <c r="E64" t="s">
        <v>44</v>
      </c>
      <c r="F64" t="s">
        <v>42</v>
      </c>
      <c r="G64" t="s">
        <v>46</v>
      </c>
      <c r="H64">
        <v>34995.779999999962</v>
      </c>
      <c r="I64">
        <v>34995.779999999962</v>
      </c>
      <c r="J64">
        <v>0</v>
      </c>
      <c r="K64">
        <v>222.46999999999997</v>
      </c>
      <c r="L64">
        <v>222.46999999999997</v>
      </c>
      <c r="M64">
        <v>0</v>
      </c>
      <c r="N64">
        <v>894.42000000000041</v>
      </c>
      <c r="O64">
        <v>894.42000000000041</v>
      </c>
      <c r="P64">
        <v>0</v>
      </c>
      <c r="Q64">
        <v>-12232.52999999997</v>
      </c>
      <c r="R64">
        <v>-12060.02999999997</v>
      </c>
      <c r="S64">
        <v>172.5</v>
      </c>
      <c r="T64">
        <v>-0.48</v>
      </c>
      <c r="U64">
        <v>-0.48</v>
      </c>
      <c r="V64">
        <v>0</v>
      </c>
      <c r="W64">
        <v>-17.990000000000002</v>
      </c>
      <c r="X64">
        <v>-17.990000000000002</v>
      </c>
      <c r="Y64">
        <v>0</v>
      </c>
      <c r="Z64">
        <v>23861.670000000009</v>
      </c>
      <c r="AA64">
        <v>24034.170000000009</v>
      </c>
      <c r="AB64">
        <v>172.5</v>
      </c>
      <c r="AC64">
        <v>5793.8600000000151</v>
      </c>
      <c r="AD64">
        <v>2571.6400000000017</v>
      </c>
      <c r="AE64">
        <v>-3222.2200000000048</v>
      </c>
      <c r="AF64">
        <v>18067.810000000023</v>
      </c>
      <c r="AG64">
        <v>21462.530000000013</v>
      </c>
      <c r="AH64">
        <v>3394.7200000000048</v>
      </c>
      <c r="AI64">
        <v>-732.79999999999973</v>
      </c>
      <c r="AJ64">
        <v>0</v>
      </c>
      <c r="AK64">
        <v>732.79999999999973</v>
      </c>
      <c r="AL64">
        <v>18800.610000000011</v>
      </c>
      <c r="AM64">
        <v>21462.530000000013</v>
      </c>
      <c r="AN64">
        <v>2661.9200000000042</v>
      </c>
      <c r="AO64">
        <v>409</v>
      </c>
    </row>
    <row r="65" spans="1:41" x14ac:dyDescent="0.35">
      <c r="A65">
        <v>2024</v>
      </c>
      <c r="B65">
        <v>4</v>
      </c>
      <c r="C65">
        <v>15</v>
      </c>
      <c r="D65" s="14">
        <v>45389</v>
      </c>
      <c r="E65" t="s">
        <v>44</v>
      </c>
      <c r="F65" t="s">
        <v>47</v>
      </c>
      <c r="G65" t="s">
        <v>48</v>
      </c>
      <c r="H65">
        <v>13737.199999999981</v>
      </c>
      <c r="I65">
        <v>13737.199999999981</v>
      </c>
      <c r="J65">
        <v>0</v>
      </c>
      <c r="K65">
        <v>341.04999999999995</v>
      </c>
      <c r="L65">
        <v>341.04999999999995</v>
      </c>
      <c r="M65">
        <v>0</v>
      </c>
      <c r="N65">
        <v>15.99</v>
      </c>
      <c r="O65">
        <v>15.99</v>
      </c>
      <c r="P65">
        <v>0</v>
      </c>
      <c r="Q65">
        <v>-3308.4999999999927</v>
      </c>
      <c r="R65">
        <v>-3308.4999999999927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10785.739999999976</v>
      </c>
      <c r="AA65">
        <v>10785.739999999976</v>
      </c>
      <c r="AB65">
        <v>0</v>
      </c>
      <c r="AC65">
        <v>7.92</v>
      </c>
      <c r="AE65">
        <v>-7.92</v>
      </c>
      <c r="AF65">
        <v>10777.819999999976</v>
      </c>
      <c r="AG65">
        <v>10785.739999999976</v>
      </c>
      <c r="AH65">
        <v>7.9199999999999875</v>
      </c>
      <c r="AI65">
        <v>2967.6499999999946</v>
      </c>
      <c r="AJ65">
        <v>0</v>
      </c>
      <c r="AK65">
        <v>-2967.6499999999946</v>
      </c>
      <c r="AL65">
        <v>7810.17</v>
      </c>
      <c r="AM65">
        <v>10785.739999999976</v>
      </c>
      <c r="AN65">
        <v>2975.5699999999947</v>
      </c>
      <c r="AO65">
        <v>279</v>
      </c>
    </row>
    <row r="66" spans="1:41" x14ac:dyDescent="0.35">
      <c r="A66">
        <v>2024</v>
      </c>
      <c r="B66">
        <v>4</v>
      </c>
      <c r="C66">
        <v>15</v>
      </c>
      <c r="D66" s="14">
        <v>45390</v>
      </c>
      <c r="E66" t="s">
        <v>44</v>
      </c>
      <c r="F66" t="s">
        <v>47</v>
      </c>
      <c r="G66" t="s">
        <v>48</v>
      </c>
      <c r="H66">
        <v>5266.9500000000098</v>
      </c>
      <c r="I66">
        <v>5266.9500000000098</v>
      </c>
      <c r="J66">
        <v>0</v>
      </c>
      <c r="K66">
        <v>435.09999999999991</v>
      </c>
      <c r="L66">
        <v>496.49999999999989</v>
      </c>
      <c r="M66">
        <v>61.4</v>
      </c>
      <c r="N66">
        <v>6.99</v>
      </c>
      <c r="O66">
        <v>6.99</v>
      </c>
      <c r="P66">
        <v>0</v>
      </c>
      <c r="Q66">
        <v>-859.6500000000002</v>
      </c>
      <c r="R66">
        <v>-859.6500000000002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4849.3900000000076</v>
      </c>
      <c r="AA66">
        <v>4910.7900000000081</v>
      </c>
      <c r="AB66">
        <v>61.4</v>
      </c>
      <c r="AC66">
        <v>4.17</v>
      </c>
      <c r="AD66">
        <v>4.17</v>
      </c>
      <c r="AE66">
        <v>0</v>
      </c>
      <c r="AF66">
        <v>4845.2200000000075</v>
      </c>
      <c r="AG66">
        <v>4906.6200000000081</v>
      </c>
      <c r="AH66">
        <v>61.4</v>
      </c>
      <c r="AI66">
        <v>1209.3800000000001</v>
      </c>
      <c r="AJ66">
        <v>0</v>
      </c>
      <c r="AK66">
        <v>-1209.3800000000001</v>
      </c>
      <c r="AL66">
        <v>3635.8399999999988</v>
      </c>
      <c r="AM66">
        <v>4906.6200000000081</v>
      </c>
      <c r="AN66">
        <v>1270.7800000000007</v>
      </c>
      <c r="AO66">
        <v>143</v>
      </c>
    </row>
    <row r="67" spans="1:41" x14ac:dyDescent="0.35">
      <c r="A67">
        <v>2024</v>
      </c>
      <c r="B67">
        <v>4</v>
      </c>
      <c r="C67">
        <v>15</v>
      </c>
      <c r="D67" s="14">
        <v>45391</v>
      </c>
      <c r="E67" t="s">
        <v>44</v>
      </c>
      <c r="F67" t="s">
        <v>47</v>
      </c>
      <c r="G67" t="s">
        <v>48</v>
      </c>
      <c r="H67">
        <v>1422.8299999999986</v>
      </c>
      <c r="I67">
        <v>1422.8299999999986</v>
      </c>
      <c r="J67">
        <v>0</v>
      </c>
      <c r="K67">
        <v>189.32</v>
      </c>
      <c r="L67">
        <v>189.32</v>
      </c>
      <c r="M67">
        <v>0</v>
      </c>
      <c r="N67">
        <v>0</v>
      </c>
      <c r="O67">
        <v>0</v>
      </c>
      <c r="P67">
        <v>0</v>
      </c>
      <c r="Q67">
        <v>-35.5</v>
      </c>
      <c r="R67">
        <v>-35.5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1576.6499999999985</v>
      </c>
      <c r="AA67">
        <v>1576.6499999999985</v>
      </c>
      <c r="AB67">
        <v>0</v>
      </c>
      <c r="AC67">
        <v>4.17</v>
      </c>
      <c r="AE67">
        <v>-4.17</v>
      </c>
      <c r="AF67">
        <v>1572.4799999999987</v>
      </c>
      <c r="AG67">
        <v>1576.6499999999985</v>
      </c>
      <c r="AH67">
        <v>4.1700000000000017</v>
      </c>
      <c r="AI67">
        <v>551.64</v>
      </c>
      <c r="AJ67">
        <v>0</v>
      </c>
      <c r="AK67">
        <v>-551.64</v>
      </c>
      <c r="AL67">
        <v>1020.8400000000005</v>
      </c>
      <c r="AM67">
        <v>1576.6499999999985</v>
      </c>
      <c r="AN67">
        <v>555.80999999999995</v>
      </c>
      <c r="AO67">
        <v>65</v>
      </c>
    </row>
    <row r="68" spans="1:41" x14ac:dyDescent="0.35">
      <c r="A68">
        <v>2024</v>
      </c>
      <c r="B68">
        <v>4</v>
      </c>
      <c r="C68">
        <v>15</v>
      </c>
      <c r="D68" s="14">
        <v>45392</v>
      </c>
      <c r="E68" t="s">
        <v>44</v>
      </c>
      <c r="F68" t="s">
        <v>47</v>
      </c>
      <c r="G68" t="s">
        <v>48</v>
      </c>
      <c r="H68">
        <v>3157.8000000000061</v>
      </c>
      <c r="I68">
        <v>3157.8000000000061</v>
      </c>
      <c r="J68">
        <v>0</v>
      </c>
      <c r="K68">
        <v>598.35</v>
      </c>
      <c r="L68">
        <v>598.35</v>
      </c>
      <c r="M68">
        <v>0</v>
      </c>
      <c r="N68">
        <v>0</v>
      </c>
      <c r="O68">
        <v>0</v>
      </c>
      <c r="P68">
        <v>0</v>
      </c>
      <c r="Q68">
        <v>-255.70000000000002</v>
      </c>
      <c r="R68">
        <v>-255.70000000000002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3500.4500000000071</v>
      </c>
      <c r="AA68">
        <v>3500.4500000000071</v>
      </c>
      <c r="AB68">
        <v>0</v>
      </c>
      <c r="AE68">
        <v>0</v>
      </c>
      <c r="AF68">
        <v>3500.4500000000071</v>
      </c>
      <c r="AG68">
        <v>3500.4500000000071</v>
      </c>
      <c r="AH68">
        <v>0</v>
      </c>
      <c r="AI68">
        <v>1157.2099999999998</v>
      </c>
      <c r="AJ68">
        <v>0</v>
      </c>
      <c r="AK68">
        <v>-1157.2099999999998</v>
      </c>
      <c r="AL68">
        <v>2343.240000000003</v>
      </c>
      <c r="AM68">
        <v>3500.4500000000071</v>
      </c>
      <c r="AN68">
        <v>1157.2099999999998</v>
      </c>
      <c r="AO68">
        <v>141</v>
      </c>
    </row>
    <row r="69" spans="1:41" x14ac:dyDescent="0.35">
      <c r="A69">
        <v>2024</v>
      </c>
      <c r="B69">
        <v>4</v>
      </c>
      <c r="C69">
        <v>15</v>
      </c>
      <c r="D69" s="14">
        <v>45393</v>
      </c>
      <c r="E69" t="s">
        <v>44</v>
      </c>
      <c r="F69" t="s">
        <v>47</v>
      </c>
      <c r="G69" t="s">
        <v>48</v>
      </c>
      <c r="H69">
        <v>7786.2800000000234</v>
      </c>
      <c r="I69">
        <v>7786.2800000000234</v>
      </c>
      <c r="J69">
        <v>0</v>
      </c>
      <c r="K69">
        <v>571.71999999999991</v>
      </c>
      <c r="L69">
        <v>571.71999999999991</v>
      </c>
      <c r="M69">
        <v>0</v>
      </c>
      <c r="N69">
        <v>41.99</v>
      </c>
      <c r="O69">
        <v>41.99</v>
      </c>
      <c r="P69">
        <v>0</v>
      </c>
      <c r="Q69">
        <v>-835.05000000000007</v>
      </c>
      <c r="R69">
        <v>-835.05000000000007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7564.9400000000205</v>
      </c>
      <c r="AA69">
        <v>7564.9400000000205</v>
      </c>
      <c r="AB69">
        <v>0</v>
      </c>
      <c r="AC69">
        <v>5.71</v>
      </c>
      <c r="AD69">
        <v>5.71</v>
      </c>
      <c r="AE69">
        <v>0</v>
      </c>
      <c r="AF69">
        <v>7559.2300000000205</v>
      </c>
      <c r="AG69">
        <v>7559.2300000000205</v>
      </c>
      <c r="AH69">
        <v>0</v>
      </c>
      <c r="AI69">
        <v>2861.2500000000009</v>
      </c>
      <c r="AJ69">
        <v>0</v>
      </c>
      <c r="AK69">
        <v>-2861.2500000000009</v>
      </c>
      <c r="AL69">
        <v>4697.9799999999896</v>
      </c>
      <c r="AM69">
        <v>7559.2300000000205</v>
      </c>
      <c r="AN69">
        <v>2861.2500000000009</v>
      </c>
      <c r="AO69">
        <v>296</v>
      </c>
    </row>
    <row r="70" spans="1:41" x14ac:dyDescent="0.35">
      <c r="A70">
        <v>2024</v>
      </c>
      <c r="B70">
        <v>4</v>
      </c>
      <c r="C70">
        <v>15</v>
      </c>
      <c r="D70" s="14">
        <v>45394</v>
      </c>
      <c r="E70" t="s">
        <v>44</v>
      </c>
      <c r="F70" t="s">
        <v>47</v>
      </c>
      <c r="G70" t="s">
        <v>48</v>
      </c>
      <c r="H70">
        <v>8729.7999999999975</v>
      </c>
      <c r="I70">
        <v>8729.7999999999975</v>
      </c>
      <c r="J70">
        <v>0</v>
      </c>
      <c r="K70">
        <v>380.15</v>
      </c>
      <c r="L70">
        <v>395.15</v>
      </c>
      <c r="M70">
        <v>15</v>
      </c>
      <c r="N70">
        <v>95.94</v>
      </c>
      <c r="O70">
        <v>95.94</v>
      </c>
      <c r="P70">
        <v>0</v>
      </c>
      <c r="Q70">
        <v>-1249.0500000000004</v>
      </c>
      <c r="R70">
        <v>-1249.0500000000004</v>
      </c>
      <c r="S70">
        <v>0</v>
      </c>
      <c r="T70">
        <v>-5</v>
      </c>
      <c r="U70">
        <v>-5</v>
      </c>
      <c r="V70">
        <v>0</v>
      </c>
      <c r="W70">
        <v>0</v>
      </c>
      <c r="X70">
        <v>0</v>
      </c>
      <c r="Y70">
        <v>0</v>
      </c>
      <c r="Z70">
        <v>7951.8400000000074</v>
      </c>
      <c r="AA70">
        <v>7966.8400000000074</v>
      </c>
      <c r="AB70">
        <v>15</v>
      </c>
      <c r="AC70">
        <v>5.71</v>
      </c>
      <c r="AE70">
        <v>-5.71</v>
      </c>
      <c r="AF70">
        <v>7946.1300000000074</v>
      </c>
      <c r="AG70">
        <v>7966.8400000000074</v>
      </c>
      <c r="AH70">
        <v>20.709999999999994</v>
      </c>
      <c r="AI70">
        <v>2212.5799999999972</v>
      </c>
      <c r="AJ70">
        <v>0</v>
      </c>
      <c r="AK70">
        <v>-2212.5799999999972</v>
      </c>
      <c r="AL70">
        <v>5733.55</v>
      </c>
      <c r="AM70">
        <v>7966.8400000000074</v>
      </c>
      <c r="AN70">
        <v>2233.2899999999972</v>
      </c>
      <c r="AO70">
        <v>220</v>
      </c>
    </row>
    <row r="71" spans="1:41" x14ac:dyDescent="0.35">
      <c r="A71">
        <v>2024</v>
      </c>
      <c r="B71">
        <v>4</v>
      </c>
      <c r="C71">
        <v>15</v>
      </c>
      <c r="D71" s="14">
        <v>45395</v>
      </c>
      <c r="E71" t="s">
        <v>44</v>
      </c>
      <c r="F71" t="s">
        <v>47</v>
      </c>
      <c r="G71" t="s">
        <v>48</v>
      </c>
      <c r="H71">
        <v>6549.05</v>
      </c>
      <c r="I71">
        <v>6549.05</v>
      </c>
      <c r="J71">
        <v>0</v>
      </c>
      <c r="K71">
        <v>661.50000000000011</v>
      </c>
      <c r="L71">
        <v>661.50000000000011</v>
      </c>
      <c r="M71">
        <v>0</v>
      </c>
      <c r="N71">
        <v>15.99</v>
      </c>
      <c r="O71">
        <v>15.99</v>
      </c>
      <c r="P71">
        <v>0</v>
      </c>
      <c r="Q71">
        <v>-955.3000000000003</v>
      </c>
      <c r="R71">
        <v>-945.3000000000003</v>
      </c>
      <c r="S71">
        <v>10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6271.2400000000016</v>
      </c>
      <c r="AA71">
        <v>6281.2400000000016</v>
      </c>
      <c r="AB71">
        <v>10</v>
      </c>
      <c r="AC71">
        <v>11.129999999999999</v>
      </c>
      <c r="AD71">
        <v>5.71</v>
      </c>
      <c r="AE71">
        <v>-5.42</v>
      </c>
      <c r="AF71">
        <v>6260.1100000000024</v>
      </c>
      <c r="AG71">
        <v>6275.5300000000016</v>
      </c>
      <c r="AH71">
        <v>15.420000000000002</v>
      </c>
      <c r="AI71">
        <v>2025.4199999999983</v>
      </c>
      <c r="AJ71">
        <v>8.5500000000000007</v>
      </c>
      <c r="AK71">
        <v>-2016.8699999999981</v>
      </c>
      <c r="AL71">
        <v>4234.689999999996</v>
      </c>
      <c r="AM71">
        <v>6266.9800000000023</v>
      </c>
      <c r="AN71">
        <v>2032.2899999999981</v>
      </c>
      <c r="AO71">
        <v>217</v>
      </c>
    </row>
    <row r="72" spans="1:41" x14ac:dyDescent="0.35">
      <c r="A72">
        <v>2024</v>
      </c>
      <c r="B72">
        <v>4</v>
      </c>
      <c r="C72">
        <v>15</v>
      </c>
      <c r="D72" s="14">
        <v>45389</v>
      </c>
      <c r="E72" t="s">
        <v>44</v>
      </c>
      <c r="F72" t="s">
        <v>47</v>
      </c>
      <c r="G72" t="s">
        <v>49</v>
      </c>
      <c r="H72">
        <v>10884.169999999971</v>
      </c>
      <c r="I72">
        <v>10884.169999999971</v>
      </c>
      <c r="J72">
        <v>0</v>
      </c>
      <c r="K72">
        <v>394.87999999999988</v>
      </c>
      <c r="L72">
        <v>394.87999999999988</v>
      </c>
      <c r="M72">
        <v>0</v>
      </c>
      <c r="N72">
        <v>246.85000000000005</v>
      </c>
      <c r="O72">
        <v>246.85000000000005</v>
      </c>
      <c r="P72">
        <v>0</v>
      </c>
      <c r="Q72">
        <v>-3318.9700000000003</v>
      </c>
      <c r="R72">
        <v>-3318.9700000000003</v>
      </c>
      <c r="S72">
        <v>0</v>
      </c>
      <c r="T72">
        <v>-45.800000000000004</v>
      </c>
      <c r="U72">
        <v>-45.800000000000004</v>
      </c>
      <c r="V72">
        <v>0</v>
      </c>
      <c r="W72">
        <v>-5</v>
      </c>
      <c r="X72">
        <v>-5</v>
      </c>
      <c r="Y72">
        <v>0</v>
      </c>
      <c r="Z72">
        <v>8156.1300000000056</v>
      </c>
      <c r="AA72">
        <v>8156.1300000000056</v>
      </c>
      <c r="AB72">
        <v>0</v>
      </c>
      <c r="AC72">
        <v>414.75999999999993</v>
      </c>
      <c r="AD72">
        <v>79.300000000000011</v>
      </c>
      <c r="AE72">
        <v>-335.46</v>
      </c>
      <c r="AF72">
        <v>7741.3700000000072</v>
      </c>
      <c r="AG72">
        <v>8076.8300000000072</v>
      </c>
      <c r="AH72">
        <v>335.46</v>
      </c>
      <c r="AI72">
        <v>1463.9899999999959</v>
      </c>
      <c r="AJ72">
        <v>9.01</v>
      </c>
      <c r="AK72">
        <v>-1454.9799999999962</v>
      </c>
      <c r="AL72">
        <v>6277.379999999991</v>
      </c>
      <c r="AM72">
        <v>8067.820000000007</v>
      </c>
      <c r="AN72">
        <v>1790.4399999999957</v>
      </c>
      <c r="AO72">
        <v>176</v>
      </c>
    </row>
    <row r="73" spans="1:41" x14ac:dyDescent="0.35">
      <c r="A73">
        <v>2024</v>
      </c>
      <c r="B73">
        <v>4</v>
      </c>
      <c r="C73">
        <v>15</v>
      </c>
      <c r="D73" s="14">
        <v>45390</v>
      </c>
      <c r="E73" t="s">
        <v>44</v>
      </c>
      <c r="F73" t="s">
        <v>47</v>
      </c>
      <c r="G73" t="s">
        <v>49</v>
      </c>
      <c r="H73">
        <v>9649.0499999999993</v>
      </c>
      <c r="I73">
        <v>9649.0499999999993</v>
      </c>
      <c r="J73">
        <v>0</v>
      </c>
      <c r="K73">
        <v>157.79000000000002</v>
      </c>
      <c r="L73">
        <v>157.79000000000002</v>
      </c>
      <c r="M73">
        <v>0</v>
      </c>
      <c r="N73">
        <v>111.92999999999998</v>
      </c>
      <c r="O73">
        <v>111.92999999999998</v>
      </c>
      <c r="P73">
        <v>0</v>
      </c>
      <c r="Q73">
        <v>-2657.75</v>
      </c>
      <c r="R73">
        <v>-2646.75</v>
      </c>
      <c r="S73">
        <v>11</v>
      </c>
      <c r="T73">
        <v>-1</v>
      </c>
      <c r="U73">
        <v>-1</v>
      </c>
      <c r="V73">
        <v>0</v>
      </c>
      <c r="W73">
        <v>-10</v>
      </c>
      <c r="X73">
        <v>-10</v>
      </c>
      <c r="Y73">
        <v>0</v>
      </c>
      <c r="Z73">
        <v>7250.0199999999986</v>
      </c>
      <c r="AA73">
        <v>7261.0199999999986</v>
      </c>
      <c r="AB73">
        <v>11</v>
      </c>
      <c r="AC73">
        <v>173.76999999999998</v>
      </c>
      <c r="AD73">
        <v>94.47</v>
      </c>
      <c r="AE73">
        <v>-79.3</v>
      </c>
      <c r="AF73">
        <v>7076.2499999999991</v>
      </c>
      <c r="AG73">
        <v>7166.5499999999984</v>
      </c>
      <c r="AH73">
        <v>90.300000000000026</v>
      </c>
      <c r="AI73">
        <v>1927.3500000000004</v>
      </c>
      <c r="AJ73">
        <v>0</v>
      </c>
      <c r="AK73">
        <v>-1927.3500000000004</v>
      </c>
      <c r="AL73">
        <v>5148.9000000000024</v>
      </c>
      <c r="AM73">
        <v>7166.5499999999984</v>
      </c>
      <c r="AN73">
        <v>2017.6499999999996</v>
      </c>
      <c r="AO73">
        <v>134</v>
      </c>
    </row>
    <row r="74" spans="1:41" x14ac:dyDescent="0.35">
      <c r="A74">
        <v>2024</v>
      </c>
      <c r="B74">
        <v>4</v>
      </c>
      <c r="C74">
        <v>15</v>
      </c>
      <c r="D74" s="14">
        <v>45391</v>
      </c>
      <c r="E74" t="s">
        <v>44</v>
      </c>
      <c r="F74" t="s">
        <v>47</v>
      </c>
      <c r="G74" t="s">
        <v>49</v>
      </c>
      <c r="H74">
        <v>1435.05</v>
      </c>
      <c r="I74">
        <v>1435.05</v>
      </c>
      <c r="J74">
        <v>0</v>
      </c>
      <c r="K74">
        <v>114.00000000000003</v>
      </c>
      <c r="L74">
        <v>114.00000000000003</v>
      </c>
      <c r="M74">
        <v>0</v>
      </c>
      <c r="N74">
        <v>82.95</v>
      </c>
      <c r="O74">
        <v>82.95</v>
      </c>
      <c r="P74">
        <v>0</v>
      </c>
      <c r="Q74">
        <v>-458.75</v>
      </c>
      <c r="R74">
        <v>-458.75</v>
      </c>
      <c r="S74">
        <v>0</v>
      </c>
      <c r="T74">
        <v>0</v>
      </c>
      <c r="U74">
        <v>0</v>
      </c>
      <c r="V74">
        <v>0</v>
      </c>
      <c r="W74">
        <v>-10</v>
      </c>
      <c r="X74">
        <v>-10</v>
      </c>
      <c r="Y74">
        <v>0</v>
      </c>
      <c r="Z74">
        <v>1163.25</v>
      </c>
      <c r="AA74">
        <v>1163.25</v>
      </c>
      <c r="AB74">
        <v>0</v>
      </c>
      <c r="AC74">
        <v>105.22</v>
      </c>
      <c r="AD74">
        <v>10.75</v>
      </c>
      <c r="AE74">
        <v>-94.47</v>
      </c>
      <c r="AF74">
        <v>1058.0300000000002</v>
      </c>
      <c r="AG74">
        <v>1152.5</v>
      </c>
      <c r="AH74">
        <v>94.47</v>
      </c>
      <c r="AI74">
        <v>59.099999999999994</v>
      </c>
      <c r="AJ74">
        <v>0</v>
      </c>
      <c r="AK74">
        <v>-59.099999999999994</v>
      </c>
      <c r="AL74">
        <v>998.93000000000018</v>
      </c>
      <c r="AM74">
        <v>1152.5</v>
      </c>
      <c r="AN74">
        <v>153.56999999999996</v>
      </c>
      <c r="AO74">
        <v>16</v>
      </c>
    </row>
    <row r="75" spans="1:41" x14ac:dyDescent="0.35">
      <c r="A75">
        <v>2024</v>
      </c>
      <c r="B75">
        <v>4</v>
      </c>
      <c r="C75">
        <v>15</v>
      </c>
      <c r="D75" s="14">
        <v>45392</v>
      </c>
      <c r="E75" t="s">
        <v>44</v>
      </c>
      <c r="F75" t="s">
        <v>47</v>
      </c>
      <c r="G75" t="s">
        <v>49</v>
      </c>
      <c r="H75">
        <v>4586.6500000000005</v>
      </c>
      <c r="I75">
        <v>4586.6500000000005</v>
      </c>
      <c r="J75">
        <v>0</v>
      </c>
      <c r="K75">
        <v>27.330000000000002</v>
      </c>
      <c r="L75">
        <v>27.330000000000002</v>
      </c>
      <c r="M75">
        <v>0</v>
      </c>
      <c r="N75">
        <v>85.94</v>
      </c>
      <c r="O75">
        <v>85.94</v>
      </c>
      <c r="P75">
        <v>0</v>
      </c>
      <c r="Q75">
        <v>-2098.5500000000002</v>
      </c>
      <c r="R75">
        <v>-2098.5500000000002</v>
      </c>
      <c r="S75">
        <v>0</v>
      </c>
      <c r="T75">
        <v>-5</v>
      </c>
      <c r="U75">
        <v>-5</v>
      </c>
      <c r="V75">
        <v>0</v>
      </c>
      <c r="W75">
        <v>-5</v>
      </c>
      <c r="X75">
        <v>-5</v>
      </c>
      <c r="Y75">
        <v>0</v>
      </c>
      <c r="Z75">
        <v>2591.3700000000003</v>
      </c>
      <c r="AA75">
        <v>2591.3700000000003</v>
      </c>
      <c r="AB75">
        <v>0</v>
      </c>
      <c r="AC75">
        <v>98.720000000000013</v>
      </c>
      <c r="AD75">
        <v>87.970000000000013</v>
      </c>
      <c r="AE75">
        <v>-10.75</v>
      </c>
      <c r="AF75">
        <v>2492.65</v>
      </c>
      <c r="AG75">
        <v>2503.4</v>
      </c>
      <c r="AH75">
        <v>10.75</v>
      </c>
      <c r="AI75">
        <v>383.26999999999975</v>
      </c>
      <c r="AJ75">
        <v>0</v>
      </c>
      <c r="AK75">
        <v>-383.26999999999975</v>
      </c>
      <c r="AL75">
        <v>2109.3799999999997</v>
      </c>
      <c r="AM75">
        <v>2503.4</v>
      </c>
      <c r="AN75">
        <v>394.02000000000004</v>
      </c>
      <c r="AO75">
        <v>48</v>
      </c>
    </row>
    <row r="76" spans="1:41" x14ac:dyDescent="0.35">
      <c r="A76">
        <v>2024</v>
      </c>
      <c r="B76">
        <v>4</v>
      </c>
      <c r="C76">
        <v>15</v>
      </c>
      <c r="D76" s="14">
        <v>45393</v>
      </c>
      <c r="E76" t="s">
        <v>44</v>
      </c>
      <c r="F76" t="s">
        <v>47</v>
      </c>
      <c r="G76" t="s">
        <v>49</v>
      </c>
      <c r="H76">
        <v>10725.449999999999</v>
      </c>
      <c r="I76">
        <v>10725.449999999999</v>
      </c>
      <c r="J76">
        <v>0</v>
      </c>
      <c r="K76">
        <v>660.77000000000021</v>
      </c>
      <c r="L76">
        <v>660.77000000000021</v>
      </c>
      <c r="M76">
        <v>0</v>
      </c>
      <c r="N76">
        <v>82.95</v>
      </c>
      <c r="O76">
        <v>82.95</v>
      </c>
      <c r="P76">
        <v>0</v>
      </c>
      <c r="Q76">
        <v>-4015.7499999999977</v>
      </c>
      <c r="R76">
        <v>-4015.7499999999977</v>
      </c>
      <c r="S76">
        <v>0</v>
      </c>
      <c r="T76">
        <v>-184.30000000000004</v>
      </c>
      <c r="U76">
        <v>-184.30000000000004</v>
      </c>
      <c r="V76">
        <v>0</v>
      </c>
      <c r="W76">
        <v>-10</v>
      </c>
      <c r="X76">
        <v>-10</v>
      </c>
      <c r="Y76">
        <v>0</v>
      </c>
      <c r="Z76">
        <v>7259.1199999999981</v>
      </c>
      <c r="AA76">
        <v>7259.1199999999981</v>
      </c>
      <c r="AB76">
        <v>0</v>
      </c>
      <c r="AC76">
        <v>208.14</v>
      </c>
      <c r="AD76">
        <v>92.13</v>
      </c>
      <c r="AE76">
        <v>-116.00999999999999</v>
      </c>
      <c r="AF76">
        <v>7050.9799999999977</v>
      </c>
      <c r="AG76">
        <v>7166.9899999999971</v>
      </c>
      <c r="AH76">
        <v>116.00999999999999</v>
      </c>
      <c r="AI76">
        <v>1235.2699999999998</v>
      </c>
      <c r="AJ76">
        <v>17.68</v>
      </c>
      <c r="AK76">
        <v>-1217.5899999999995</v>
      </c>
      <c r="AL76">
        <v>5815.7100000000028</v>
      </c>
      <c r="AM76">
        <v>7149.3099999999977</v>
      </c>
      <c r="AN76">
        <v>1333.6</v>
      </c>
      <c r="AO76">
        <v>136</v>
      </c>
    </row>
    <row r="77" spans="1:41" x14ac:dyDescent="0.35">
      <c r="A77">
        <v>2024</v>
      </c>
      <c r="B77">
        <v>4</v>
      </c>
      <c r="C77">
        <v>15</v>
      </c>
      <c r="D77" s="14">
        <v>45394</v>
      </c>
      <c r="E77" t="s">
        <v>44</v>
      </c>
      <c r="F77" t="s">
        <v>47</v>
      </c>
      <c r="G77" t="s">
        <v>49</v>
      </c>
      <c r="H77">
        <v>11196.099999999999</v>
      </c>
      <c r="I77">
        <v>11196.099999999999</v>
      </c>
      <c r="J77">
        <v>0</v>
      </c>
      <c r="K77">
        <v>193.62</v>
      </c>
      <c r="L77">
        <v>193.62</v>
      </c>
      <c r="M77">
        <v>0</v>
      </c>
      <c r="N77">
        <v>86.94</v>
      </c>
      <c r="O77">
        <v>86.94</v>
      </c>
      <c r="P77">
        <v>0</v>
      </c>
      <c r="Q77">
        <v>-4147.9499999999989</v>
      </c>
      <c r="R77">
        <v>-4147.9499999999989</v>
      </c>
      <c r="S77">
        <v>0</v>
      </c>
      <c r="T77">
        <v>-26.5</v>
      </c>
      <c r="U77">
        <v>-26.5</v>
      </c>
      <c r="V77">
        <v>0</v>
      </c>
      <c r="W77">
        <v>-10</v>
      </c>
      <c r="X77">
        <v>-10</v>
      </c>
      <c r="Y77">
        <v>0</v>
      </c>
      <c r="Z77">
        <v>7292.2099999999964</v>
      </c>
      <c r="AA77">
        <v>7292.2099999999964</v>
      </c>
      <c r="AB77">
        <v>0</v>
      </c>
      <c r="AC77">
        <v>340.12999999999994</v>
      </c>
      <c r="AD77">
        <v>248</v>
      </c>
      <c r="AE77">
        <v>-92.13</v>
      </c>
      <c r="AF77">
        <v>6952.0799999999963</v>
      </c>
      <c r="AG77">
        <v>7044.2099999999955</v>
      </c>
      <c r="AH77">
        <v>92.129999999999981</v>
      </c>
      <c r="AI77">
        <v>1172.6999999999994</v>
      </c>
      <c r="AJ77">
        <v>0</v>
      </c>
      <c r="AK77">
        <v>-1172.6999999999994</v>
      </c>
      <c r="AL77">
        <v>5779.3800000000047</v>
      </c>
      <c r="AM77">
        <v>7044.2099999999955</v>
      </c>
      <c r="AN77">
        <v>1264.8299999999995</v>
      </c>
      <c r="AO77">
        <v>137</v>
      </c>
    </row>
    <row r="78" spans="1:41" x14ac:dyDescent="0.35">
      <c r="A78">
        <v>2024</v>
      </c>
      <c r="B78">
        <v>4</v>
      </c>
      <c r="C78">
        <v>15</v>
      </c>
      <c r="D78" s="14">
        <v>45395</v>
      </c>
      <c r="E78" t="s">
        <v>44</v>
      </c>
      <c r="F78" t="s">
        <v>47</v>
      </c>
      <c r="G78" t="s">
        <v>49</v>
      </c>
      <c r="H78">
        <v>17725.05</v>
      </c>
      <c r="I78">
        <v>17725.05</v>
      </c>
      <c r="J78">
        <v>0</v>
      </c>
      <c r="K78">
        <v>469.5499999999999</v>
      </c>
      <c r="L78">
        <v>469.5499999999999</v>
      </c>
      <c r="M78">
        <v>0</v>
      </c>
      <c r="N78">
        <v>163.91</v>
      </c>
      <c r="O78">
        <v>163.91</v>
      </c>
      <c r="P78">
        <v>0</v>
      </c>
      <c r="Q78">
        <v>-5825.2999999999956</v>
      </c>
      <c r="R78">
        <v>-5798.2999999999947</v>
      </c>
      <c r="S78">
        <v>27</v>
      </c>
      <c r="T78">
        <v>-77.3</v>
      </c>
      <c r="U78">
        <v>-77.3</v>
      </c>
      <c r="V78">
        <v>0</v>
      </c>
      <c r="W78">
        <v>0</v>
      </c>
      <c r="X78">
        <v>0</v>
      </c>
      <c r="Y78">
        <v>0</v>
      </c>
      <c r="Z78">
        <v>12455.909999999993</v>
      </c>
      <c r="AA78">
        <v>12482.909999999993</v>
      </c>
      <c r="AB78">
        <v>26.999999999999993</v>
      </c>
      <c r="AC78">
        <v>656.46000000000026</v>
      </c>
      <c r="AD78">
        <v>426.46000000000021</v>
      </c>
      <c r="AE78">
        <v>-230</v>
      </c>
      <c r="AF78">
        <v>11799.449999999995</v>
      </c>
      <c r="AG78">
        <v>12056.449999999995</v>
      </c>
      <c r="AH78">
        <v>257</v>
      </c>
      <c r="AI78">
        <v>2122.4599999999996</v>
      </c>
      <c r="AJ78">
        <v>0</v>
      </c>
      <c r="AK78">
        <v>-2122.4599999999996</v>
      </c>
      <c r="AL78">
        <v>9676.99</v>
      </c>
      <c r="AM78">
        <v>12056.449999999995</v>
      </c>
      <c r="AN78">
        <v>2379.4599999999982</v>
      </c>
      <c r="AO78">
        <v>238</v>
      </c>
    </row>
    <row r="79" spans="1:41" x14ac:dyDescent="0.35">
      <c r="A79">
        <v>2024</v>
      </c>
      <c r="B79">
        <v>4</v>
      </c>
      <c r="C79">
        <v>15</v>
      </c>
      <c r="D79" s="14">
        <v>45389</v>
      </c>
      <c r="E79" t="s">
        <v>44</v>
      </c>
      <c r="F79" t="s">
        <v>47</v>
      </c>
      <c r="G79" t="s">
        <v>50</v>
      </c>
      <c r="H79">
        <v>22087.1</v>
      </c>
      <c r="I79">
        <v>22087.1</v>
      </c>
      <c r="J79">
        <v>0</v>
      </c>
      <c r="K79">
        <v>581.33999999999969</v>
      </c>
      <c r="L79">
        <v>581.33999999999969</v>
      </c>
      <c r="M79">
        <v>0</v>
      </c>
      <c r="N79">
        <v>779.50000000000034</v>
      </c>
      <c r="O79">
        <v>779.50000000000034</v>
      </c>
      <c r="P79">
        <v>0</v>
      </c>
      <c r="Q79">
        <v>-6796.75</v>
      </c>
      <c r="R79">
        <v>-6732.75</v>
      </c>
      <c r="S79">
        <v>64</v>
      </c>
      <c r="T79">
        <v>-40</v>
      </c>
      <c r="U79">
        <v>-40</v>
      </c>
      <c r="V79">
        <v>0</v>
      </c>
      <c r="W79">
        <v>-35</v>
      </c>
      <c r="X79">
        <v>-35</v>
      </c>
      <c r="Y79">
        <v>0</v>
      </c>
      <c r="Z79">
        <v>16576.189999999995</v>
      </c>
      <c r="AA79">
        <v>16640.189999999995</v>
      </c>
      <c r="AB79">
        <v>64</v>
      </c>
      <c r="AC79">
        <v>1733.1200000000006</v>
      </c>
      <c r="AD79">
        <v>778.59</v>
      </c>
      <c r="AE79">
        <v>-954.52999999999975</v>
      </c>
      <c r="AF79">
        <v>14843.070000000003</v>
      </c>
      <c r="AG79">
        <v>15861.599999999997</v>
      </c>
      <c r="AH79">
        <v>1018.5299999999996</v>
      </c>
      <c r="AI79">
        <v>-582.48</v>
      </c>
      <c r="AJ79">
        <v>0</v>
      </c>
      <c r="AK79">
        <v>582.48</v>
      </c>
      <c r="AL79">
        <v>15425.55000000001</v>
      </c>
      <c r="AM79">
        <v>15861.599999999997</v>
      </c>
      <c r="AN79">
        <v>436.0499999999999</v>
      </c>
      <c r="AO79">
        <v>247</v>
      </c>
    </row>
    <row r="80" spans="1:41" x14ac:dyDescent="0.35">
      <c r="A80">
        <v>2024</v>
      </c>
      <c r="B80">
        <v>4</v>
      </c>
      <c r="C80">
        <v>15</v>
      </c>
      <c r="D80" s="14">
        <v>45390</v>
      </c>
      <c r="E80" t="s">
        <v>44</v>
      </c>
      <c r="F80" t="s">
        <v>47</v>
      </c>
      <c r="G80" t="s">
        <v>50</v>
      </c>
      <c r="H80">
        <v>14771.05</v>
      </c>
      <c r="I80">
        <v>14771.05</v>
      </c>
      <c r="J80">
        <v>0</v>
      </c>
      <c r="K80">
        <v>240.82000000000002</v>
      </c>
      <c r="L80">
        <v>240.82000000000002</v>
      </c>
      <c r="M80">
        <v>0</v>
      </c>
      <c r="N80">
        <v>753.5400000000003</v>
      </c>
      <c r="O80">
        <v>753.5400000000003</v>
      </c>
      <c r="P80">
        <v>0</v>
      </c>
      <c r="Q80">
        <v>-4218.6000000000004</v>
      </c>
      <c r="R80">
        <v>-4189.6000000000004</v>
      </c>
      <c r="S80">
        <v>29</v>
      </c>
      <c r="T80">
        <v>-10.46</v>
      </c>
      <c r="U80">
        <v>-10.46</v>
      </c>
      <c r="V80">
        <v>0</v>
      </c>
      <c r="W80">
        <v>0</v>
      </c>
      <c r="X80">
        <v>0</v>
      </c>
      <c r="Y80">
        <v>0</v>
      </c>
      <c r="Z80">
        <v>11536.349999999989</v>
      </c>
      <c r="AA80">
        <v>11565.349999999989</v>
      </c>
      <c r="AB80">
        <v>29</v>
      </c>
      <c r="AC80">
        <v>1550.3100000000011</v>
      </c>
      <c r="AD80">
        <v>771.71999999999991</v>
      </c>
      <c r="AE80">
        <v>-778.5899999999998</v>
      </c>
      <c r="AF80">
        <v>9986.03999999999</v>
      </c>
      <c r="AG80">
        <v>10793.62999999999</v>
      </c>
      <c r="AH80">
        <v>807.5899999999998</v>
      </c>
      <c r="AI80">
        <v>-465.7399999999999</v>
      </c>
      <c r="AJ80">
        <v>0</v>
      </c>
      <c r="AK80">
        <v>465.7399999999999</v>
      </c>
      <c r="AL80">
        <v>10451.779999999999</v>
      </c>
      <c r="AM80">
        <v>10793.62999999999</v>
      </c>
      <c r="AN80">
        <v>341.85000000000008</v>
      </c>
      <c r="AO80">
        <v>165</v>
      </c>
    </row>
    <row r="81" spans="1:41" x14ac:dyDescent="0.35">
      <c r="A81">
        <v>2024</v>
      </c>
      <c r="B81">
        <v>4</v>
      </c>
      <c r="C81">
        <v>15</v>
      </c>
      <c r="D81" s="14">
        <v>45391</v>
      </c>
      <c r="E81" t="s">
        <v>44</v>
      </c>
      <c r="F81" t="s">
        <v>47</v>
      </c>
      <c r="G81" t="s">
        <v>50</v>
      </c>
      <c r="H81">
        <v>13960</v>
      </c>
      <c r="I81">
        <v>13960</v>
      </c>
      <c r="J81">
        <v>0</v>
      </c>
      <c r="K81">
        <v>157.81999999999996</v>
      </c>
      <c r="L81">
        <v>157.81999999999996</v>
      </c>
      <c r="M81">
        <v>0</v>
      </c>
      <c r="N81">
        <v>610.62000000000023</v>
      </c>
      <c r="O81">
        <v>610.62000000000023</v>
      </c>
      <c r="P81">
        <v>0</v>
      </c>
      <c r="Q81">
        <v>-3888.3</v>
      </c>
      <c r="R81">
        <v>-3811.3</v>
      </c>
      <c r="S81">
        <v>77</v>
      </c>
      <c r="T81">
        <v>0</v>
      </c>
      <c r="U81">
        <v>0</v>
      </c>
      <c r="V81">
        <v>0</v>
      </c>
      <c r="W81">
        <v>-5</v>
      </c>
      <c r="X81">
        <v>-5</v>
      </c>
      <c r="Y81">
        <v>0</v>
      </c>
      <c r="Z81">
        <v>10835.139999999994</v>
      </c>
      <c r="AA81">
        <v>10912.139999999994</v>
      </c>
      <c r="AB81">
        <v>77</v>
      </c>
      <c r="AC81">
        <v>1318.3300000000002</v>
      </c>
      <c r="AD81">
        <v>546.61</v>
      </c>
      <c r="AE81">
        <v>-771.71999999999991</v>
      </c>
      <c r="AF81">
        <v>9516.8099999999977</v>
      </c>
      <c r="AG81">
        <v>10365.529999999993</v>
      </c>
      <c r="AH81">
        <v>848.7199999999998</v>
      </c>
      <c r="AI81">
        <v>-492.98</v>
      </c>
      <c r="AJ81">
        <v>0</v>
      </c>
      <c r="AK81">
        <v>492.98</v>
      </c>
      <c r="AL81">
        <v>10009.790000000006</v>
      </c>
      <c r="AM81">
        <v>10365.529999999993</v>
      </c>
      <c r="AN81">
        <v>355.73999999999978</v>
      </c>
      <c r="AO81">
        <v>156</v>
      </c>
    </row>
    <row r="82" spans="1:41" x14ac:dyDescent="0.35">
      <c r="A82">
        <v>2024</v>
      </c>
      <c r="B82">
        <v>4</v>
      </c>
      <c r="C82">
        <v>15</v>
      </c>
      <c r="D82" s="14">
        <v>45392</v>
      </c>
      <c r="E82" t="s">
        <v>44</v>
      </c>
      <c r="F82" t="s">
        <v>47</v>
      </c>
      <c r="G82" t="s">
        <v>50</v>
      </c>
      <c r="H82">
        <v>15811.349999999997</v>
      </c>
      <c r="I82">
        <v>15811.349999999997</v>
      </c>
      <c r="J82">
        <v>0</v>
      </c>
      <c r="K82">
        <v>302.54999999999978</v>
      </c>
      <c r="L82">
        <v>302.54999999999978</v>
      </c>
      <c r="M82">
        <v>0</v>
      </c>
      <c r="N82">
        <v>667.58000000000027</v>
      </c>
      <c r="O82">
        <v>667.58000000000027</v>
      </c>
      <c r="P82">
        <v>0</v>
      </c>
      <c r="Q82">
        <v>-4283.05</v>
      </c>
      <c r="R82">
        <v>-4266.05</v>
      </c>
      <c r="S82">
        <v>17</v>
      </c>
      <c r="T82">
        <v>-5</v>
      </c>
      <c r="U82">
        <v>-5</v>
      </c>
      <c r="V82">
        <v>0</v>
      </c>
      <c r="W82">
        <v>-38.99</v>
      </c>
      <c r="X82">
        <v>-38.99</v>
      </c>
      <c r="Y82">
        <v>0</v>
      </c>
      <c r="Z82">
        <v>12454.43999999999</v>
      </c>
      <c r="AA82">
        <v>12471.43999999999</v>
      </c>
      <c r="AB82">
        <v>17</v>
      </c>
      <c r="AC82">
        <v>1291.1399999999994</v>
      </c>
      <c r="AD82">
        <v>744.53</v>
      </c>
      <c r="AE82">
        <v>-546.61</v>
      </c>
      <c r="AF82">
        <v>11163.299999999997</v>
      </c>
      <c r="AG82">
        <v>11726.909999999998</v>
      </c>
      <c r="AH82">
        <v>563.61</v>
      </c>
      <c r="AI82">
        <v>-524.63000000000011</v>
      </c>
      <c r="AJ82">
        <v>0</v>
      </c>
      <c r="AK82">
        <v>524.63000000000011</v>
      </c>
      <c r="AL82">
        <v>11687.929999999997</v>
      </c>
      <c r="AM82">
        <v>11726.909999999998</v>
      </c>
      <c r="AN82">
        <v>38.980000000000011</v>
      </c>
      <c r="AO82">
        <v>181</v>
      </c>
    </row>
    <row r="83" spans="1:41" x14ac:dyDescent="0.35">
      <c r="A83">
        <v>2024</v>
      </c>
      <c r="B83">
        <v>4</v>
      </c>
      <c r="C83">
        <v>15</v>
      </c>
      <c r="D83" s="14">
        <v>45393</v>
      </c>
      <c r="E83" t="s">
        <v>44</v>
      </c>
      <c r="F83" t="s">
        <v>47</v>
      </c>
      <c r="G83" t="s">
        <v>50</v>
      </c>
      <c r="H83">
        <v>18091.149999999998</v>
      </c>
      <c r="I83">
        <v>18091.149999999998</v>
      </c>
      <c r="J83">
        <v>0</v>
      </c>
      <c r="K83">
        <v>357.63999999999965</v>
      </c>
      <c r="L83">
        <v>357.63999999999965</v>
      </c>
      <c r="M83">
        <v>0</v>
      </c>
      <c r="N83">
        <v>754.53000000000031</v>
      </c>
      <c r="O83">
        <v>754.53000000000031</v>
      </c>
      <c r="P83">
        <v>0</v>
      </c>
      <c r="Q83">
        <v>-5107.75</v>
      </c>
      <c r="R83">
        <v>-5020.75</v>
      </c>
      <c r="S83">
        <v>87</v>
      </c>
      <c r="T83">
        <v>-15</v>
      </c>
      <c r="U83">
        <v>-15</v>
      </c>
      <c r="V83">
        <v>0</v>
      </c>
      <c r="W83">
        <v>-25</v>
      </c>
      <c r="X83">
        <v>-25</v>
      </c>
      <c r="Y83">
        <v>0</v>
      </c>
      <c r="Z83">
        <v>14055.569999999996</v>
      </c>
      <c r="AA83">
        <v>14142.569999999998</v>
      </c>
      <c r="AB83">
        <v>87</v>
      </c>
      <c r="AC83">
        <v>1662.8300000000013</v>
      </c>
      <c r="AD83">
        <v>918.3</v>
      </c>
      <c r="AE83">
        <v>-744.53000000000009</v>
      </c>
      <c r="AF83">
        <v>12392.740000000007</v>
      </c>
      <c r="AG83">
        <v>13224.270000000002</v>
      </c>
      <c r="AH83">
        <v>831.53000000000009</v>
      </c>
      <c r="AI83">
        <v>-540.55999999999983</v>
      </c>
      <c r="AJ83">
        <v>0</v>
      </c>
      <c r="AK83">
        <v>540.55999999999983</v>
      </c>
      <c r="AL83">
        <v>12933.300000000007</v>
      </c>
      <c r="AM83">
        <v>13224.270000000002</v>
      </c>
      <c r="AN83">
        <v>290.9699999999998</v>
      </c>
      <c r="AO83">
        <v>204</v>
      </c>
    </row>
    <row r="84" spans="1:41" x14ac:dyDescent="0.35">
      <c r="A84">
        <v>2024</v>
      </c>
      <c r="B84">
        <v>4</v>
      </c>
      <c r="C84">
        <v>15</v>
      </c>
      <c r="D84" s="14">
        <v>45394</v>
      </c>
      <c r="E84" t="s">
        <v>44</v>
      </c>
      <c r="F84" t="s">
        <v>47</v>
      </c>
      <c r="G84" t="s">
        <v>50</v>
      </c>
      <c r="H84">
        <v>18596.05</v>
      </c>
      <c r="I84">
        <v>18596.05</v>
      </c>
      <c r="J84">
        <v>0</v>
      </c>
      <c r="K84">
        <v>375.48999999999972</v>
      </c>
      <c r="L84">
        <v>375.48999999999972</v>
      </c>
      <c r="M84">
        <v>0</v>
      </c>
      <c r="N84">
        <v>750.5400000000003</v>
      </c>
      <c r="O84">
        <v>750.5400000000003</v>
      </c>
      <c r="P84">
        <v>0</v>
      </c>
      <c r="Q84">
        <v>-5425.3</v>
      </c>
      <c r="R84">
        <v>-5280.3</v>
      </c>
      <c r="S84">
        <v>145</v>
      </c>
      <c r="T84">
        <v>-30</v>
      </c>
      <c r="U84">
        <v>-30</v>
      </c>
      <c r="V84">
        <v>0</v>
      </c>
      <c r="W84">
        <v>-20</v>
      </c>
      <c r="X84">
        <v>-20</v>
      </c>
      <c r="Y84">
        <v>0</v>
      </c>
      <c r="Z84">
        <v>14246.779999999993</v>
      </c>
      <c r="AA84">
        <v>14391.779999999993</v>
      </c>
      <c r="AB84">
        <v>145</v>
      </c>
      <c r="AC84">
        <v>1765.5100000000004</v>
      </c>
      <c r="AD84">
        <v>847.20999999999992</v>
      </c>
      <c r="AE84">
        <v>-918.29999999999961</v>
      </c>
      <c r="AF84">
        <v>12481.27</v>
      </c>
      <c r="AG84">
        <v>13544.569999999996</v>
      </c>
      <c r="AH84">
        <v>1063.2999999999997</v>
      </c>
      <c r="AI84">
        <v>-557.92999999999995</v>
      </c>
      <c r="AJ84">
        <v>0</v>
      </c>
      <c r="AK84">
        <v>557.92999999999995</v>
      </c>
      <c r="AL84">
        <v>13039.200000000008</v>
      </c>
      <c r="AM84">
        <v>13544.569999999996</v>
      </c>
      <c r="AN84">
        <v>505.37</v>
      </c>
      <c r="AO84">
        <v>215</v>
      </c>
    </row>
    <row r="85" spans="1:41" x14ac:dyDescent="0.35">
      <c r="A85">
        <v>2024</v>
      </c>
      <c r="B85">
        <v>4</v>
      </c>
      <c r="C85">
        <v>15</v>
      </c>
      <c r="D85" s="14">
        <v>45395</v>
      </c>
      <c r="E85" t="s">
        <v>44</v>
      </c>
      <c r="F85" t="s">
        <v>47</v>
      </c>
      <c r="G85" t="s">
        <v>50</v>
      </c>
      <c r="H85">
        <v>19634.099999999999</v>
      </c>
      <c r="I85">
        <v>19634.099999999999</v>
      </c>
      <c r="J85">
        <v>0</v>
      </c>
      <c r="K85">
        <v>382.02999999999957</v>
      </c>
      <c r="L85">
        <v>382.02999999999957</v>
      </c>
      <c r="M85">
        <v>0</v>
      </c>
      <c r="N85">
        <v>774.51000000000033</v>
      </c>
      <c r="O85">
        <v>774.51000000000033</v>
      </c>
      <c r="P85">
        <v>0</v>
      </c>
      <c r="Q85">
        <v>-5600.72</v>
      </c>
      <c r="R85">
        <v>-5536.72</v>
      </c>
      <c r="S85">
        <v>64</v>
      </c>
      <c r="T85">
        <v>-20</v>
      </c>
      <c r="U85">
        <v>-20</v>
      </c>
      <c r="V85">
        <v>0</v>
      </c>
      <c r="W85">
        <v>-33.99</v>
      </c>
      <c r="X85">
        <v>-33.99</v>
      </c>
      <c r="Y85">
        <v>0</v>
      </c>
      <c r="Z85">
        <v>15135.929999999989</v>
      </c>
      <c r="AA85">
        <v>15199.929999999991</v>
      </c>
      <c r="AB85">
        <v>64</v>
      </c>
      <c r="AC85">
        <v>1907.7000000000019</v>
      </c>
      <c r="AD85">
        <v>1069.7900000000002</v>
      </c>
      <c r="AE85">
        <v>-837.90999999999985</v>
      </c>
      <c r="AF85">
        <v>13228.230000000007</v>
      </c>
      <c r="AG85">
        <v>14130.14</v>
      </c>
      <c r="AH85">
        <v>901.91</v>
      </c>
      <c r="AI85">
        <v>-742.18000000000018</v>
      </c>
      <c r="AJ85">
        <v>0</v>
      </c>
      <c r="AK85">
        <v>742.18000000000018</v>
      </c>
      <c r="AL85">
        <v>13970.410000000003</v>
      </c>
      <c r="AM85">
        <v>14130.14</v>
      </c>
      <c r="AN85">
        <v>159.7299999999999</v>
      </c>
      <c r="AO85">
        <v>220</v>
      </c>
    </row>
    <row r="86" spans="1:41" x14ac:dyDescent="0.35">
      <c r="A86">
        <v>2024</v>
      </c>
      <c r="B86">
        <v>4</v>
      </c>
      <c r="C86">
        <v>15</v>
      </c>
      <c r="D86" s="14">
        <v>45389</v>
      </c>
      <c r="E86" t="s">
        <v>44</v>
      </c>
      <c r="F86" t="s">
        <v>47</v>
      </c>
      <c r="G86" t="s">
        <v>51</v>
      </c>
      <c r="H86">
        <v>6091.05</v>
      </c>
      <c r="I86">
        <v>6091.05</v>
      </c>
      <c r="J86">
        <v>0</v>
      </c>
      <c r="K86">
        <v>20</v>
      </c>
      <c r="L86">
        <v>20</v>
      </c>
      <c r="M86">
        <v>0</v>
      </c>
      <c r="N86">
        <v>0</v>
      </c>
      <c r="O86">
        <v>0</v>
      </c>
      <c r="P86">
        <v>0</v>
      </c>
      <c r="Q86">
        <v>-1408.1999999999991</v>
      </c>
      <c r="R86">
        <v>-1368.1999999999994</v>
      </c>
      <c r="S86">
        <v>40</v>
      </c>
      <c r="T86">
        <v>-4</v>
      </c>
      <c r="U86">
        <v>-4</v>
      </c>
      <c r="V86">
        <v>0</v>
      </c>
      <c r="W86">
        <v>0</v>
      </c>
      <c r="X86">
        <v>0</v>
      </c>
      <c r="Y86">
        <v>0</v>
      </c>
      <c r="Z86">
        <v>4698.8499999999967</v>
      </c>
      <c r="AA86">
        <v>4738.8499999999967</v>
      </c>
      <c r="AB86">
        <v>40</v>
      </c>
      <c r="AC86">
        <v>146.26999999999998</v>
      </c>
      <c r="AD86">
        <v>91.28</v>
      </c>
      <c r="AE86">
        <v>-54.989999999999995</v>
      </c>
      <c r="AF86">
        <v>4552.579999999999</v>
      </c>
      <c r="AG86">
        <v>4647.5699999999979</v>
      </c>
      <c r="AH86">
        <v>94.99</v>
      </c>
      <c r="AI86">
        <v>1230.0599999999995</v>
      </c>
      <c r="AJ86">
        <v>5.44</v>
      </c>
      <c r="AK86">
        <v>-1224.6199999999994</v>
      </c>
      <c r="AL86">
        <v>3322.5200000000018</v>
      </c>
      <c r="AM86">
        <v>4642.1299999999983</v>
      </c>
      <c r="AN86">
        <v>1319.6099999999992</v>
      </c>
      <c r="AO86">
        <v>98</v>
      </c>
    </row>
    <row r="87" spans="1:41" x14ac:dyDescent="0.35">
      <c r="A87">
        <v>2024</v>
      </c>
      <c r="B87">
        <v>4</v>
      </c>
      <c r="C87">
        <v>15</v>
      </c>
      <c r="D87" s="14">
        <v>45390</v>
      </c>
      <c r="E87" t="s">
        <v>44</v>
      </c>
      <c r="F87" t="s">
        <v>47</v>
      </c>
      <c r="G87" t="s">
        <v>51</v>
      </c>
      <c r="H87">
        <v>3186.7000000000003</v>
      </c>
      <c r="I87">
        <v>3186.7000000000003</v>
      </c>
      <c r="J87">
        <v>0</v>
      </c>
      <c r="K87">
        <v>50</v>
      </c>
      <c r="L87">
        <v>50</v>
      </c>
      <c r="M87">
        <v>0</v>
      </c>
      <c r="N87">
        <v>0</v>
      </c>
      <c r="O87">
        <v>0</v>
      </c>
      <c r="P87">
        <v>0</v>
      </c>
      <c r="Q87">
        <v>-898.24999999999977</v>
      </c>
      <c r="R87">
        <v>-898.24999999999977</v>
      </c>
      <c r="S87">
        <v>0</v>
      </c>
      <c r="T87">
        <v>-16</v>
      </c>
      <c r="U87">
        <v>-16</v>
      </c>
      <c r="V87">
        <v>0</v>
      </c>
      <c r="W87">
        <v>0</v>
      </c>
      <c r="X87">
        <v>0</v>
      </c>
      <c r="Y87">
        <v>0</v>
      </c>
      <c r="Z87">
        <v>2322.4500000000003</v>
      </c>
      <c r="AA87">
        <v>2322.4500000000003</v>
      </c>
      <c r="AB87">
        <v>0</v>
      </c>
      <c r="AC87">
        <v>91.28</v>
      </c>
      <c r="AE87">
        <v>-91.28</v>
      </c>
      <c r="AF87">
        <v>2231.1700000000005</v>
      </c>
      <c r="AG87">
        <v>2322.4500000000003</v>
      </c>
      <c r="AH87">
        <v>91.279999999999987</v>
      </c>
      <c r="AI87">
        <v>708.07999999999993</v>
      </c>
      <c r="AJ87">
        <v>0</v>
      </c>
      <c r="AK87">
        <v>-708.07999999999993</v>
      </c>
      <c r="AL87">
        <v>1523.0900000000004</v>
      </c>
      <c r="AM87">
        <v>2322.4500000000003</v>
      </c>
      <c r="AN87">
        <v>799.3599999999999</v>
      </c>
      <c r="AO87">
        <v>52</v>
      </c>
    </row>
    <row r="88" spans="1:41" x14ac:dyDescent="0.35">
      <c r="A88">
        <v>2024</v>
      </c>
      <c r="B88">
        <v>4</v>
      </c>
      <c r="C88">
        <v>15</v>
      </c>
      <c r="D88" s="14">
        <v>45391</v>
      </c>
      <c r="E88" t="s">
        <v>44</v>
      </c>
      <c r="F88" t="s">
        <v>47</v>
      </c>
      <c r="G88" t="s">
        <v>51</v>
      </c>
      <c r="H88">
        <v>323.00000000000006</v>
      </c>
      <c r="I88">
        <v>323.00000000000006</v>
      </c>
      <c r="J88">
        <v>0</v>
      </c>
      <c r="K88">
        <v>30</v>
      </c>
      <c r="L88">
        <v>30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</v>
      </c>
      <c r="U88">
        <v>-12</v>
      </c>
      <c r="V88">
        <v>0</v>
      </c>
      <c r="W88">
        <v>0</v>
      </c>
      <c r="X88">
        <v>0</v>
      </c>
      <c r="Y88">
        <v>0</v>
      </c>
      <c r="Z88">
        <v>341.00000000000006</v>
      </c>
      <c r="AA88">
        <v>341.00000000000006</v>
      </c>
      <c r="AB88">
        <v>0</v>
      </c>
      <c r="AE88">
        <v>0</v>
      </c>
      <c r="AF88">
        <v>341.00000000000006</v>
      </c>
      <c r="AG88">
        <v>341.00000000000006</v>
      </c>
      <c r="AH88">
        <v>0</v>
      </c>
      <c r="AI88">
        <v>182.91000000000003</v>
      </c>
      <c r="AJ88">
        <v>0</v>
      </c>
      <c r="AK88">
        <v>-182.91000000000003</v>
      </c>
      <c r="AL88">
        <v>158.09000000000003</v>
      </c>
      <c r="AM88">
        <v>341.00000000000006</v>
      </c>
      <c r="AN88">
        <v>182.91000000000003</v>
      </c>
      <c r="AO88">
        <v>8</v>
      </c>
    </row>
    <row r="89" spans="1:41" x14ac:dyDescent="0.35">
      <c r="A89">
        <v>2024</v>
      </c>
      <c r="B89">
        <v>4</v>
      </c>
      <c r="C89">
        <v>15</v>
      </c>
      <c r="D89" s="14">
        <v>45392</v>
      </c>
      <c r="E89" t="s">
        <v>44</v>
      </c>
      <c r="F89" t="s">
        <v>47</v>
      </c>
      <c r="G89" t="s">
        <v>51</v>
      </c>
      <c r="H89">
        <v>2044.85</v>
      </c>
      <c r="I89">
        <v>2044.85</v>
      </c>
      <c r="J89">
        <v>0</v>
      </c>
      <c r="K89">
        <v>80</v>
      </c>
      <c r="L89">
        <v>80</v>
      </c>
      <c r="M89">
        <v>0</v>
      </c>
      <c r="N89">
        <v>0</v>
      </c>
      <c r="O89">
        <v>0</v>
      </c>
      <c r="P89">
        <v>0</v>
      </c>
      <c r="Q89">
        <v>-385.4</v>
      </c>
      <c r="R89">
        <v>-385.4</v>
      </c>
      <c r="S89">
        <v>0</v>
      </c>
      <c r="T89">
        <v>-32</v>
      </c>
      <c r="U89">
        <v>-32</v>
      </c>
      <c r="V89">
        <v>0</v>
      </c>
      <c r="W89">
        <v>0</v>
      </c>
      <c r="X89">
        <v>0</v>
      </c>
      <c r="Y89">
        <v>0</v>
      </c>
      <c r="Z89">
        <v>1707.4499999999998</v>
      </c>
      <c r="AA89">
        <v>1707.4499999999998</v>
      </c>
      <c r="AB89">
        <v>0</v>
      </c>
      <c r="AC89">
        <v>28.9</v>
      </c>
      <c r="AD89">
        <v>28.9</v>
      </c>
      <c r="AE89">
        <v>0</v>
      </c>
      <c r="AF89">
        <v>1678.5499999999997</v>
      </c>
      <c r="AG89">
        <v>1678.5499999999997</v>
      </c>
      <c r="AH89">
        <v>0</v>
      </c>
      <c r="AI89">
        <v>727.41</v>
      </c>
      <c r="AJ89">
        <v>0</v>
      </c>
      <c r="AK89">
        <v>-727.41</v>
      </c>
      <c r="AL89">
        <v>951.1400000000001</v>
      </c>
      <c r="AM89">
        <v>1678.5499999999997</v>
      </c>
      <c r="AN89">
        <v>727.41000000000008</v>
      </c>
      <c r="AO89">
        <v>39</v>
      </c>
    </row>
    <row r="90" spans="1:41" x14ac:dyDescent="0.35">
      <c r="A90">
        <v>2024</v>
      </c>
      <c r="B90">
        <v>4</v>
      </c>
      <c r="C90">
        <v>15</v>
      </c>
      <c r="D90" s="14">
        <v>45393</v>
      </c>
      <c r="E90" t="s">
        <v>44</v>
      </c>
      <c r="F90" t="s">
        <v>47</v>
      </c>
      <c r="G90" t="s">
        <v>51</v>
      </c>
      <c r="H90">
        <v>7171.1</v>
      </c>
      <c r="I90">
        <v>7171.1</v>
      </c>
      <c r="J90">
        <v>0</v>
      </c>
      <c r="K90">
        <v>77.7</v>
      </c>
      <c r="L90">
        <v>77.7</v>
      </c>
      <c r="M90">
        <v>0</v>
      </c>
      <c r="N90">
        <v>0</v>
      </c>
      <c r="O90">
        <v>0</v>
      </c>
      <c r="P90">
        <v>0</v>
      </c>
      <c r="Q90">
        <v>-1715.0499999999995</v>
      </c>
      <c r="R90">
        <v>-1715.0499999999995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5533.7499999999982</v>
      </c>
      <c r="AA90">
        <v>5533.7499999999982</v>
      </c>
      <c r="AB90">
        <v>0</v>
      </c>
      <c r="AC90">
        <v>135.03</v>
      </c>
      <c r="AD90">
        <v>89.469999999999985</v>
      </c>
      <c r="AE90">
        <v>-45.559999999999995</v>
      </c>
      <c r="AF90">
        <v>5398.7199999999984</v>
      </c>
      <c r="AG90">
        <v>5444.2799999999988</v>
      </c>
      <c r="AH90">
        <v>45.559999999999995</v>
      </c>
      <c r="AI90">
        <v>1554.5399999999991</v>
      </c>
      <c r="AJ90">
        <v>14.36</v>
      </c>
      <c r="AK90">
        <v>-1540.1799999999992</v>
      </c>
      <c r="AL90">
        <v>3844.1799999999994</v>
      </c>
      <c r="AM90">
        <v>5429.9199999999983</v>
      </c>
      <c r="AN90">
        <v>1585.7399999999989</v>
      </c>
      <c r="AO90">
        <v>119</v>
      </c>
    </row>
    <row r="91" spans="1:41" x14ac:dyDescent="0.35">
      <c r="A91">
        <v>2024</v>
      </c>
      <c r="B91">
        <v>4</v>
      </c>
      <c r="C91">
        <v>15</v>
      </c>
      <c r="D91" s="14">
        <v>45394</v>
      </c>
      <c r="E91" t="s">
        <v>44</v>
      </c>
      <c r="F91" t="s">
        <v>47</v>
      </c>
      <c r="G91" t="s">
        <v>51</v>
      </c>
      <c r="H91">
        <v>3602.0500000000006</v>
      </c>
      <c r="I91">
        <v>3602.0500000000006</v>
      </c>
      <c r="J91">
        <v>0</v>
      </c>
      <c r="K91">
        <v>21.380000000000003</v>
      </c>
      <c r="L91">
        <v>21.380000000000003</v>
      </c>
      <c r="M91">
        <v>0</v>
      </c>
      <c r="N91">
        <v>44.97</v>
      </c>
      <c r="O91">
        <v>44.97</v>
      </c>
      <c r="P91">
        <v>0</v>
      </c>
      <c r="Q91">
        <v>-1040.8</v>
      </c>
      <c r="R91">
        <v>-1040.8</v>
      </c>
      <c r="S91">
        <v>0</v>
      </c>
      <c r="T91">
        <v>-8</v>
      </c>
      <c r="U91">
        <v>-8</v>
      </c>
      <c r="V91">
        <v>0</v>
      </c>
      <c r="W91">
        <v>0</v>
      </c>
      <c r="X91">
        <v>0</v>
      </c>
      <c r="Y91">
        <v>0</v>
      </c>
      <c r="Z91">
        <v>2619.6</v>
      </c>
      <c r="AA91">
        <v>2619.6</v>
      </c>
      <c r="AB91">
        <v>0</v>
      </c>
      <c r="AC91">
        <v>152.95999999999998</v>
      </c>
      <c r="AD91">
        <v>63.49</v>
      </c>
      <c r="AE91">
        <v>-89.47</v>
      </c>
      <c r="AF91">
        <v>2466.6400000000003</v>
      </c>
      <c r="AG91">
        <v>2556.11</v>
      </c>
      <c r="AH91">
        <v>89.469999999999985</v>
      </c>
      <c r="AI91">
        <v>430</v>
      </c>
      <c r="AJ91">
        <v>0</v>
      </c>
      <c r="AK91">
        <v>-430</v>
      </c>
      <c r="AL91">
        <v>2036.6400000000003</v>
      </c>
      <c r="AM91">
        <v>2556.11</v>
      </c>
      <c r="AN91">
        <v>519.46999999999991</v>
      </c>
      <c r="AO91">
        <v>53</v>
      </c>
    </row>
    <row r="92" spans="1:41" x14ac:dyDescent="0.35">
      <c r="A92">
        <v>2024</v>
      </c>
      <c r="B92">
        <v>4</v>
      </c>
      <c r="C92">
        <v>15</v>
      </c>
      <c r="D92" s="14">
        <v>45395</v>
      </c>
      <c r="E92" t="s">
        <v>44</v>
      </c>
      <c r="F92" t="s">
        <v>47</v>
      </c>
      <c r="G92" t="s">
        <v>51</v>
      </c>
      <c r="H92">
        <v>3422.5000000000014</v>
      </c>
      <c r="I92">
        <v>3422.5000000000014</v>
      </c>
      <c r="J92">
        <v>0</v>
      </c>
      <c r="K92">
        <v>52.5</v>
      </c>
      <c r="L92">
        <v>52.5</v>
      </c>
      <c r="M92">
        <v>0</v>
      </c>
      <c r="N92">
        <v>0</v>
      </c>
      <c r="O92">
        <v>0</v>
      </c>
      <c r="P92">
        <v>0</v>
      </c>
      <c r="Q92">
        <v>-946.34999999999991</v>
      </c>
      <c r="R92">
        <v>-946.34999999999991</v>
      </c>
      <c r="S92">
        <v>0</v>
      </c>
      <c r="T92">
        <v>-16</v>
      </c>
      <c r="U92">
        <v>-16</v>
      </c>
      <c r="V92">
        <v>0</v>
      </c>
      <c r="W92">
        <v>0</v>
      </c>
      <c r="X92">
        <v>0</v>
      </c>
      <c r="Y92">
        <v>0</v>
      </c>
      <c r="Z92">
        <v>2512.6500000000005</v>
      </c>
      <c r="AA92">
        <v>2512.6500000000005</v>
      </c>
      <c r="AB92">
        <v>0</v>
      </c>
      <c r="AC92">
        <v>80.149999999999991</v>
      </c>
      <c r="AD92">
        <v>16.66</v>
      </c>
      <c r="AE92">
        <v>-63.489999999999995</v>
      </c>
      <c r="AF92">
        <v>2432.5000000000009</v>
      </c>
      <c r="AG92">
        <v>2495.9900000000007</v>
      </c>
      <c r="AH92">
        <v>63.489999999999995</v>
      </c>
      <c r="AI92">
        <v>487.5200000000001</v>
      </c>
      <c r="AJ92">
        <v>0</v>
      </c>
      <c r="AK92">
        <v>-487.5200000000001</v>
      </c>
      <c r="AL92">
        <v>1944.9800000000007</v>
      </c>
      <c r="AM92">
        <v>2495.9900000000007</v>
      </c>
      <c r="AN92">
        <v>551.0100000000001</v>
      </c>
      <c r="AO92">
        <v>58</v>
      </c>
    </row>
    <row r="93" spans="1:41" x14ac:dyDescent="0.35">
      <c r="A93">
        <v>2024</v>
      </c>
      <c r="B93">
        <v>4</v>
      </c>
      <c r="C93">
        <v>16</v>
      </c>
      <c r="D93" s="14">
        <v>45396</v>
      </c>
      <c r="E93" t="s">
        <v>41</v>
      </c>
      <c r="F93" t="s">
        <v>42</v>
      </c>
      <c r="G93" t="s">
        <v>43</v>
      </c>
      <c r="H93">
        <v>56468.5</v>
      </c>
      <c r="I93">
        <v>56468.5</v>
      </c>
      <c r="J93">
        <v>0</v>
      </c>
      <c r="K93">
        <v>700.07000000000426</v>
      </c>
      <c r="L93">
        <v>700.07000000000426</v>
      </c>
      <c r="M93">
        <v>0</v>
      </c>
      <c r="N93">
        <v>1740.690000000001</v>
      </c>
      <c r="O93">
        <v>1740.690000000001</v>
      </c>
      <c r="P93">
        <v>0</v>
      </c>
      <c r="Q93">
        <v>-5739.5</v>
      </c>
      <c r="R93">
        <v>-5120.5</v>
      </c>
      <c r="S93">
        <v>619</v>
      </c>
      <c r="T93">
        <v>-0.23</v>
      </c>
      <c r="U93">
        <v>-0.23</v>
      </c>
      <c r="V93">
        <v>0</v>
      </c>
      <c r="W93">
        <v>-30</v>
      </c>
      <c r="X93">
        <v>-30</v>
      </c>
      <c r="Y93">
        <v>0</v>
      </c>
      <c r="Z93">
        <v>53139.529999999657</v>
      </c>
      <c r="AA93">
        <v>53758.529999999657</v>
      </c>
      <c r="AB93">
        <v>619</v>
      </c>
      <c r="AC93">
        <v>14202.399999999985</v>
      </c>
      <c r="AD93">
        <v>4922.0000000000136</v>
      </c>
      <c r="AE93">
        <v>-9280.4000000000269</v>
      </c>
      <c r="AF93">
        <v>38937.130000000114</v>
      </c>
      <c r="AG93">
        <v>48836.529999999839</v>
      </c>
      <c r="AH93">
        <v>9899.4000000000251</v>
      </c>
      <c r="AI93">
        <v>-2724.9599999999987</v>
      </c>
      <c r="AJ93">
        <v>0</v>
      </c>
      <c r="AK93">
        <v>2724.9599999999987</v>
      </c>
      <c r="AL93">
        <v>41662.090000000062</v>
      </c>
      <c r="AM93">
        <v>48836.529999999839</v>
      </c>
      <c r="AN93">
        <v>7174.4400000000333</v>
      </c>
      <c r="AO93">
        <v>1004</v>
      </c>
    </row>
    <row r="94" spans="1:41" x14ac:dyDescent="0.35">
      <c r="A94">
        <v>2024</v>
      </c>
      <c r="B94">
        <v>4</v>
      </c>
      <c r="C94">
        <v>16</v>
      </c>
      <c r="D94" s="14">
        <v>45397</v>
      </c>
      <c r="E94" t="s">
        <v>41</v>
      </c>
      <c r="F94" t="s">
        <v>42</v>
      </c>
      <c r="G94" t="s">
        <v>43</v>
      </c>
      <c r="H94">
        <v>64215</v>
      </c>
      <c r="I94">
        <v>64215</v>
      </c>
      <c r="J94">
        <v>0</v>
      </c>
      <c r="K94">
        <v>633.91000000000167</v>
      </c>
      <c r="L94">
        <v>640.91000000000179</v>
      </c>
      <c r="M94">
        <v>7</v>
      </c>
      <c r="N94">
        <v>1908.600000000001</v>
      </c>
      <c r="O94">
        <v>1908.600000000001</v>
      </c>
      <c r="P94">
        <v>0</v>
      </c>
      <c r="Q94">
        <v>-6888.5</v>
      </c>
      <c r="R94">
        <v>-6161.5</v>
      </c>
      <c r="S94">
        <v>727</v>
      </c>
      <c r="T94">
        <v>-1.61</v>
      </c>
      <c r="U94">
        <v>-1.61</v>
      </c>
      <c r="V94">
        <v>0</v>
      </c>
      <c r="W94">
        <v>-15</v>
      </c>
      <c r="X94">
        <v>-15</v>
      </c>
      <c r="Y94">
        <v>0</v>
      </c>
      <c r="Z94">
        <v>59852.39999999963</v>
      </c>
      <c r="AA94">
        <v>60586.39999999963</v>
      </c>
      <c r="AB94">
        <v>734</v>
      </c>
      <c r="AC94">
        <v>13605.949999999979</v>
      </c>
      <c r="AD94">
        <v>8698.2000000000262</v>
      </c>
      <c r="AE94">
        <v>-4907.7500000000173</v>
      </c>
      <c r="AF94">
        <v>46246.450000000048</v>
      </c>
      <c r="AG94">
        <v>51888.199999999844</v>
      </c>
      <c r="AH94">
        <v>5641.7500000000173</v>
      </c>
      <c r="AI94">
        <v>-4681.2999999999947</v>
      </c>
      <c r="AJ94">
        <v>0</v>
      </c>
      <c r="AK94">
        <v>4681.2999999999947</v>
      </c>
      <c r="AL94">
        <v>50927.750000000109</v>
      </c>
      <c r="AM94">
        <v>51888.199999999844</v>
      </c>
      <c r="AN94">
        <v>960.44999999999811</v>
      </c>
      <c r="AO94">
        <v>1125</v>
      </c>
    </row>
    <row r="95" spans="1:41" x14ac:dyDescent="0.35">
      <c r="A95">
        <v>2024</v>
      </c>
      <c r="B95">
        <v>4</v>
      </c>
      <c r="C95">
        <v>16</v>
      </c>
      <c r="D95" s="14">
        <v>45398</v>
      </c>
      <c r="E95" t="s">
        <v>41</v>
      </c>
      <c r="F95" t="s">
        <v>42</v>
      </c>
      <c r="G95" t="s">
        <v>43</v>
      </c>
      <c r="H95">
        <v>63705.25</v>
      </c>
      <c r="I95">
        <v>63705.25</v>
      </c>
      <c r="J95">
        <v>0</v>
      </c>
      <c r="K95">
        <v>754.25000000000375</v>
      </c>
      <c r="L95">
        <v>754.25000000000375</v>
      </c>
      <c r="M95">
        <v>0</v>
      </c>
      <c r="N95">
        <v>1370.0200000000007</v>
      </c>
      <c r="O95">
        <v>1370.0200000000007</v>
      </c>
      <c r="P95">
        <v>0</v>
      </c>
      <c r="Q95">
        <v>-6671.5</v>
      </c>
      <c r="R95">
        <v>-5862.5</v>
      </c>
      <c r="S95">
        <v>809</v>
      </c>
      <c r="T95">
        <v>-14.860000000000003</v>
      </c>
      <c r="U95">
        <v>-14.400000000000002</v>
      </c>
      <c r="V95">
        <v>0.46</v>
      </c>
      <c r="W95">
        <v>-15</v>
      </c>
      <c r="X95">
        <v>-15</v>
      </c>
      <c r="Y95">
        <v>0</v>
      </c>
      <c r="Z95">
        <v>59128.159999999662</v>
      </c>
      <c r="AA95">
        <v>59937.619999999653</v>
      </c>
      <c r="AB95">
        <v>809.46</v>
      </c>
      <c r="AC95">
        <v>16754.409999999985</v>
      </c>
      <c r="AD95">
        <v>8132.8200000000279</v>
      </c>
      <c r="AE95">
        <v>-8621.5900000000238</v>
      </c>
      <c r="AF95">
        <v>42389.380000000165</v>
      </c>
      <c r="AG95">
        <v>51820.429999999957</v>
      </c>
      <c r="AH95">
        <v>9431.0500000000193</v>
      </c>
      <c r="AI95">
        <v>-3793.4999999999991</v>
      </c>
      <c r="AJ95">
        <v>0</v>
      </c>
      <c r="AK95">
        <v>3793.4999999999991</v>
      </c>
      <c r="AL95">
        <v>46182.880000000092</v>
      </c>
      <c r="AM95">
        <v>51820.429999999957</v>
      </c>
      <c r="AN95">
        <v>5637.550000000032</v>
      </c>
      <c r="AO95">
        <v>1110</v>
      </c>
    </row>
    <row r="96" spans="1:41" x14ac:dyDescent="0.35">
      <c r="A96">
        <v>2024</v>
      </c>
      <c r="B96">
        <v>4</v>
      </c>
      <c r="C96">
        <v>16</v>
      </c>
      <c r="D96" s="14">
        <v>45399</v>
      </c>
      <c r="E96" t="s">
        <v>41</v>
      </c>
      <c r="F96" t="s">
        <v>42</v>
      </c>
      <c r="G96" t="s">
        <v>43</v>
      </c>
      <c r="H96">
        <v>78595.5</v>
      </c>
      <c r="I96">
        <v>78595.5</v>
      </c>
      <c r="J96">
        <v>0</v>
      </c>
      <c r="K96">
        <v>1045.6300000000074</v>
      </c>
      <c r="L96">
        <v>1038.6300000000074</v>
      </c>
      <c r="M96">
        <v>-7</v>
      </c>
      <c r="N96">
        <v>1625.8300000000008</v>
      </c>
      <c r="O96">
        <v>1625.8300000000008</v>
      </c>
      <c r="P96">
        <v>0</v>
      </c>
      <c r="Q96">
        <v>-8251.5</v>
      </c>
      <c r="R96">
        <v>-7775.5</v>
      </c>
      <c r="S96">
        <v>476</v>
      </c>
      <c r="T96">
        <v>-14.890000000000004</v>
      </c>
      <c r="U96">
        <v>-14.430000000000003</v>
      </c>
      <c r="V96">
        <v>0.46</v>
      </c>
      <c r="W96">
        <v>-84.98</v>
      </c>
      <c r="X96">
        <v>-84.98</v>
      </c>
      <c r="Y96">
        <v>0</v>
      </c>
      <c r="Z96">
        <v>72915.589999999851</v>
      </c>
      <c r="AA96">
        <v>73385.049999999872</v>
      </c>
      <c r="AB96">
        <v>469.46</v>
      </c>
      <c r="AC96">
        <v>19345.459999999955</v>
      </c>
      <c r="AD96">
        <v>11363.470000000016</v>
      </c>
      <c r="AE96">
        <v>-7981.9900000000298</v>
      </c>
      <c r="AF96">
        <v>53570.130000000114</v>
      </c>
      <c r="AG96">
        <v>62021.579999999885</v>
      </c>
      <c r="AH96">
        <v>8451.450000000028</v>
      </c>
      <c r="AI96">
        <v>-5986.6599999999899</v>
      </c>
      <c r="AJ96">
        <v>0</v>
      </c>
      <c r="AK96">
        <v>5986.6599999999899</v>
      </c>
      <c r="AL96">
        <v>59556.790000000132</v>
      </c>
      <c r="AM96">
        <v>62021.579999999885</v>
      </c>
      <c r="AN96">
        <v>2464.7900000000009</v>
      </c>
      <c r="AO96">
        <v>1374</v>
      </c>
    </row>
    <row r="97" spans="1:41" x14ac:dyDescent="0.35">
      <c r="A97">
        <v>2024</v>
      </c>
      <c r="B97">
        <v>4</v>
      </c>
      <c r="C97">
        <v>16</v>
      </c>
      <c r="D97" s="14">
        <v>45400</v>
      </c>
      <c r="E97" t="s">
        <v>41</v>
      </c>
      <c r="F97" t="s">
        <v>42</v>
      </c>
      <c r="G97" t="s">
        <v>43</v>
      </c>
      <c r="H97">
        <v>74487.25</v>
      </c>
      <c r="I97">
        <v>74487.25</v>
      </c>
      <c r="J97">
        <v>0</v>
      </c>
      <c r="K97">
        <v>795.84000000000378</v>
      </c>
      <c r="L97">
        <v>795.84000000000378</v>
      </c>
      <c r="M97">
        <v>0</v>
      </c>
      <c r="N97">
        <v>1915.610000000001</v>
      </c>
      <c r="O97">
        <v>1915.610000000001</v>
      </c>
      <c r="P97">
        <v>0</v>
      </c>
      <c r="Q97">
        <v>-7721.5</v>
      </c>
      <c r="R97">
        <v>-6941.5</v>
      </c>
      <c r="S97">
        <v>780</v>
      </c>
      <c r="T97">
        <v>-3.5500000000000003</v>
      </c>
      <c r="U97">
        <v>-3.5500000000000003</v>
      </c>
      <c r="V97">
        <v>0</v>
      </c>
      <c r="W97">
        <v>-83.990000000000009</v>
      </c>
      <c r="X97">
        <v>-83.990000000000009</v>
      </c>
      <c r="Y97">
        <v>0</v>
      </c>
      <c r="Z97">
        <v>69389.659999999727</v>
      </c>
      <c r="AA97">
        <v>70169.6599999998</v>
      </c>
      <c r="AB97">
        <v>780</v>
      </c>
      <c r="AC97">
        <v>19273.549999999952</v>
      </c>
      <c r="AD97">
        <v>8138.440000000026</v>
      </c>
      <c r="AE97">
        <v>-11135.110000000013</v>
      </c>
      <c r="AF97">
        <v>50116.110000000204</v>
      </c>
      <c r="AG97">
        <v>62031.219999999848</v>
      </c>
      <c r="AH97">
        <v>11915.110000000008</v>
      </c>
      <c r="AI97">
        <v>-4132.1699999999946</v>
      </c>
      <c r="AJ97">
        <v>0</v>
      </c>
      <c r="AK97">
        <v>4132.1699999999946</v>
      </c>
      <c r="AL97">
        <v>54248.280000000166</v>
      </c>
      <c r="AM97">
        <v>62031.219999999848</v>
      </c>
      <c r="AN97">
        <v>7782.940000000036</v>
      </c>
      <c r="AO97">
        <v>1308</v>
      </c>
    </row>
    <row r="98" spans="1:41" x14ac:dyDescent="0.35">
      <c r="A98">
        <v>2024</v>
      </c>
      <c r="B98">
        <v>4</v>
      </c>
      <c r="C98">
        <v>16</v>
      </c>
      <c r="D98" s="14">
        <v>45401</v>
      </c>
      <c r="E98" t="s">
        <v>41</v>
      </c>
      <c r="F98" t="s">
        <v>42</v>
      </c>
      <c r="G98" t="s">
        <v>43</v>
      </c>
      <c r="H98">
        <v>76885.5</v>
      </c>
      <c r="I98">
        <v>76823.5</v>
      </c>
      <c r="J98">
        <v>-62</v>
      </c>
      <c r="K98">
        <v>809.68000000000393</v>
      </c>
      <c r="L98">
        <v>864.68000000000393</v>
      </c>
      <c r="M98">
        <v>55</v>
      </c>
      <c r="N98">
        <v>2032.5100000000011</v>
      </c>
      <c r="O98">
        <v>2013.5200000000011</v>
      </c>
      <c r="P98">
        <v>-18.990000000000002</v>
      </c>
      <c r="Q98">
        <v>-7783.7</v>
      </c>
      <c r="R98">
        <v>-7499.7</v>
      </c>
      <c r="S98">
        <v>284</v>
      </c>
      <c r="T98">
        <v>-4.6800000000000006</v>
      </c>
      <c r="U98">
        <v>-4.6800000000000006</v>
      </c>
      <c r="V98">
        <v>0</v>
      </c>
      <c r="W98">
        <v>-38.9</v>
      </c>
      <c r="X98">
        <v>-38.9</v>
      </c>
      <c r="Y98">
        <v>0</v>
      </c>
      <c r="Z98">
        <v>71900.409999999727</v>
      </c>
      <c r="AA98">
        <v>72158.419999999751</v>
      </c>
      <c r="AB98">
        <v>258.01</v>
      </c>
      <c r="AC98">
        <v>18231.119999999857</v>
      </c>
      <c r="AD98">
        <v>10127.279999999997</v>
      </c>
      <c r="AE98">
        <v>-8103.8400000000274</v>
      </c>
      <c r="AF98">
        <v>53669.290000000226</v>
      </c>
      <c r="AG98">
        <v>62031.13999999997</v>
      </c>
      <c r="AH98">
        <v>8361.8500000000258</v>
      </c>
      <c r="AI98">
        <v>-5092.7599999999911</v>
      </c>
      <c r="AJ98">
        <v>0</v>
      </c>
      <c r="AK98">
        <v>5092.7599999999911</v>
      </c>
      <c r="AL98">
        <v>58762.050000000148</v>
      </c>
      <c r="AM98">
        <v>62031.13999999997</v>
      </c>
      <c r="AN98">
        <v>3269.0900000000152</v>
      </c>
      <c r="AO98">
        <v>1344</v>
      </c>
    </row>
    <row r="99" spans="1:41" x14ac:dyDescent="0.35">
      <c r="A99">
        <v>2024</v>
      </c>
      <c r="B99">
        <v>4</v>
      </c>
      <c r="C99">
        <v>16</v>
      </c>
      <c r="D99" s="14">
        <v>45402</v>
      </c>
      <c r="E99" t="s">
        <v>41</v>
      </c>
      <c r="F99" t="s">
        <v>42</v>
      </c>
      <c r="G99" t="s">
        <v>43</v>
      </c>
      <c r="H99">
        <v>85059.25</v>
      </c>
      <c r="I99">
        <v>85059.25</v>
      </c>
      <c r="J99">
        <v>0</v>
      </c>
      <c r="K99">
        <v>970.00000000000762</v>
      </c>
      <c r="L99">
        <v>970.00000000000762</v>
      </c>
      <c r="M99">
        <v>0</v>
      </c>
      <c r="N99">
        <v>2219.3499999999985</v>
      </c>
      <c r="O99">
        <v>2219.3499999999985</v>
      </c>
      <c r="P99">
        <v>0</v>
      </c>
      <c r="Q99">
        <v>-8479.2000000000007</v>
      </c>
      <c r="R99">
        <v>-7681.2</v>
      </c>
      <c r="S99">
        <v>798</v>
      </c>
      <c r="T99">
        <v>-2.35</v>
      </c>
      <c r="U99">
        <v>-2.35</v>
      </c>
      <c r="V99">
        <v>0</v>
      </c>
      <c r="W99">
        <v>-63.9</v>
      </c>
      <c r="X99">
        <v>-63.9</v>
      </c>
      <c r="Y99">
        <v>0</v>
      </c>
      <c r="Z99">
        <v>79703.150000000111</v>
      </c>
      <c r="AA99">
        <v>80501.150000000111</v>
      </c>
      <c r="AB99">
        <v>798</v>
      </c>
      <c r="AC99">
        <v>20527.89999999987</v>
      </c>
      <c r="AD99">
        <v>10546.070000000011</v>
      </c>
      <c r="AE99">
        <v>-9981.8300000000054</v>
      </c>
      <c r="AF99">
        <v>59175.250000000276</v>
      </c>
      <c r="AG99">
        <v>69955.079999999973</v>
      </c>
      <c r="AH99">
        <v>10779.830000000004</v>
      </c>
      <c r="AI99">
        <v>-5190.7699999999941</v>
      </c>
      <c r="AJ99">
        <v>0</v>
      </c>
      <c r="AK99">
        <v>5190.7699999999941</v>
      </c>
      <c r="AL99">
        <v>64366.020000000164</v>
      </c>
      <c r="AM99">
        <v>69955.079999999973</v>
      </c>
      <c r="AN99">
        <v>5589.0600000000368</v>
      </c>
      <c r="AO99">
        <v>1475</v>
      </c>
    </row>
    <row r="100" spans="1:41" x14ac:dyDescent="0.35">
      <c r="A100">
        <v>2024</v>
      </c>
      <c r="B100">
        <v>4</v>
      </c>
      <c r="C100">
        <v>16</v>
      </c>
      <c r="D100" s="14">
        <v>45396</v>
      </c>
      <c r="E100" t="s">
        <v>44</v>
      </c>
      <c r="F100" t="s">
        <v>42</v>
      </c>
      <c r="G100" t="s">
        <v>45</v>
      </c>
      <c r="H100">
        <v>55960.5</v>
      </c>
      <c r="I100">
        <v>55960.5</v>
      </c>
      <c r="J100">
        <v>0</v>
      </c>
      <c r="K100">
        <v>502.83999999999838</v>
      </c>
      <c r="L100">
        <v>502.83999999999838</v>
      </c>
      <c r="M100">
        <v>0</v>
      </c>
      <c r="N100">
        <v>2976.989999999987</v>
      </c>
      <c r="O100">
        <v>2976.989999999987</v>
      </c>
      <c r="P100">
        <v>0</v>
      </c>
      <c r="Q100">
        <v>-9501.5</v>
      </c>
      <c r="R100">
        <v>-9191.5</v>
      </c>
      <c r="S100">
        <v>310</v>
      </c>
      <c r="T100">
        <v>-0.37</v>
      </c>
      <c r="U100">
        <v>-0.37</v>
      </c>
      <c r="V100">
        <v>0</v>
      </c>
      <c r="W100">
        <v>-45.8</v>
      </c>
      <c r="X100">
        <v>-45.8</v>
      </c>
      <c r="Y100">
        <v>0</v>
      </c>
      <c r="Z100">
        <v>49892.659999999865</v>
      </c>
      <c r="AA100">
        <v>50202.659999999865</v>
      </c>
      <c r="AB100">
        <v>310</v>
      </c>
      <c r="AC100">
        <v>10800.159999999982</v>
      </c>
      <c r="AD100">
        <v>3064.2400000000057</v>
      </c>
      <c r="AE100">
        <v>-7735.9200000000219</v>
      </c>
      <c r="AF100">
        <v>39092.50000000008</v>
      </c>
      <c r="AG100">
        <v>47138.419999999984</v>
      </c>
      <c r="AH100">
        <v>8045.9200000000228</v>
      </c>
      <c r="AI100">
        <v>-1676.9299999999994</v>
      </c>
      <c r="AJ100">
        <v>0</v>
      </c>
      <c r="AK100">
        <v>1676.9299999999994</v>
      </c>
      <c r="AL100">
        <v>40769.430000000073</v>
      </c>
      <c r="AM100">
        <v>47138.419999999984</v>
      </c>
      <c r="AN100">
        <v>6368.9900000000143</v>
      </c>
      <c r="AO100">
        <v>748</v>
      </c>
    </row>
    <row r="101" spans="1:41" x14ac:dyDescent="0.35">
      <c r="A101">
        <v>2024</v>
      </c>
      <c r="B101">
        <v>4</v>
      </c>
      <c r="C101">
        <v>16</v>
      </c>
      <c r="D101" s="14">
        <v>45397</v>
      </c>
      <c r="E101" t="s">
        <v>44</v>
      </c>
      <c r="F101" t="s">
        <v>42</v>
      </c>
      <c r="G101" t="s">
        <v>45</v>
      </c>
      <c r="H101">
        <v>103158.5</v>
      </c>
      <c r="I101">
        <v>103158.5</v>
      </c>
      <c r="J101">
        <v>0</v>
      </c>
      <c r="K101">
        <v>737.94000000000233</v>
      </c>
      <c r="L101">
        <v>737.94000000000233</v>
      </c>
      <c r="M101">
        <v>0</v>
      </c>
      <c r="N101">
        <v>5377.4199999999537</v>
      </c>
      <c r="O101">
        <v>5339.4399999999541</v>
      </c>
      <c r="P101">
        <v>-37.980000000000004</v>
      </c>
      <c r="Q101">
        <v>-18600</v>
      </c>
      <c r="R101">
        <v>-18181</v>
      </c>
      <c r="S101">
        <v>419</v>
      </c>
      <c r="T101">
        <v>-5.88</v>
      </c>
      <c r="U101">
        <v>-5.88</v>
      </c>
      <c r="V101">
        <v>0</v>
      </c>
      <c r="W101">
        <v>-87.3</v>
      </c>
      <c r="X101">
        <v>-87.3</v>
      </c>
      <c r="Y101">
        <v>0</v>
      </c>
      <c r="Z101">
        <v>90580.680000000182</v>
      </c>
      <c r="AA101">
        <v>90961.700000000186</v>
      </c>
      <c r="AB101">
        <v>381.02</v>
      </c>
      <c r="AC101">
        <v>12857.929999999968</v>
      </c>
      <c r="AD101">
        <v>9817.0300000000025</v>
      </c>
      <c r="AE101">
        <v>-3040.9000000000046</v>
      </c>
      <c r="AF101">
        <v>77722.75</v>
      </c>
      <c r="AG101">
        <v>81144.670000000013</v>
      </c>
      <c r="AH101">
        <v>3421.9200000000051</v>
      </c>
      <c r="AI101">
        <v>-5457.8500000000049</v>
      </c>
      <c r="AJ101">
        <v>0</v>
      </c>
      <c r="AK101">
        <v>5457.8500000000049</v>
      </c>
      <c r="AL101">
        <v>83180.599999999686</v>
      </c>
      <c r="AM101">
        <v>81144.670000000013</v>
      </c>
      <c r="AN101">
        <v>-2035.9299999999969</v>
      </c>
      <c r="AO101">
        <v>1309</v>
      </c>
    </row>
    <row r="102" spans="1:41" x14ac:dyDescent="0.35">
      <c r="A102">
        <v>2024</v>
      </c>
      <c r="B102">
        <v>4</v>
      </c>
      <c r="C102">
        <v>16</v>
      </c>
      <c r="D102" s="14">
        <v>45398</v>
      </c>
      <c r="E102" t="s">
        <v>44</v>
      </c>
      <c r="F102" t="s">
        <v>42</v>
      </c>
      <c r="G102" t="s">
        <v>45</v>
      </c>
      <c r="H102">
        <v>69992.5</v>
      </c>
      <c r="I102">
        <v>69992.5</v>
      </c>
      <c r="J102">
        <v>0</v>
      </c>
      <c r="K102">
        <v>483.06999999999874</v>
      </c>
      <c r="L102">
        <v>453.06999999999874</v>
      </c>
      <c r="M102">
        <v>-30</v>
      </c>
      <c r="N102">
        <v>3071.8799999999851</v>
      </c>
      <c r="O102">
        <v>3071.8799999999851</v>
      </c>
      <c r="P102">
        <v>0</v>
      </c>
      <c r="Q102">
        <v>-11686.5</v>
      </c>
      <c r="R102">
        <v>-11223.5</v>
      </c>
      <c r="S102">
        <v>463</v>
      </c>
      <c r="T102">
        <v>-5.51</v>
      </c>
      <c r="U102">
        <v>-5.51</v>
      </c>
      <c r="V102">
        <v>0</v>
      </c>
      <c r="W102">
        <v>-57.5</v>
      </c>
      <c r="X102">
        <v>-57.5</v>
      </c>
      <c r="Y102">
        <v>0</v>
      </c>
      <c r="Z102">
        <v>61797.939999999777</v>
      </c>
      <c r="AA102">
        <v>62230.939999999777</v>
      </c>
      <c r="AB102">
        <v>433</v>
      </c>
      <c r="AC102">
        <v>13717.849999999929</v>
      </c>
      <c r="AD102">
        <v>4047.9200000000069</v>
      </c>
      <c r="AE102">
        <v>-9669.9299999999857</v>
      </c>
      <c r="AF102">
        <v>48080.090000000062</v>
      </c>
      <c r="AG102">
        <v>58183.019999999859</v>
      </c>
      <c r="AH102">
        <v>10102.929999999982</v>
      </c>
      <c r="AI102">
        <v>-1877.909999999998</v>
      </c>
      <c r="AJ102">
        <v>0</v>
      </c>
      <c r="AK102">
        <v>1877.909999999998</v>
      </c>
      <c r="AL102">
        <v>49958.000000000116</v>
      </c>
      <c r="AM102">
        <v>58183.019999999859</v>
      </c>
      <c r="AN102">
        <v>8225.0200000000295</v>
      </c>
      <c r="AO102">
        <v>925</v>
      </c>
    </row>
    <row r="103" spans="1:41" x14ac:dyDescent="0.35">
      <c r="A103">
        <v>2024</v>
      </c>
      <c r="B103">
        <v>4</v>
      </c>
      <c r="C103">
        <v>16</v>
      </c>
      <c r="D103" s="14">
        <v>45399</v>
      </c>
      <c r="E103" t="s">
        <v>44</v>
      </c>
      <c r="F103" t="s">
        <v>42</v>
      </c>
      <c r="G103" t="s">
        <v>45</v>
      </c>
      <c r="H103">
        <v>101271</v>
      </c>
      <c r="I103">
        <v>101271</v>
      </c>
      <c r="J103">
        <v>0</v>
      </c>
      <c r="K103">
        <v>806.73000000000422</v>
      </c>
      <c r="L103">
        <v>806.73000000000422</v>
      </c>
      <c r="M103">
        <v>0</v>
      </c>
      <c r="N103">
        <v>4639.979999999965</v>
      </c>
      <c r="O103">
        <v>4639.979999999965</v>
      </c>
      <c r="P103">
        <v>0</v>
      </c>
      <c r="Q103">
        <v>-16599.599999999999</v>
      </c>
      <c r="R103">
        <v>-16460.599999999999</v>
      </c>
      <c r="S103">
        <v>139</v>
      </c>
      <c r="T103">
        <v>-1.08</v>
      </c>
      <c r="U103">
        <v>-1.08</v>
      </c>
      <c r="V103">
        <v>0</v>
      </c>
      <c r="W103">
        <v>-77.8</v>
      </c>
      <c r="X103">
        <v>-77.8</v>
      </c>
      <c r="Y103">
        <v>0</v>
      </c>
      <c r="Z103">
        <v>90039.230000000185</v>
      </c>
      <c r="AA103">
        <v>90178.2300000002</v>
      </c>
      <c r="AB103">
        <v>139</v>
      </c>
      <c r="AC103">
        <v>14386.409999999965</v>
      </c>
      <c r="AD103">
        <v>10416.28999999999</v>
      </c>
      <c r="AE103">
        <v>-3970.1200000000035</v>
      </c>
      <c r="AF103">
        <v>75652.830000000075</v>
      </c>
      <c r="AG103">
        <v>79761.950000000084</v>
      </c>
      <c r="AH103">
        <v>4109.1200000000044</v>
      </c>
      <c r="AI103">
        <v>-5560.5800000000008</v>
      </c>
      <c r="AJ103">
        <v>0</v>
      </c>
      <c r="AK103">
        <v>5560.5800000000008</v>
      </c>
      <c r="AL103">
        <v>81213.410000000062</v>
      </c>
      <c r="AM103">
        <v>79761.950000000084</v>
      </c>
      <c r="AN103">
        <v>-1451.4599999999984</v>
      </c>
      <c r="AO103">
        <v>1283</v>
      </c>
    </row>
    <row r="104" spans="1:41" x14ac:dyDescent="0.35">
      <c r="A104">
        <v>2024</v>
      </c>
      <c r="B104">
        <v>4</v>
      </c>
      <c r="C104">
        <v>16</v>
      </c>
      <c r="D104" s="14">
        <v>45400</v>
      </c>
      <c r="E104" t="s">
        <v>44</v>
      </c>
      <c r="F104" t="s">
        <v>42</v>
      </c>
      <c r="G104" t="s">
        <v>45</v>
      </c>
      <c r="H104">
        <v>103394.5</v>
      </c>
      <c r="I104">
        <v>103394.5</v>
      </c>
      <c r="J104">
        <v>0</v>
      </c>
      <c r="K104">
        <v>793.6200000000033</v>
      </c>
      <c r="L104">
        <v>793.6200000000033</v>
      </c>
      <c r="M104">
        <v>0</v>
      </c>
      <c r="N104">
        <v>4650.8199999999624</v>
      </c>
      <c r="O104">
        <v>4634.8299999999626</v>
      </c>
      <c r="P104">
        <v>-15.99</v>
      </c>
      <c r="Q104">
        <v>-17185</v>
      </c>
      <c r="R104">
        <v>-16868</v>
      </c>
      <c r="S104">
        <v>317</v>
      </c>
      <c r="T104">
        <v>-1.31</v>
      </c>
      <c r="U104">
        <v>-1.31</v>
      </c>
      <c r="V104">
        <v>0</v>
      </c>
      <c r="W104">
        <v>-92.789999999999992</v>
      </c>
      <c r="X104">
        <v>-92.789999999999992</v>
      </c>
      <c r="Y104">
        <v>0</v>
      </c>
      <c r="Z104">
        <v>91559.840000000404</v>
      </c>
      <c r="AA104">
        <v>91860.850000000399</v>
      </c>
      <c r="AB104">
        <v>301.01</v>
      </c>
      <c r="AC104">
        <v>17634.159999999891</v>
      </c>
      <c r="AD104">
        <v>7302.1200000000199</v>
      </c>
      <c r="AE104">
        <v>-10332.039999999983</v>
      </c>
      <c r="AF104">
        <v>73925.690000000104</v>
      </c>
      <c r="AG104">
        <v>84558.740000000209</v>
      </c>
      <c r="AH104">
        <v>10633.049999999981</v>
      </c>
      <c r="AI104">
        <v>-3813.9300000000026</v>
      </c>
      <c r="AJ104">
        <v>0</v>
      </c>
      <c r="AK104">
        <v>3813.9300000000026</v>
      </c>
      <c r="AL104">
        <v>77739.619999999966</v>
      </c>
      <c r="AM104">
        <v>84558.740000000209</v>
      </c>
      <c r="AN104">
        <v>6819.1200000000053</v>
      </c>
      <c r="AO104">
        <v>1335</v>
      </c>
    </row>
    <row r="105" spans="1:41" x14ac:dyDescent="0.35">
      <c r="A105">
        <v>2024</v>
      </c>
      <c r="B105">
        <v>4</v>
      </c>
      <c r="C105">
        <v>16</v>
      </c>
      <c r="D105" s="14">
        <v>45401</v>
      </c>
      <c r="E105" t="s">
        <v>44</v>
      </c>
      <c r="F105" t="s">
        <v>42</v>
      </c>
      <c r="G105" t="s">
        <v>45</v>
      </c>
      <c r="H105">
        <v>112671.5</v>
      </c>
      <c r="I105">
        <v>112671.5</v>
      </c>
      <c r="J105">
        <v>0</v>
      </c>
      <c r="K105">
        <v>976.61000000000399</v>
      </c>
      <c r="L105">
        <v>976.61000000000399</v>
      </c>
      <c r="M105">
        <v>0</v>
      </c>
      <c r="N105">
        <v>5089.4799999999559</v>
      </c>
      <c r="O105">
        <v>5073.4899999999561</v>
      </c>
      <c r="P105">
        <v>-15.99</v>
      </c>
      <c r="Q105">
        <v>-18761</v>
      </c>
      <c r="R105">
        <v>-18644</v>
      </c>
      <c r="S105">
        <v>117</v>
      </c>
      <c r="T105">
        <v>-3.1000000000000005</v>
      </c>
      <c r="U105">
        <v>-3.1000000000000005</v>
      </c>
      <c r="V105">
        <v>0</v>
      </c>
      <c r="W105">
        <v>-109.46000000000001</v>
      </c>
      <c r="X105">
        <v>-109.46000000000001</v>
      </c>
      <c r="Y105">
        <v>0</v>
      </c>
      <c r="Z105">
        <v>99864.030000000523</v>
      </c>
      <c r="AA105">
        <v>99965.040000000517</v>
      </c>
      <c r="AB105">
        <v>101.01</v>
      </c>
      <c r="AC105">
        <v>17511.869999999879</v>
      </c>
      <c r="AD105">
        <v>10358.009999999984</v>
      </c>
      <c r="AE105">
        <v>-7153.8600000000197</v>
      </c>
      <c r="AF105">
        <v>82352.160000000062</v>
      </c>
      <c r="AG105">
        <v>89607.030000000188</v>
      </c>
      <c r="AH105">
        <v>7254.8700000000208</v>
      </c>
      <c r="AI105">
        <v>-5370.6900000000023</v>
      </c>
      <c r="AJ105">
        <v>0</v>
      </c>
      <c r="AK105">
        <v>5370.6900000000023</v>
      </c>
      <c r="AL105">
        <v>87722.849999999962</v>
      </c>
      <c r="AM105">
        <v>89607.030000000188</v>
      </c>
      <c r="AN105">
        <v>1884.1800000000019</v>
      </c>
      <c r="AO105">
        <v>1453</v>
      </c>
    </row>
    <row r="106" spans="1:41" x14ac:dyDescent="0.35">
      <c r="A106">
        <v>2024</v>
      </c>
      <c r="B106">
        <v>4</v>
      </c>
      <c r="C106">
        <v>16</v>
      </c>
      <c r="D106" s="14">
        <v>45402</v>
      </c>
      <c r="E106" t="s">
        <v>44</v>
      </c>
      <c r="F106" t="s">
        <v>42</v>
      </c>
      <c r="G106" t="s">
        <v>45</v>
      </c>
      <c r="H106">
        <v>117656.5</v>
      </c>
      <c r="I106">
        <v>117656.5</v>
      </c>
      <c r="J106">
        <v>0</v>
      </c>
      <c r="K106">
        <v>792.56000000000313</v>
      </c>
      <c r="L106">
        <v>792.56000000000313</v>
      </c>
      <c r="M106">
        <v>0</v>
      </c>
      <c r="N106">
        <v>5682.159999999948</v>
      </c>
      <c r="O106">
        <v>5682.159999999948</v>
      </c>
      <c r="P106">
        <v>0</v>
      </c>
      <c r="Q106">
        <v>-18926.349999999999</v>
      </c>
      <c r="R106">
        <v>-18399.75</v>
      </c>
      <c r="S106">
        <v>526.6</v>
      </c>
      <c r="T106">
        <v>-6.0900000000000007</v>
      </c>
      <c r="U106">
        <v>-6.0900000000000007</v>
      </c>
      <c r="V106">
        <v>0</v>
      </c>
      <c r="W106">
        <v>-136.47</v>
      </c>
      <c r="X106">
        <v>-136.47</v>
      </c>
      <c r="Y106">
        <v>0</v>
      </c>
      <c r="Z106">
        <v>105062.31000000058</v>
      </c>
      <c r="AA106">
        <v>105588.91000000059</v>
      </c>
      <c r="AB106">
        <v>526.6</v>
      </c>
      <c r="AC106">
        <v>19207.839999999866</v>
      </c>
      <c r="AD106">
        <v>9047.1200000000063</v>
      </c>
      <c r="AE106">
        <v>-10160.71999999999</v>
      </c>
      <c r="AF106">
        <v>85854.470000000205</v>
      </c>
      <c r="AG106">
        <v>96541.79000000043</v>
      </c>
      <c r="AH106">
        <v>10687.319999999983</v>
      </c>
      <c r="AI106">
        <v>-4849.4699999999993</v>
      </c>
      <c r="AJ106">
        <v>0</v>
      </c>
      <c r="AK106">
        <v>4849.4699999999993</v>
      </c>
      <c r="AL106">
        <v>90703.94</v>
      </c>
      <c r="AM106">
        <v>96541.79000000043</v>
      </c>
      <c r="AN106">
        <v>5837.8500000000358</v>
      </c>
      <c r="AO106">
        <v>1551</v>
      </c>
    </row>
    <row r="107" spans="1:41" x14ac:dyDescent="0.35">
      <c r="A107">
        <v>2024</v>
      </c>
      <c r="B107">
        <v>4</v>
      </c>
      <c r="C107">
        <v>16</v>
      </c>
      <c r="D107" s="14">
        <v>45396</v>
      </c>
      <c r="E107" t="s">
        <v>44</v>
      </c>
      <c r="F107" t="s">
        <v>42</v>
      </c>
      <c r="G107" t="s">
        <v>46</v>
      </c>
      <c r="H107">
        <v>15536.889999999992</v>
      </c>
      <c r="I107">
        <v>15536.889999999992</v>
      </c>
      <c r="J107">
        <v>0</v>
      </c>
      <c r="K107">
        <v>104.52999999999993</v>
      </c>
      <c r="L107">
        <v>104.52999999999993</v>
      </c>
      <c r="M107">
        <v>0</v>
      </c>
      <c r="N107">
        <v>514.6500000000002</v>
      </c>
      <c r="O107">
        <v>514.6500000000002</v>
      </c>
      <c r="P107">
        <v>0</v>
      </c>
      <c r="Q107">
        <v>-5519.33</v>
      </c>
      <c r="R107">
        <v>-5290.33</v>
      </c>
      <c r="S107">
        <v>229</v>
      </c>
      <c r="T107">
        <v>0</v>
      </c>
      <c r="U107">
        <v>0</v>
      </c>
      <c r="V107">
        <v>0</v>
      </c>
      <c r="W107">
        <v>-10</v>
      </c>
      <c r="X107">
        <v>-10</v>
      </c>
      <c r="Y107">
        <v>0</v>
      </c>
      <c r="Z107">
        <v>10626.739999999985</v>
      </c>
      <c r="AA107">
        <v>10855.739999999985</v>
      </c>
      <c r="AB107">
        <v>229</v>
      </c>
      <c r="AC107">
        <v>3342.4100000000053</v>
      </c>
      <c r="AD107">
        <v>746.52999999999986</v>
      </c>
      <c r="AE107">
        <v>-2595.8800000000019</v>
      </c>
      <c r="AF107">
        <v>7284.3299999999908</v>
      </c>
      <c r="AG107">
        <v>10109.20999999999</v>
      </c>
      <c r="AH107">
        <v>2824.8800000000019</v>
      </c>
      <c r="AI107">
        <v>-340.46999999999997</v>
      </c>
      <c r="AJ107">
        <v>0</v>
      </c>
      <c r="AK107">
        <v>340.46999999999997</v>
      </c>
      <c r="AL107">
        <v>7624.7999999999965</v>
      </c>
      <c r="AM107">
        <v>10109.20999999999</v>
      </c>
      <c r="AN107">
        <v>2484.4100000000026</v>
      </c>
      <c r="AO107">
        <v>182</v>
      </c>
    </row>
    <row r="108" spans="1:41" x14ac:dyDescent="0.35">
      <c r="A108">
        <v>2024</v>
      </c>
      <c r="B108">
        <v>4</v>
      </c>
      <c r="C108">
        <v>16</v>
      </c>
      <c r="D108" s="14">
        <v>45397</v>
      </c>
      <c r="E108" t="s">
        <v>44</v>
      </c>
      <c r="F108" t="s">
        <v>42</v>
      </c>
      <c r="G108" t="s">
        <v>46</v>
      </c>
      <c r="H108">
        <v>22705.489999999983</v>
      </c>
      <c r="I108">
        <v>22705.489999999983</v>
      </c>
      <c r="J108">
        <v>0</v>
      </c>
      <c r="K108">
        <v>94.669999999999959</v>
      </c>
      <c r="L108">
        <v>94.669999999999959</v>
      </c>
      <c r="M108">
        <v>0</v>
      </c>
      <c r="N108">
        <v>695.57000000000028</v>
      </c>
      <c r="O108">
        <v>695.57000000000028</v>
      </c>
      <c r="P108">
        <v>0</v>
      </c>
      <c r="Q108">
        <v>-7963.3399999999892</v>
      </c>
      <c r="R108">
        <v>-7897.3399999999892</v>
      </c>
      <c r="S108">
        <v>66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15532.389999999981</v>
      </c>
      <c r="AA108">
        <v>15598.389999999981</v>
      </c>
      <c r="AB108">
        <v>66</v>
      </c>
      <c r="AC108">
        <v>3074.5100000000048</v>
      </c>
      <c r="AD108">
        <v>2322.7700000000027</v>
      </c>
      <c r="AE108">
        <v>-751.74</v>
      </c>
      <c r="AF108">
        <v>12457.879999999996</v>
      </c>
      <c r="AG108">
        <v>13275.619999999994</v>
      </c>
      <c r="AH108">
        <v>817.74</v>
      </c>
      <c r="AI108">
        <v>-948.92999999999938</v>
      </c>
      <c r="AJ108">
        <v>0</v>
      </c>
      <c r="AK108">
        <v>948.92999999999938</v>
      </c>
      <c r="AL108">
        <v>13406.809999999992</v>
      </c>
      <c r="AM108">
        <v>13275.619999999994</v>
      </c>
      <c r="AN108">
        <v>-131.1900000000002</v>
      </c>
      <c r="AO108">
        <v>261</v>
      </c>
    </row>
    <row r="109" spans="1:41" x14ac:dyDescent="0.35">
      <c r="A109">
        <v>2024</v>
      </c>
      <c r="B109">
        <v>4</v>
      </c>
      <c r="C109">
        <v>16</v>
      </c>
      <c r="D109" s="14">
        <v>45398</v>
      </c>
      <c r="E109" t="s">
        <v>44</v>
      </c>
      <c r="F109" t="s">
        <v>42</v>
      </c>
      <c r="G109" t="s">
        <v>46</v>
      </c>
      <c r="H109">
        <v>14779.94999999999</v>
      </c>
      <c r="I109">
        <v>14779.94999999999</v>
      </c>
      <c r="J109">
        <v>0</v>
      </c>
      <c r="K109">
        <v>57.110000000000028</v>
      </c>
      <c r="L109">
        <v>57.110000000000028</v>
      </c>
      <c r="M109">
        <v>0</v>
      </c>
      <c r="N109">
        <v>358.78000000000014</v>
      </c>
      <c r="O109">
        <v>358.78000000000014</v>
      </c>
      <c r="P109">
        <v>0</v>
      </c>
      <c r="Q109">
        <v>-5091.1400000000003</v>
      </c>
      <c r="R109">
        <v>-4972.1400000000012</v>
      </c>
      <c r="S109">
        <v>119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10104.699999999993</v>
      </c>
      <c r="AA109">
        <v>10223.699999999993</v>
      </c>
      <c r="AB109">
        <v>119.00000000000001</v>
      </c>
      <c r="AC109">
        <v>2897.3200000000033</v>
      </c>
      <c r="AD109">
        <v>598.85</v>
      </c>
      <c r="AE109">
        <v>-2298.4700000000012</v>
      </c>
      <c r="AF109">
        <v>7207.3799999999892</v>
      </c>
      <c r="AG109">
        <v>9624.8499999999949</v>
      </c>
      <c r="AH109">
        <v>2417.4700000000012</v>
      </c>
      <c r="AI109">
        <v>-142.13999999999999</v>
      </c>
      <c r="AJ109">
        <v>0</v>
      </c>
      <c r="AK109">
        <v>142.13999999999999</v>
      </c>
      <c r="AL109">
        <v>7349.5199999999913</v>
      </c>
      <c r="AM109">
        <v>9624.8499999999949</v>
      </c>
      <c r="AN109">
        <v>2275.3300000000004</v>
      </c>
      <c r="AO109">
        <v>174</v>
      </c>
    </row>
    <row r="110" spans="1:41" x14ac:dyDescent="0.35">
      <c r="A110">
        <v>2024</v>
      </c>
      <c r="B110">
        <v>4</v>
      </c>
      <c r="C110">
        <v>16</v>
      </c>
      <c r="D110" s="14">
        <v>45399</v>
      </c>
      <c r="E110" t="s">
        <v>44</v>
      </c>
      <c r="F110" t="s">
        <v>42</v>
      </c>
      <c r="G110" t="s">
        <v>46</v>
      </c>
      <c r="H110">
        <v>32444.88999999997</v>
      </c>
      <c r="I110">
        <v>32444.88999999997</v>
      </c>
      <c r="J110">
        <v>0</v>
      </c>
      <c r="K110">
        <v>173.9</v>
      </c>
      <c r="L110">
        <v>173.9</v>
      </c>
      <c r="M110">
        <v>0</v>
      </c>
      <c r="N110">
        <v>684.5500000000003</v>
      </c>
      <c r="O110">
        <v>684.5500000000003</v>
      </c>
      <c r="P110">
        <v>0</v>
      </c>
      <c r="Q110">
        <v>-10788.569999999982</v>
      </c>
      <c r="R110">
        <v>-10774.569999999982</v>
      </c>
      <c r="S110">
        <v>14</v>
      </c>
      <c r="T110">
        <v>0</v>
      </c>
      <c r="U110">
        <v>0</v>
      </c>
      <c r="V110">
        <v>0</v>
      </c>
      <c r="W110">
        <v>-5</v>
      </c>
      <c r="X110">
        <v>-5</v>
      </c>
      <c r="Y110">
        <v>0</v>
      </c>
      <c r="Z110">
        <v>22509.770000000011</v>
      </c>
      <c r="AA110">
        <v>22523.770000000011</v>
      </c>
      <c r="AB110">
        <v>14</v>
      </c>
      <c r="AC110">
        <v>4834.3600000000115</v>
      </c>
      <c r="AD110">
        <v>4235.5100000000102</v>
      </c>
      <c r="AE110">
        <v>-598.84999999999991</v>
      </c>
      <c r="AF110">
        <v>17675.410000000022</v>
      </c>
      <c r="AG110">
        <v>18288.260000000024</v>
      </c>
      <c r="AH110">
        <v>612.84999999999991</v>
      </c>
      <c r="AI110">
        <v>-1408.0800000000004</v>
      </c>
      <c r="AJ110">
        <v>0</v>
      </c>
      <c r="AK110">
        <v>1408.0800000000004</v>
      </c>
      <c r="AL110">
        <v>19083.490000000002</v>
      </c>
      <c r="AM110">
        <v>18288.260000000024</v>
      </c>
      <c r="AN110">
        <v>-795.23000000000013</v>
      </c>
      <c r="AO110">
        <v>391</v>
      </c>
    </row>
    <row r="111" spans="1:41" x14ac:dyDescent="0.35">
      <c r="A111">
        <v>2024</v>
      </c>
      <c r="B111">
        <v>4</v>
      </c>
      <c r="C111">
        <v>16</v>
      </c>
      <c r="D111" s="14">
        <v>45400</v>
      </c>
      <c r="E111" t="s">
        <v>44</v>
      </c>
      <c r="F111" t="s">
        <v>42</v>
      </c>
      <c r="G111" t="s">
        <v>46</v>
      </c>
      <c r="H111">
        <v>35693.589999999967</v>
      </c>
      <c r="I111">
        <v>35693.589999999967</v>
      </c>
      <c r="J111">
        <v>0</v>
      </c>
      <c r="K111">
        <v>231.88</v>
      </c>
      <c r="L111">
        <v>231.88</v>
      </c>
      <c r="M111">
        <v>0</v>
      </c>
      <c r="N111">
        <v>916.41000000000042</v>
      </c>
      <c r="O111">
        <v>916.41000000000042</v>
      </c>
      <c r="P111">
        <v>0</v>
      </c>
      <c r="Q111">
        <v>-12083.189999999979</v>
      </c>
      <c r="R111">
        <v>-11835.189999999979</v>
      </c>
      <c r="S111">
        <v>248</v>
      </c>
      <c r="T111">
        <v>-10.5</v>
      </c>
      <c r="U111">
        <v>-10.5</v>
      </c>
      <c r="V111">
        <v>0</v>
      </c>
      <c r="W111">
        <v>-5</v>
      </c>
      <c r="X111">
        <v>-5</v>
      </c>
      <c r="Y111">
        <v>0</v>
      </c>
      <c r="Z111">
        <v>24743.190000000021</v>
      </c>
      <c r="AA111">
        <v>24991.190000000021</v>
      </c>
      <c r="AB111">
        <v>248</v>
      </c>
      <c r="AC111">
        <v>6906.7100000000146</v>
      </c>
      <c r="AD111">
        <v>2775.3500000000031</v>
      </c>
      <c r="AE111">
        <v>-4131.360000000006</v>
      </c>
      <c r="AF111">
        <v>17836.480000000025</v>
      </c>
      <c r="AG111">
        <v>22215.840000000026</v>
      </c>
      <c r="AH111">
        <v>4379.360000000006</v>
      </c>
      <c r="AI111">
        <v>-786.0500000000003</v>
      </c>
      <c r="AJ111">
        <v>0</v>
      </c>
      <c r="AK111">
        <v>786.0500000000003</v>
      </c>
      <c r="AL111">
        <v>18622.530000000006</v>
      </c>
      <c r="AM111">
        <v>22215.840000000026</v>
      </c>
      <c r="AN111">
        <v>3593.3100000000059</v>
      </c>
      <c r="AO111">
        <v>428</v>
      </c>
    </row>
    <row r="112" spans="1:41" x14ac:dyDescent="0.35">
      <c r="A112">
        <v>2024</v>
      </c>
      <c r="B112">
        <v>4</v>
      </c>
      <c r="C112">
        <v>16</v>
      </c>
      <c r="D112" s="14">
        <v>45401</v>
      </c>
      <c r="E112" t="s">
        <v>44</v>
      </c>
      <c r="F112" t="s">
        <v>42</v>
      </c>
      <c r="G112" t="s">
        <v>46</v>
      </c>
      <c r="H112">
        <v>37797.299999999967</v>
      </c>
      <c r="I112">
        <v>37797.299999999967</v>
      </c>
      <c r="J112">
        <v>0</v>
      </c>
      <c r="K112">
        <v>341.31999999999965</v>
      </c>
      <c r="L112">
        <v>341.31999999999965</v>
      </c>
      <c r="M112">
        <v>0</v>
      </c>
      <c r="N112">
        <v>1100.3400000000004</v>
      </c>
      <c r="O112">
        <v>1084.3500000000004</v>
      </c>
      <c r="P112">
        <v>-15.99</v>
      </c>
      <c r="Q112">
        <v>-12682.429999999975</v>
      </c>
      <c r="R112">
        <v>-12682.429999999975</v>
      </c>
      <c r="S112">
        <v>0</v>
      </c>
      <c r="T112">
        <v>0</v>
      </c>
      <c r="U112">
        <v>0</v>
      </c>
      <c r="V112">
        <v>0</v>
      </c>
      <c r="W112">
        <v>-5</v>
      </c>
      <c r="X112">
        <v>-5</v>
      </c>
      <c r="Y112">
        <v>0</v>
      </c>
      <c r="Z112">
        <v>26551.529999999992</v>
      </c>
      <c r="AA112">
        <v>26535.53999999999</v>
      </c>
      <c r="AB112">
        <v>-15.990000000000009</v>
      </c>
      <c r="AC112">
        <v>6894.6000000000186</v>
      </c>
      <c r="AD112">
        <v>4152.0000000000091</v>
      </c>
      <c r="AE112">
        <v>-2742.6000000000031</v>
      </c>
      <c r="AF112">
        <v>19656.93000000004</v>
      </c>
      <c r="AG112">
        <v>22383.540000000023</v>
      </c>
      <c r="AH112">
        <v>2726.6100000000024</v>
      </c>
      <c r="AI112">
        <v>-985.44999999999834</v>
      </c>
      <c r="AJ112">
        <v>0</v>
      </c>
      <c r="AK112">
        <v>985.44999999999834</v>
      </c>
      <c r="AL112">
        <v>20642.379999999997</v>
      </c>
      <c r="AM112">
        <v>22383.540000000023</v>
      </c>
      <c r="AN112">
        <v>1741.1599999999994</v>
      </c>
      <c r="AO112">
        <v>462</v>
      </c>
    </row>
    <row r="113" spans="1:41" x14ac:dyDescent="0.35">
      <c r="A113">
        <v>2024</v>
      </c>
      <c r="B113">
        <v>4</v>
      </c>
      <c r="C113">
        <v>16</v>
      </c>
      <c r="D113" s="14">
        <v>45402</v>
      </c>
      <c r="E113" t="s">
        <v>44</v>
      </c>
      <c r="F113" t="s">
        <v>42</v>
      </c>
      <c r="G113" t="s">
        <v>46</v>
      </c>
      <c r="H113">
        <v>42373.879999999961</v>
      </c>
      <c r="I113">
        <v>42373.879999999961</v>
      </c>
      <c r="J113">
        <v>0</v>
      </c>
      <c r="K113">
        <v>367.49999999999937</v>
      </c>
      <c r="L113">
        <v>367.49999999999937</v>
      </c>
      <c r="M113">
        <v>0</v>
      </c>
      <c r="N113">
        <v>1265.2200000000005</v>
      </c>
      <c r="O113">
        <v>1265.2200000000005</v>
      </c>
      <c r="P113">
        <v>0</v>
      </c>
      <c r="Q113">
        <v>-14705.27999999997</v>
      </c>
      <c r="R113">
        <v>-14486.27999999997</v>
      </c>
      <c r="S113">
        <v>219</v>
      </c>
      <c r="T113">
        <v>0</v>
      </c>
      <c r="U113">
        <v>0</v>
      </c>
      <c r="V113">
        <v>0</v>
      </c>
      <c r="W113">
        <v>-5</v>
      </c>
      <c r="X113">
        <v>-5</v>
      </c>
      <c r="Y113">
        <v>0</v>
      </c>
      <c r="Z113">
        <v>29296.32</v>
      </c>
      <c r="AA113">
        <v>29515.32</v>
      </c>
      <c r="AB113">
        <v>219</v>
      </c>
      <c r="AC113">
        <v>7866.0000000000236</v>
      </c>
      <c r="AD113">
        <v>3760.5900000000065</v>
      </c>
      <c r="AE113">
        <v>-4105.410000000008</v>
      </c>
      <c r="AF113">
        <v>21430.320000000043</v>
      </c>
      <c r="AG113">
        <v>25754.730000000029</v>
      </c>
      <c r="AH113">
        <v>4324.410000000008</v>
      </c>
      <c r="AI113">
        <v>-1065.5</v>
      </c>
      <c r="AJ113">
        <v>0</v>
      </c>
      <c r="AK113">
        <v>1065.5</v>
      </c>
      <c r="AL113">
        <v>22495.82</v>
      </c>
      <c r="AM113">
        <v>25754.730000000029</v>
      </c>
      <c r="AN113">
        <v>3258.9100000000094</v>
      </c>
      <c r="AO113">
        <v>502</v>
      </c>
    </row>
    <row r="114" spans="1:41" x14ac:dyDescent="0.35">
      <c r="A114">
        <v>2024</v>
      </c>
      <c r="B114">
        <v>4</v>
      </c>
      <c r="C114">
        <v>16</v>
      </c>
      <c r="D114" s="14">
        <v>45396</v>
      </c>
      <c r="E114" t="s">
        <v>44</v>
      </c>
      <c r="F114" t="s">
        <v>47</v>
      </c>
      <c r="G114" t="s">
        <v>48</v>
      </c>
      <c r="H114">
        <v>8065.6999999999935</v>
      </c>
      <c r="I114">
        <v>8065.6999999999935</v>
      </c>
      <c r="J114">
        <v>0</v>
      </c>
      <c r="K114">
        <v>76</v>
      </c>
      <c r="L114">
        <v>76</v>
      </c>
      <c r="M114">
        <v>0</v>
      </c>
      <c r="N114">
        <v>15.99</v>
      </c>
      <c r="O114">
        <v>15.99</v>
      </c>
      <c r="P114">
        <v>0</v>
      </c>
      <c r="Q114">
        <v>-768.80000000000018</v>
      </c>
      <c r="R114">
        <v>-768.80000000000018</v>
      </c>
      <c r="S114">
        <v>0</v>
      </c>
      <c r="T114">
        <v>-19.630000000000003</v>
      </c>
      <c r="U114">
        <v>-19.630000000000003</v>
      </c>
      <c r="V114">
        <v>0</v>
      </c>
      <c r="W114">
        <v>0</v>
      </c>
      <c r="X114">
        <v>0</v>
      </c>
      <c r="Y114">
        <v>0</v>
      </c>
      <c r="Z114">
        <v>7369.2599999999939</v>
      </c>
      <c r="AA114">
        <v>7369.2599999999939</v>
      </c>
      <c r="AB114">
        <v>0</v>
      </c>
      <c r="AC114">
        <v>5.71</v>
      </c>
      <c r="AE114">
        <v>-5.71</v>
      </c>
      <c r="AF114">
        <v>7363.5499999999938</v>
      </c>
      <c r="AG114">
        <v>7369.2599999999939</v>
      </c>
      <c r="AH114">
        <v>5.7099999999999937</v>
      </c>
      <c r="AI114">
        <v>3242.1999999999985</v>
      </c>
      <c r="AJ114">
        <v>0</v>
      </c>
      <c r="AK114">
        <v>-3242.1999999999985</v>
      </c>
      <c r="AL114">
        <v>4121.3500000000049</v>
      </c>
      <c r="AM114">
        <v>7369.2599999999939</v>
      </c>
      <c r="AN114">
        <v>3247.9099999999989</v>
      </c>
      <c r="AO114">
        <v>173</v>
      </c>
    </row>
    <row r="115" spans="1:41" x14ac:dyDescent="0.35">
      <c r="A115">
        <v>2024</v>
      </c>
      <c r="B115">
        <v>4</v>
      </c>
      <c r="C115">
        <v>16</v>
      </c>
      <c r="D115" s="14">
        <v>45397</v>
      </c>
      <c r="E115" t="s">
        <v>44</v>
      </c>
      <c r="F115" t="s">
        <v>47</v>
      </c>
      <c r="G115" t="s">
        <v>48</v>
      </c>
      <c r="H115">
        <v>7343.8000000000011</v>
      </c>
      <c r="I115">
        <v>7343.8000000000011</v>
      </c>
      <c r="J115">
        <v>0</v>
      </c>
      <c r="K115">
        <v>110</v>
      </c>
      <c r="L115">
        <v>110</v>
      </c>
      <c r="M115">
        <v>0</v>
      </c>
      <c r="N115">
        <v>0</v>
      </c>
      <c r="O115">
        <v>0</v>
      </c>
      <c r="P115">
        <v>0</v>
      </c>
      <c r="Q115">
        <v>-1777.9</v>
      </c>
      <c r="R115">
        <v>-1777.9</v>
      </c>
      <c r="S115">
        <v>0</v>
      </c>
      <c r="T115">
        <v>-17.600000000000001</v>
      </c>
      <c r="U115">
        <v>-17.600000000000001</v>
      </c>
      <c r="V115">
        <v>0</v>
      </c>
      <c r="W115">
        <v>0</v>
      </c>
      <c r="X115">
        <v>0</v>
      </c>
      <c r="Y115">
        <v>0</v>
      </c>
      <c r="Z115">
        <v>5658.3000000000011</v>
      </c>
      <c r="AA115">
        <v>5658.3000000000011</v>
      </c>
      <c r="AB115">
        <v>0</v>
      </c>
      <c r="AC115">
        <v>21.66</v>
      </c>
      <c r="AD115">
        <v>21.66</v>
      </c>
      <c r="AE115">
        <v>0</v>
      </c>
      <c r="AF115">
        <v>5636.6400000000012</v>
      </c>
      <c r="AG115">
        <v>5636.6400000000012</v>
      </c>
      <c r="AH115">
        <v>0</v>
      </c>
      <c r="AI115">
        <v>2076.0000000000014</v>
      </c>
      <c r="AJ115">
        <v>0</v>
      </c>
      <c r="AK115">
        <v>-2076.0000000000014</v>
      </c>
      <c r="AL115">
        <v>3560.6399999999985</v>
      </c>
      <c r="AM115">
        <v>5636.6400000000012</v>
      </c>
      <c r="AN115">
        <v>2076.0000000000014</v>
      </c>
      <c r="AO115">
        <v>120</v>
      </c>
    </row>
    <row r="116" spans="1:41" x14ac:dyDescent="0.35">
      <c r="A116">
        <v>2024</v>
      </c>
      <c r="B116">
        <v>4</v>
      </c>
      <c r="C116">
        <v>16</v>
      </c>
      <c r="D116" s="14">
        <v>45398</v>
      </c>
      <c r="E116" t="s">
        <v>44</v>
      </c>
      <c r="F116" t="s">
        <v>47</v>
      </c>
      <c r="G116" t="s">
        <v>48</v>
      </c>
      <c r="H116">
        <v>305</v>
      </c>
      <c r="I116">
        <v>305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-98.7</v>
      </c>
      <c r="R116">
        <v>-98.7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206.3</v>
      </c>
      <c r="AA116">
        <v>206.3</v>
      </c>
      <c r="AB116">
        <v>0</v>
      </c>
      <c r="AC116">
        <v>21.66</v>
      </c>
      <c r="AE116">
        <v>-21.66</v>
      </c>
      <c r="AF116">
        <v>184.64</v>
      </c>
      <c r="AG116">
        <v>206.3</v>
      </c>
      <c r="AH116">
        <v>21.659999999999997</v>
      </c>
      <c r="AI116">
        <v>37.78</v>
      </c>
      <c r="AJ116">
        <v>0</v>
      </c>
      <c r="AK116">
        <v>-37.78</v>
      </c>
      <c r="AL116">
        <v>146.86000000000001</v>
      </c>
      <c r="AM116">
        <v>206.3</v>
      </c>
      <c r="AN116">
        <v>59.44</v>
      </c>
      <c r="AO116">
        <v>4</v>
      </c>
    </row>
    <row r="117" spans="1:41" x14ac:dyDescent="0.35">
      <c r="A117">
        <v>2024</v>
      </c>
      <c r="B117">
        <v>4</v>
      </c>
      <c r="C117">
        <v>16</v>
      </c>
      <c r="D117" s="14">
        <v>45399</v>
      </c>
      <c r="E117" t="s">
        <v>44</v>
      </c>
      <c r="F117" t="s">
        <v>47</v>
      </c>
      <c r="G117" t="s">
        <v>48</v>
      </c>
      <c r="H117">
        <v>1624.9999999999984</v>
      </c>
      <c r="I117">
        <v>1624.9999999999984</v>
      </c>
      <c r="J117">
        <v>0</v>
      </c>
      <c r="K117">
        <v>429.7999999999999</v>
      </c>
      <c r="L117">
        <v>429.7999999999999</v>
      </c>
      <c r="M117">
        <v>0</v>
      </c>
      <c r="N117">
        <v>15.99</v>
      </c>
      <c r="O117">
        <v>15.99</v>
      </c>
      <c r="P117">
        <v>0</v>
      </c>
      <c r="Q117">
        <v>-84.4</v>
      </c>
      <c r="R117">
        <v>-84.4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1986.3899999999985</v>
      </c>
      <c r="AA117">
        <v>1986.3899999999985</v>
      </c>
      <c r="AB117">
        <v>0</v>
      </c>
      <c r="AC117">
        <v>13.71</v>
      </c>
      <c r="AD117">
        <v>13.71</v>
      </c>
      <c r="AE117">
        <v>0</v>
      </c>
      <c r="AF117">
        <v>1972.6799999999985</v>
      </c>
      <c r="AG117">
        <v>1972.6799999999985</v>
      </c>
      <c r="AH117">
        <v>0</v>
      </c>
      <c r="AI117">
        <v>626.07000000000028</v>
      </c>
      <c r="AJ117">
        <v>0</v>
      </c>
      <c r="AK117">
        <v>-626.07000000000028</v>
      </c>
      <c r="AL117">
        <v>1346.6100000000004</v>
      </c>
      <c r="AM117">
        <v>1972.6799999999985</v>
      </c>
      <c r="AN117">
        <v>626.07000000000028</v>
      </c>
      <c r="AO117">
        <v>69</v>
      </c>
    </row>
    <row r="118" spans="1:41" x14ac:dyDescent="0.35">
      <c r="A118">
        <v>2024</v>
      </c>
      <c r="B118">
        <v>4</v>
      </c>
      <c r="C118">
        <v>16</v>
      </c>
      <c r="D118" s="14">
        <v>45400</v>
      </c>
      <c r="E118" t="s">
        <v>44</v>
      </c>
      <c r="F118" t="s">
        <v>47</v>
      </c>
      <c r="G118" t="s">
        <v>48</v>
      </c>
      <c r="H118">
        <v>8416.5000000000109</v>
      </c>
      <c r="I118">
        <v>8416.5000000000109</v>
      </c>
      <c r="J118">
        <v>0</v>
      </c>
      <c r="K118">
        <v>450.59999999999991</v>
      </c>
      <c r="L118">
        <v>450.59999999999991</v>
      </c>
      <c r="M118">
        <v>0</v>
      </c>
      <c r="N118">
        <v>0</v>
      </c>
      <c r="O118">
        <v>0</v>
      </c>
      <c r="P118">
        <v>0</v>
      </c>
      <c r="Q118">
        <v>-1403.95</v>
      </c>
      <c r="R118">
        <v>-1403.95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7463.1500000000206</v>
      </c>
      <c r="AA118">
        <v>7463.1500000000206</v>
      </c>
      <c r="AB118">
        <v>0</v>
      </c>
      <c r="AC118">
        <v>13.71</v>
      </c>
      <c r="AE118">
        <v>-13.71</v>
      </c>
      <c r="AF118">
        <v>7449.4400000000205</v>
      </c>
      <c r="AG118">
        <v>7463.1500000000206</v>
      </c>
      <c r="AH118">
        <v>13.709999999999994</v>
      </c>
      <c r="AI118">
        <v>3134.3199999999883</v>
      </c>
      <c r="AJ118">
        <v>0</v>
      </c>
      <c r="AK118">
        <v>-3134.3199999999883</v>
      </c>
      <c r="AL118">
        <v>4315.1200000000044</v>
      </c>
      <c r="AM118">
        <v>7463.1500000000206</v>
      </c>
      <c r="AN118">
        <v>3148.0299999999879</v>
      </c>
      <c r="AO118">
        <v>271</v>
      </c>
    </row>
    <row r="119" spans="1:41" x14ac:dyDescent="0.35">
      <c r="A119">
        <v>2024</v>
      </c>
      <c r="B119">
        <v>4</v>
      </c>
      <c r="C119">
        <v>16</v>
      </c>
      <c r="D119" s="14">
        <v>45401</v>
      </c>
      <c r="E119" t="s">
        <v>44</v>
      </c>
      <c r="F119" t="s">
        <v>47</v>
      </c>
      <c r="G119" t="s">
        <v>48</v>
      </c>
      <c r="H119">
        <v>14268.049999999965</v>
      </c>
      <c r="I119">
        <v>14268.049999999965</v>
      </c>
      <c r="J119">
        <v>0</v>
      </c>
      <c r="K119">
        <v>571.4</v>
      </c>
      <c r="L119">
        <v>571.4</v>
      </c>
      <c r="M119">
        <v>0</v>
      </c>
      <c r="N119">
        <v>130.93</v>
      </c>
      <c r="O119">
        <v>130.93</v>
      </c>
      <c r="P119">
        <v>0</v>
      </c>
      <c r="Q119">
        <v>-3473.2999999999997</v>
      </c>
      <c r="R119">
        <v>-3473.2999999999997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11497.079999999982</v>
      </c>
      <c r="AA119">
        <v>11497.079999999982</v>
      </c>
      <c r="AB119">
        <v>0</v>
      </c>
      <c r="AC119">
        <v>35.590000000000003</v>
      </c>
      <c r="AD119">
        <v>35.590000000000003</v>
      </c>
      <c r="AE119">
        <v>0</v>
      </c>
      <c r="AF119">
        <v>11461.489999999983</v>
      </c>
      <c r="AG119">
        <v>11461.489999999983</v>
      </c>
      <c r="AH119">
        <v>0</v>
      </c>
      <c r="AI119">
        <v>3580.4199999999923</v>
      </c>
      <c r="AJ119">
        <v>0</v>
      </c>
      <c r="AK119">
        <v>-3580.4199999999923</v>
      </c>
      <c r="AL119">
        <v>7881.0700000000124</v>
      </c>
      <c r="AM119">
        <v>11461.489999999983</v>
      </c>
      <c r="AN119">
        <v>3580.4199999999919</v>
      </c>
      <c r="AO119">
        <v>350</v>
      </c>
    </row>
    <row r="120" spans="1:41" x14ac:dyDescent="0.35">
      <c r="A120">
        <v>2024</v>
      </c>
      <c r="B120">
        <v>4</v>
      </c>
      <c r="C120">
        <v>16</v>
      </c>
      <c r="D120" s="14">
        <v>45402</v>
      </c>
      <c r="E120" t="s">
        <v>44</v>
      </c>
      <c r="F120" t="s">
        <v>47</v>
      </c>
      <c r="G120" t="s">
        <v>48</v>
      </c>
      <c r="H120">
        <v>11797.249999999909</v>
      </c>
      <c r="I120">
        <v>11797.249999999909</v>
      </c>
      <c r="J120">
        <v>0</v>
      </c>
      <c r="K120">
        <v>724.60000000000014</v>
      </c>
      <c r="L120">
        <v>724.60000000000014</v>
      </c>
      <c r="M120">
        <v>0</v>
      </c>
      <c r="N120">
        <v>34.980000000000004</v>
      </c>
      <c r="O120">
        <v>34.980000000000004</v>
      </c>
      <c r="P120">
        <v>0</v>
      </c>
      <c r="Q120">
        <v>-2685.8999999999992</v>
      </c>
      <c r="R120">
        <v>-2685.8999999999992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9870.9299999999621</v>
      </c>
      <c r="AA120">
        <v>9870.9299999999621</v>
      </c>
      <c r="AB120">
        <v>0</v>
      </c>
      <c r="AC120">
        <v>60.17</v>
      </c>
      <c r="AD120">
        <v>45.67</v>
      </c>
      <c r="AE120">
        <v>-14.5</v>
      </c>
      <c r="AF120">
        <v>9810.7599999999638</v>
      </c>
      <c r="AG120">
        <v>9825.2599999999638</v>
      </c>
      <c r="AH120">
        <v>14.5</v>
      </c>
      <c r="AI120">
        <v>4544.8499999999913</v>
      </c>
      <c r="AJ120">
        <v>0</v>
      </c>
      <c r="AK120">
        <v>-4544.8499999999913</v>
      </c>
      <c r="AL120">
        <v>5265.9099999999971</v>
      </c>
      <c r="AM120">
        <v>9825.2599999999638</v>
      </c>
      <c r="AN120">
        <v>4559.3499999999913</v>
      </c>
      <c r="AO120">
        <v>332</v>
      </c>
    </row>
    <row r="121" spans="1:41" x14ac:dyDescent="0.35">
      <c r="A121">
        <v>2024</v>
      </c>
      <c r="B121">
        <v>4</v>
      </c>
      <c r="C121">
        <v>16</v>
      </c>
      <c r="D121" s="14">
        <v>45396</v>
      </c>
      <c r="E121" t="s">
        <v>44</v>
      </c>
      <c r="F121" t="s">
        <v>47</v>
      </c>
      <c r="G121" t="s">
        <v>49</v>
      </c>
      <c r="H121">
        <v>9720.15</v>
      </c>
      <c r="I121">
        <v>9720.15</v>
      </c>
      <c r="J121">
        <v>0</v>
      </c>
      <c r="K121">
        <v>311.67999999999995</v>
      </c>
      <c r="L121">
        <v>311.67999999999995</v>
      </c>
      <c r="M121">
        <v>0</v>
      </c>
      <c r="N121">
        <v>57.96</v>
      </c>
      <c r="O121">
        <v>57.96</v>
      </c>
      <c r="P121">
        <v>0</v>
      </c>
      <c r="Q121">
        <v>-3107.3500000000008</v>
      </c>
      <c r="R121">
        <v>-3107.3500000000008</v>
      </c>
      <c r="S121">
        <v>0</v>
      </c>
      <c r="T121">
        <v>-66</v>
      </c>
      <c r="U121">
        <v>-66</v>
      </c>
      <c r="V121">
        <v>0</v>
      </c>
      <c r="W121">
        <v>-5</v>
      </c>
      <c r="X121">
        <v>-5</v>
      </c>
      <c r="Y121">
        <v>0</v>
      </c>
      <c r="Z121">
        <v>6911.4400000000032</v>
      </c>
      <c r="AA121">
        <v>6911.4400000000032</v>
      </c>
      <c r="AB121">
        <v>0</v>
      </c>
      <c r="AC121">
        <v>513.27000000000021</v>
      </c>
      <c r="AD121">
        <v>69.760000000000005</v>
      </c>
      <c r="AE121">
        <v>-443.5100000000001</v>
      </c>
      <c r="AF121">
        <v>6398.1700000000092</v>
      </c>
      <c r="AG121">
        <v>6841.6800000000039</v>
      </c>
      <c r="AH121">
        <v>443.5100000000001</v>
      </c>
      <c r="AI121">
        <v>1054.9200000000005</v>
      </c>
      <c r="AJ121">
        <v>21</v>
      </c>
      <c r="AK121">
        <v>-1033.9200000000008</v>
      </c>
      <c r="AL121">
        <v>5343.25</v>
      </c>
      <c r="AM121">
        <v>6820.6800000000039</v>
      </c>
      <c r="AN121">
        <v>1477.430000000001</v>
      </c>
      <c r="AO121">
        <v>129</v>
      </c>
    </row>
    <row r="122" spans="1:41" x14ac:dyDescent="0.35">
      <c r="A122">
        <v>2024</v>
      </c>
      <c r="B122">
        <v>4</v>
      </c>
      <c r="C122">
        <v>16</v>
      </c>
      <c r="D122" s="14">
        <v>45397</v>
      </c>
      <c r="E122" t="s">
        <v>44</v>
      </c>
      <c r="F122" t="s">
        <v>47</v>
      </c>
      <c r="G122" t="s">
        <v>49</v>
      </c>
      <c r="H122">
        <v>5370</v>
      </c>
      <c r="I122">
        <v>5370</v>
      </c>
      <c r="J122">
        <v>0</v>
      </c>
      <c r="K122">
        <v>121.71</v>
      </c>
      <c r="L122">
        <v>121.71</v>
      </c>
      <c r="M122">
        <v>0</v>
      </c>
      <c r="N122">
        <v>79.960000000000008</v>
      </c>
      <c r="O122">
        <v>79.960000000000008</v>
      </c>
      <c r="P122">
        <v>0</v>
      </c>
      <c r="Q122">
        <v>-1405.9499999999991</v>
      </c>
      <c r="R122">
        <v>-1405.9499999999991</v>
      </c>
      <c r="S122">
        <v>0</v>
      </c>
      <c r="T122">
        <v>-23.8</v>
      </c>
      <c r="U122">
        <v>-23.8</v>
      </c>
      <c r="V122">
        <v>0</v>
      </c>
      <c r="W122">
        <v>0</v>
      </c>
      <c r="X122">
        <v>0</v>
      </c>
      <c r="Y122">
        <v>0</v>
      </c>
      <c r="Z122">
        <v>4141.920000000001</v>
      </c>
      <c r="AA122">
        <v>4141.920000000001</v>
      </c>
      <c r="AB122">
        <v>0</v>
      </c>
      <c r="AC122">
        <v>148.53</v>
      </c>
      <c r="AD122">
        <v>78.77000000000001</v>
      </c>
      <c r="AE122">
        <v>-69.760000000000005</v>
      </c>
      <c r="AF122">
        <v>3993.3900000000008</v>
      </c>
      <c r="AG122">
        <v>4063.150000000001</v>
      </c>
      <c r="AH122">
        <v>69.760000000000005</v>
      </c>
      <c r="AI122">
        <v>961.93999999999949</v>
      </c>
      <c r="AJ122">
        <v>0</v>
      </c>
      <c r="AK122">
        <v>-961.93999999999949</v>
      </c>
      <c r="AL122">
        <v>3031.4500000000007</v>
      </c>
      <c r="AM122">
        <v>4063.150000000001</v>
      </c>
      <c r="AN122">
        <v>1031.6999999999996</v>
      </c>
      <c r="AO122">
        <v>84</v>
      </c>
    </row>
    <row r="123" spans="1:41" x14ac:dyDescent="0.35">
      <c r="A123">
        <v>2024</v>
      </c>
      <c r="B123">
        <v>4</v>
      </c>
      <c r="C123">
        <v>16</v>
      </c>
      <c r="D123" s="14">
        <v>45398</v>
      </c>
      <c r="E123" t="s">
        <v>44</v>
      </c>
      <c r="F123" t="s">
        <v>47</v>
      </c>
      <c r="G123" t="s">
        <v>49</v>
      </c>
      <c r="H123">
        <v>791</v>
      </c>
      <c r="I123">
        <v>791</v>
      </c>
      <c r="J123">
        <v>0</v>
      </c>
      <c r="K123">
        <v>13.799999999999997</v>
      </c>
      <c r="L123">
        <v>13.799999999999997</v>
      </c>
      <c r="M123">
        <v>0</v>
      </c>
      <c r="N123">
        <v>31.98</v>
      </c>
      <c r="O123">
        <v>31.98</v>
      </c>
      <c r="P123">
        <v>0</v>
      </c>
      <c r="Q123">
        <v>-255</v>
      </c>
      <c r="R123">
        <v>-255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581.78</v>
      </c>
      <c r="AA123">
        <v>581.78</v>
      </c>
      <c r="AB123">
        <v>0</v>
      </c>
      <c r="AC123">
        <v>78.77000000000001</v>
      </c>
      <c r="AE123">
        <v>-78.77000000000001</v>
      </c>
      <c r="AF123">
        <v>503.01</v>
      </c>
      <c r="AG123">
        <v>581.78</v>
      </c>
      <c r="AH123">
        <v>78.77000000000001</v>
      </c>
      <c r="AI123">
        <v>8.9499999999999993</v>
      </c>
      <c r="AJ123">
        <v>0</v>
      </c>
      <c r="AK123">
        <v>-8.9499999999999993</v>
      </c>
      <c r="AL123">
        <v>494.06000000000006</v>
      </c>
      <c r="AM123">
        <v>581.78</v>
      </c>
      <c r="AN123">
        <v>87.72</v>
      </c>
      <c r="AO123">
        <v>8</v>
      </c>
    </row>
    <row r="124" spans="1:41" x14ac:dyDescent="0.35">
      <c r="A124">
        <v>2024</v>
      </c>
      <c r="B124">
        <v>4</v>
      </c>
      <c r="C124">
        <v>16</v>
      </c>
      <c r="D124" s="14">
        <v>45399</v>
      </c>
      <c r="E124" t="s">
        <v>44</v>
      </c>
      <c r="F124" t="s">
        <v>47</v>
      </c>
      <c r="G124" t="s">
        <v>49</v>
      </c>
      <c r="H124">
        <v>5833.55</v>
      </c>
      <c r="I124">
        <v>5833.55</v>
      </c>
      <c r="J124">
        <v>0</v>
      </c>
      <c r="K124">
        <v>111.41</v>
      </c>
      <c r="L124">
        <v>111.41</v>
      </c>
      <c r="M124">
        <v>0</v>
      </c>
      <c r="N124">
        <v>98.94</v>
      </c>
      <c r="O124">
        <v>98.94</v>
      </c>
      <c r="P124">
        <v>0</v>
      </c>
      <c r="Q124">
        <v>-2382.0499999999997</v>
      </c>
      <c r="R124">
        <v>-2332.0499999999997</v>
      </c>
      <c r="S124">
        <v>50</v>
      </c>
      <c r="T124">
        <v>-25</v>
      </c>
      <c r="U124">
        <v>-25</v>
      </c>
      <c r="V124">
        <v>0</v>
      </c>
      <c r="W124">
        <v>0</v>
      </c>
      <c r="X124">
        <v>0</v>
      </c>
      <c r="Y124">
        <v>0</v>
      </c>
      <c r="Z124">
        <v>3636.8500000000022</v>
      </c>
      <c r="AA124">
        <v>3686.8500000000022</v>
      </c>
      <c r="AB124">
        <v>50.000000000000014</v>
      </c>
      <c r="AC124">
        <v>107.56</v>
      </c>
      <c r="AD124">
        <v>107.56</v>
      </c>
      <c r="AE124">
        <v>0</v>
      </c>
      <c r="AF124">
        <v>3529.2900000000018</v>
      </c>
      <c r="AG124">
        <v>3579.2900000000018</v>
      </c>
      <c r="AH124">
        <v>50.000000000000014</v>
      </c>
      <c r="AI124">
        <v>489.01999999999992</v>
      </c>
      <c r="AJ124">
        <v>0</v>
      </c>
      <c r="AK124">
        <v>-489.01999999999992</v>
      </c>
      <c r="AL124">
        <v>3040.2700000000009</v>
      </c>
      <c r="AM124">
        <v>3579.2900000000018</v>
      </c>
      <c r="AN124">
        <v>539.0200000000001</v>
      </c>
      <c r="AO124">
        <v>61</v>
      </c>
    </row>
    <row r="125" spans="1:41" x14ac:dyDescent="0.35">
      <c r="A125">
        <v>2024</v>
      </c>
      <c r="B125">
        <v>4</v>
      </c>
      <c r="C125">
        <v>16</v>
      </c>
      <c r="D125" s="14">
        <v>45400</v>
      </c>
      <c r="E125" t="s">
        <v>44</v>
      </c>
      <c r="F125" t="s">
        <v>47</v>
      </c>
      <c r="G125" t="s">
        <v>49</v>
      </c>
      <c r="H125">
        <v>9466.0999999999985</v>
      </c>
      <c r="I125">
        <v>9466.0999999999985</v>
      </c>
      <c r="J125">
        <v>0</v>
      </c>
      <c r="K125">
        <v>111.86</v>
      </c>
      <c r="L125">
        <v>111.86</v>
      </c>
      <c r="M125">
        <v>0</v>
      </c>
      <c r="N125">
        <v>101.94</v>
      </c>
      <c r="O125">
        <v>101.94</v>
      </c>
      <c r="P125">
        <v>0</v>
      </c>
      <c r="Q125">
        <v>-2968.7499999999968</v>
      </c>
      <c r="R125">
        <v>-2947.7499999999968</v>
      </c>
      <c r="S125">
        <v>21</v>
      </c>
      <c r="T125">
        <v>-10</v>
      </c>
      <c r="U125">
        <v>-10</v>
      </c>
      <c r="V125">
        <v>0</v>
      </c>
      <c r="W125">
        <v>-5</v>
      </c>
      <c r="X125">
        <v>-5</v>
      </c>
      <c r="Y125">
        <v>0</v>
      </c>
      <c r="Z125">
        <v>6696.1499999999951</v>
      </c>
      <c r="AA125">
        <v>6717.1499999999951</v>
      </c>
      <c r="AB125">
        <v>21</v>
      </c>
      <c r="AC125">
        <v>394.06999999999994</v>
      </c>
      <c r="AD125">
        <v>286.51000000000005</v>
      </c>
      <c r="AE125">
        <v>-107.56</v>
      </c>
      <c r="AF125">
        <v>6302.0799999999936</v>
      </c>
      <c r="AG125">
        <v>6430.639999999994</v>
      </c>
      <c r="AH125">
        <v>128.56</v>
      </c>
      <c r="AI125">
        <v>1474.3500000000006</v>
      </c>
      <c r="AJ125">
        <v>0</v>
      </c>
      <c r="AK125">
        <v>-1474.3500000000006</v>
      </c>
      <c r="AL125">
        <v>4827.7300000000014</v>
      </c>
      <c r="AM125">
        <v>6430.639999999994</v>
      </c>
      <c r="AN125">
        <v>1602.9100000000003</v>
      </c>
      <c r="AO125">
        <v>130</v>
      </c>
    </row>
    <row r="126" spans="1:41" x14ac:dyDescent="0.35">
      <c r="A126">
        <v>2024</v>
      </c>
      <c r="B126">
        <v>4</v>
      </c>
      <c r="C126">
        <v>16</v>
      </c>
      <c r="D126" s="14">
        <v>45401</v>
      </c>
      <c r="E126" t="s">
        <v>44</v>
      </c>
      <c r="F126" t="s">
        <v>47</v>
      </c>
      <c r="G126" t="s">
        <v>49</v>
      </c>
      <c r="H126">
        <v>13184.549999999992</v>
      </c>
      <c r="I126">
        <v>13184.549999999992</v>
      </c>
      <c r="J126">
        <v>0</v>
      </c>
      <c r="K126">
        <v>137.27000000000004</v>
      </c>
      <c r="L126">
        <v>137.27000000000004</v>
      </c>
      <c r="M126">
        <v>0</v>
      </c>
      <c r="N126">
        <v>105.92999999999999</v>
      </c>
      <c r="O126">
        <v>105.92999999999999</v>
      </c>
      <c r="P126">
        <v>0</v>
      </c>
      <c r="Q126">
        <v>-5084.4499999999971</v>
      </c>
      <c r="R126">
        <v>-5074.4499999999971</v>
      </c>
      <c r="S126">
        <v>10</v>
      </c>
      <c r="T126">
        <v>-17.7</v>
      </c>
      <c r="U126">
        <v>-17.7</v>
      </c>
      <c r="V126">
        <v>0</v>
      </c>
      <c r="W126">
        <v>0</v>
      </c>
      <c r="X126">
        <v>0</v>
      </c>
      <c r="Y126">
        <v>0</v>
      </c>
      <c r="Z126">
        <v>8325.5999999999985</v>
      </c>
      <c r="AA126">
        <v>8335.5999999999985</v>
      </c>
      <c r="AB126">
        <v>10</v>
      </c>
      <c r="AC126">
        <v>503.22</v>
      </c>
      <c r="AD126">
        <v>197.1</v>
      </c>
      <c r="AE126">
        <v>-306.12</v>
      </c>
      <c r="AF126">
        <v>7822.3799999999974</v>
      </c>
      <c r="AG126">
        <v>8138.4999999999973</v>
      </c>
      <c r="AH126">
        <v>316.11999999999995</v>
      </c>
      <c r="AI126">
        <v>1539.3500000000008</v>
      </c>
      <c r="AJ126">
        <v>-28.419999999999998</v>
      </c>
      <c r="AK126">
        <v>-1567.7700000000007</v>
      </c>
      <c r="AL126">
        <v>6283.03</v>
      </c>
      <c r="AM126">
        <v>8166.9199999999973</v>
      </c>
      <c r="AN126">
        <v>1883.8900000000003</v>
      </c>
      <c r="AO126">
        <v>158</v>
      </c>
    </row>
    <row r="127" spans="1:41" x14ac:dyDescent="0.35">
      <c r="A127">
        <v>2024</v>
      </c>
      <c r="B127">
        <v>4</v>
      </c>
      <c r="C127">
        <v>16</v>
      </c>
      <c r="D127" s="14">
        <v>45402</v>
      </c>
      <c r="E127" t="s">
        <v>44</v>
      </c>
      <c r="F127" t="s">
        <v>47</v>
      </c>
      <c r="G127" t="s">
        <v>49</v>
      </c>
      <c r="H127">
        <v>13233.199999999999</v>
      </c>
      <c r="I127">
        <v>13233.199999999999</v>
      </c>
      <c r="J127">
        <v>0</v>
      </c>
      <c r="K127">
        <v>82.86999999999999</v>
      </c>
      <c r="L127">
        <v>82.86999999999999</v>
      </c>
      <c r="M127">
        <v>0</v>
      </c>
      <c r="N127">
        <v>181.89000000000001</v>
      </c>
      <c r="O127">
        <v>181.89000000000001</v>
      </c>
      <c r="P127">
        <v>0</v>
      </c>
      <c r="Q127">
        <v>-4897.0000000000009</v>
      </c>
      <c r="R127">
        <v>-4897.0000000000009</v>
      </c>
      <c r="S127">
        <v>0</v>
      </c>
      <c r="T127">
        <v>-5</v>
      </c>
      <c r="U127">
        <v>-5</v>
      </c>
      <c r="V127">
        <v>0</v>
      </c>
      <c r="W127">
        <v>0</v>
      </c>
      <c r="X127">
        <v>0</v>
      </c>
      <c r="Y127">
        <v>0</v>
      </c>
      <c r="Z127">
        <v>8595.9599999999955</v>
      </c>
      <c r="AA127">
        <v>8595.9599999999955</v>
      </c>
      <c r="AB127">
        <v>0</v>
      </c>
      <c r="AC127">
        <v>436.48</v>
      </c>
      <c r="AD127">
        <v>239.38000000000002</v>
      </c>
      <c r="AE127">
        <v>-197.1</v>
      </c>
      <c r="AF127">
        <v>8159.4799999999959</v>
      </c>
      <c r="AG127">
        <v>8356.5799999999927</v>
      </c>
      <c r="AH127">
        <v>197.10000000000002</v>
      </c>
      <c r="AI127">
        <v>1575.7499999999993</v>
      </c>
      <c r="AJ127">
        <v>0</v>
      </c>
      <c r="AK127">
        <v>-1575.7499999999993</v>
      </c>
      <c r="AL127">
        <v>6583.7300000000023</v>
      </c>
      <c r="AM127">
        <v>8356.5799999999927</v>
      </c>
      <c r="AN127">
        <v>1772.8499999999995</v>
      </c>
      <c r="AO127">
        <v>163</v>
      </c>
    </row>
    <row r="128" spans="1:41" x14ac:dyDescent="0.35">
      <c r="A128">
        <v>2024</v>
      </c>
      <c r="B128">
        <v>4</v>
      </c>
      <c r="C128">
        <v>16</v>
      </c>
      <c r="D128" s="14">
        <v>45396</v>
      </c>
      <c r="E128" t="s">
        <v>44</v>
      </c>
      <c r="F128" t="s">
        <v>47</v>
      </c>
      <c r="G128" t="s">
        <v>50</v>
      </c>
      <c r="H128">
        <v>9079</v>
      </c>
      <c r="I128">
        <v>9079</v>
      </c>
      <c r="J128">
        <v>0</v>
      </c>
      <c r="K128">
        <v>116.61</v>
      </c>
      <c r="L128">
        <v>116.61</v>
      </c>
      <c r="M128">
        <v>0</v>
      </c>
      <c r="N128">
        <v>446.69000000000017</v>
      </c>
      <c r="O128">
        <v>446.69000000000017</v>
      </c>
      <c r="P128">
        <v>0</v>
      </c>
      <c r="Q128">
        <v>-2417.42</v>
      </c>
      <c r="R128">
        <v>-2341.42</v>
      </c>
      <c r="S128">
        <v>76</v>
      </c>
      <c r="T128">
        <v>0</v>
      </c>
      <c r="U128">
        <v>0</v>
      </c>
      <c r="V128">
        <v>0</v>
      </c>
      <c r="W128">
        <v>-18.990000000000002</v>
      </c>
      <c r="X128">
        <v>-18.990000000000002</v>
      </c>
      <c r="Y128">
        <v>0</v>
      </c>
      <c r="Z128">
        <v>7205.8899999999949</v>
      </c>
      <c r="AA128">
        <v>7281.8899999999949</v>
      </c>
      <c r="AB128">
        <v>76</v>
      </c>
      <c r="AC128">
        <v>1420.2300000000002</v>
      </c>
      <c r="AD128">
        <v>350.44</v>
      </c>
      <c r="AE128">
        <v>-1069.7899999999997</v>
      </c>
      <c r="AF128">
        <v>5785.6599999999962</v>
      </c>
      <c r="AG128">
        <v>6931.4499999999962</v>
      </c>
      <c r="AH128">
        <v>1145.79</v>
      </c>
      <c r="AI128">
        <v>-215.62999999999991</v>
      </c>
      <c r="AJ128">
        <v>0</v>
      </c>
      <c r="AK128">
        <v>215.62999999999991</v>
      </c>
      <c r="AL128">
        <v>6001.2899999999991</v>
      </c>
      <c r="AM128">
        <v>6931.4499999999962</v>
      </c>
      <c r="AN128">
        <v>930.15999999999963</v>
      </c>
      <c r="AO128">
        <v>105</v>
      </c>
    </row>
    <row r="129" spans="1:41" x14ac:dyDescent="0.35">
      <c r="A129">
        <v>2024</v>
      </c>
      <c r="B129">
        <v>4</v>
      </c>
      <c r="C129">
        <v>16</v>
      </c>
      <c r="D129" s="14">
        <v>45397</v>
      </c>
      <c r="E129" t="s">
        <v>44</v>
      </c>
      <c r="F129" t="s">
        <v>47</v>
      </c>
      <c r="G129" t="s">
        <v>50</v>
      </c>
      <c r="H129">
        <v>13822.86</v>
      </c>
      <c r="I129">
        <v>13822.86</v>
      </c>
      <c r="J129">
        <v>0</v>
      </c>
      <c r="K129">
        <v>222.04</v>
      </c>
      <c r="L129">
        <v>222.04</v>
      </c>
      <c r="M129">
        <v>0</v>
      </c>
      <c r="N129">
        <v>583.62000000000023</v>
      </c>
      <c r="O129">
        <v>583.62000000000023</v>
      </c>
      <c r="P129">
        <v>0</v>
      </c>
      <c r="Q129">
        <v>-3922.8599999999997</v>
      </c>
      <c r="R129">
        <v>-3912.8599999999997</v>
      </c>
      <c r="S129">
        <v>10</v>
      </c>
      <c r="T129">
        <v>-15</v>
      </c>
      <c r="U129">
        <v>-15</v>
      </c>
      <c r="V129">
        <v>0</v>
      </c>
      <c r="W129">
        <v>-30.990000000000002</v>
      </c>
      <c r="X129">
        <v>-30.990000000000002</v>
      </c>
      <c r="Y129">
        <v>0</v>
      </c>
      <c r="Z129">
        <v>10659.669999999993</v>
      </c>
      <c r="AA129">
        <v>10669.669999999993</v>
      </c>
      <c r="AB129">
        <v>10</v>
      </c>
      <c r="AC129">
        <v>1211.1099999999999</v>
      </c>
      <c r="AD129">
        <v>879.97000000000014</v>
      </c>
      <c r="AE129">
        <v>-331.13999999999993</v>
      </c>
      <c r="AF129">
        <v>9448.5599999999959</v>
      </c>
      <c r="AG129">
        <v>9789.6999999999971</v>
      </c>
      <c r="AH129">
        <v>341.14</v>
      </c>
      <c r="AI129">
        <v>-608.36</v>
      </c>
      <c r="AJ129">
        <v>0</v>
      </c>
      <c r="AK129">
        <v>608.36</v>
      </c>
      <c r="AL129">
        <v>10056.920000000004</v>
      </c>
      <c r="AM129">
        <v>9789.6999999999971</v>
      </c>
      <c r="AN129">
        <v>-267.21999999999991</v>
      </c>
      <c r="AO129">
        <v>160</v>
      </c>
    </row>
    <row r="130" spans="1:41" x14ac:dyDescent="0.35">
      <c r="A130">
        <v>2024</v>
      </c>
      <c r="B130">
        <v>4</v>
      </c>
      <c r="C130">
        <v>16</v>
      </c>
      <c r="D130" s="14">
        <v>45398</v>
      </c>
      <c r="E130" t="s">
        <v>44</v>
      </c>
      <c r="F130" t="s">
        <v>47</v>
      </c>
      <c r="G130" t="s">
        <v>50</v>
      </c>
      <c r="H130">
        <v>8916</v>
      </c>
      <c r="I130">
        <v>8916</v>
      </c>
      <c r="J130">
        <v>0</v>
      </c>
      <c r="K130">
        <v>147.75</v>
      </c>
      <c r="L130">
        <v>147.75</v>
      </c>
      <c r="M130">
        <v>0</v>
      </c>
      <c r="N130">
        <v>471.71000000000021</v>
      </c>
      <c r="O130">
        <v>471.71000000000021</v>
      </c>
      <c r="P130">
        <v>0</v>
      </c>
      <c r="Q130">
        <v>-2706.13</v>
      </c>
      <c r="R130">
        <v>-2586.13</v>
      </c>
      <c r="S130">
        <v>120</v>
      </c>
      <c r="T130">
        <v>-30</v>
      </c>
      <c r="U130">
        <v>-30</v>
      </c>
      <c r="V130">
        <v>0</v>
      </c>
      <c r="W130">
        <v>-8.99</v>
      </c>
      <c r="X130">
        <v>-8.99</v>
      </c>
      <c r="Y130">
        <v>0</v>
      </c>
      <c r="Z130">
        <v>6790.3399999999965</v>
      </c>
      <c r="AA130">
        <v>6910.3399999999974</v>
      </c>
      <c r="AB130">
        <v>120</v>
      </c>
      <c r="AC130">
        <v>1289.4600000000005</v>
      </c>
      <c r="AD130">
        <v>409.49</v>
      </c>
      <c r="AE130">
        <v>-879.9699999999998</v>
      </c>
      <c r="AF130">
        <v>5500.8799999999956</v>
      </c>
      <c r="AG130">
        <v>6500.8499999999967</v>
      </c>
      <c r="AH130">
        <v>999.9699999999998</v>
      </c>
      <c r="AI130">
        <v>-263.74</v>
      </c>
      <c r="AJ130">
        <v>0</v>
      </c>
      <c r="AK130">
        <v>263.74</v>
      </c>
      <c r="AL130">
        <v>5764.6199999999972</v>
      </c>
      <c r="AM130">
        <v>6500.8499999999967</v>
      </c>
      <c r="AN130">
        <v>736.22999999999945</v>
      </c>
      <c r="AO130">
        <v>103</v>
      </c>
    </row>
    <row r="131" spans="1:41" x14ac:dyDescent="0.35">
      <c r="A131">
        <v>2024</v>
      </c>
      <c r="B131">
        <v>4</v>
      </c>
      <c r="C131">
        <v>16</v>
      </c>
      <c r="D131" s="14">
        <v>45399</v>
      </c>
      <c r="E131" t="s">
        <v>44</v>
      </c>
      <c r="F131" t="s">
        <v>47</v>
      </c>
      <c r="G131" t="s">
        <v>50</v>
      </c>
      <c r="H131">
        <v>22858.05</v>
      </c>
      <c r="I131">
        <v>22858.05</v>
      </c>
      <c r="J131">
        <v>0</v>
      </c>
      <c r="K131">
        <v>470.8199999999996</v>
      </c>
      <c r="L131">
        <v>470.8199999999996</v>
      </c>
      <c r="M131">
        <v>0</v>
      </c>
      <c r="N131">
        <v>838.47000000000037</v>
      </c>
      <c r="O131">
        <v>838.47000000000037</v>
      </c>
      <c r="P131">
        <v>0</v>
      </c>
      <c r="Q131">
        <v>-6717.67</v>
      </c>
      <c r="R131">
        <v>-6668.67</v>
      </c>
      <c r="S131">
        <v>49</v>
      </c>
      <c r="T131">
        <v>-30</v>
      </c>
      <c r="U131">
        <v>-30</v>
      </c>
      <c r="V131">
        <v>0</v>
      </c>
      <c r="W131">
        <v>-30.990000000000002</v>
      </c>
      <c r="X131">
        <v>-30.990000000000002</v>
      </c>
      <c r="Y131">
        <v>0</v>
      </c>
      <c r="Z131">
        <v>17388.680000000004</v>
      </c>
      <c r="AA131">
        <v>17437.680000000004</v>
      </c>
      <c r="AB131">
        <v>49</v>
      </c>
      <c r="AC131">
        <v>2278.7000000000021</v>
      </c>
      <c r="AD131">
        <v>1869.2100000000016</v>
      </c>
      <c r="AE131">
        <v>-409.49</v>
      </c>
      <c r="AF131">
        <v>15109.980000000001</v>
      </c>
      <c r="AG131">
        <v>15568.470000000007</v>
      </c>
      <c r="AH131">
        <v>458.49</v>
      </c>
      <c r="AI131">
        <v>-1266.4899999999996</v>
      </c>
      <c r="AJ131">
        <v>0</v>
      </c>
      <c r="AK131">
        <v>1266.4899999999996</v>
      </c>
      <c r="AL131">
        <v>16376.469999999996</v>
      </c>
      <c r="AM131">
        <v>15568.470000000007</v>
      </c>
      <c r="AN131">
        <v>-807.99999999999989</v>
      </c>
      <c r="AO131">
        <v>261</v>
      </c>
    </row>
    <row r="132" spans="1:41" x14ac:dyDescent="0.35">
      <c r="A132">
        <v>2024</v>
      </c>
      <c r="B132">
        <v>4</v>
      </c>
      <c r="C132">
        <v>16</v>
      </c>
      <c r="D132" s="14">
        <v>45400</v>
      </c>
      <c r="E132" t="s">
        <v>44</v>
      </c>
      <c r="F132" t="s">
        <v>47</v>
      </c>
      <c r="G132" t="s">
        <v>50</v>
      </c>
      <c r="H132">
        <v>22815.399999999998</v>
      </c>
      <c r="I132">
        <v>22815.399999999998</v>
      </c>
      <c r="J132">
        <v>0</v>
      </c>
      <c r="K132">
        <v>582.0500000000003</v>
      </c>
      <c r="L132">
        <v>582.0500000000003</v>
      </c>
      <c r="M132">
        <v>0</v>
      </c>
      <c r="N132">
        <v>929.42000000000041</v>
      </c>
      <c r="O132">
        <v>929.42000000000041</v>
      </c>
      <c r="P132">
        <v>0</v>
      </c>
      <c r="Q132">
        <v>-6496.95</v>
      </c>
      <c r="R132">
        <v>-6341.95</v>
      </c>
      <c r="S132">
        <v>155</v>
      </c>
      <c r="T132">
        <v>-40</v>
      </c>
      <c r="U132">
        <v>-40</v>
      </c>
      <c r="V132">
        <v>0</v>
      </c>
      <c r="W132">
        <v>-36.99</v>
      </c>
      <c r="X132">
        <v>-36.99</v>
      </c>
      <c r="Y132">
        <v>0</v>
      </c>
      <c r="Z132">
        <v>17752.929999999989</v>
      </c>
      <c r="AA132">
        <v>17907.929999999989</v>
      </c>
      <c r="AB132">
        <v>155</v>
      </c>
      <c r="AC132">
        <v>2706.5400000000031</v>
      </c>
      <c r="AD132">
        <v>864.96</v>
      </c>
      <c r="AE132">
        <v>-1841.5800000000006</v>
      </c>
      <c r="AF132">
        <v>15046.389999999998</v>
      </c>
      <c r="AG132">
        <v>17042.96999999999</v>
      </c>
      <c r="AH132">
        <v>1996.5800000000004</v>
      </c>
      <c r="AI132">
        <v>-362.8</v>
      </c>
      <c r="AJ132">
        <v>0</v>
      </c>
      <c r="AK132">
        <v>362.8</v>
      </c>
      <c r="AL132">
        <v>15409.190000000002</v>
      </c>
      <c r="AM132">
        <v>17042.96999999999</v>
      </c>
      <c r="AN132">
        <v>1633.7799999999997</v>
      </c>
      <c r="AO132">
        <v>263</v>
      </c>
    </row>
    <row r="133" spans="1:41" x14ac:dyDescent="0.35">
      <c r="A133">
        <v>2024</v>
      </c>
      <c r="B133">
        <v>4</v>
      </c>
      <c r="C133">
        <v>16</v>
      </c>
      <c r="D133" s="14">
        <v>45401</v>
      </c>
      <c r="E133" t="s">
        <v>44</v>
      </c>
      <c r="F133" t="s">
        <v>47</v>
      </c>
      <c r="G133" t="s">
        <v>50</v>
      </c>
      <c r="H133">
        <v>22755.399999999998</v>
      </c>
      <c r="I133">
        <v>22755.399999999998</v>
      </c>
      <c r="J133">
        <v>0</v>
      </c>
      <c r="K133">
        <v>370.77999999999957</v>
      </c>
      <c r="L133">
        <v>370.77999999999957</v>
      </c>
      <c r="M133">
        <v>0</v>
      </c>
      <c r="N133">
        <v>882.46000000000038</v>
      </c>
      <c r="O133">
        <v>882.46000000000038</v>
      </c>
      <c r="P133">
        <v>0</v>
      </c>
      <c r="Q133">
        <v>-6784.8500000000013</v>
      </c>
      <c r="R133">
        <v>-6759.8500000000013</v>
      </c>
      <c r="S133">
        <v>25</v>
      </c>
      <c r="T133">
        <v>-45</v>
      </c>
      <c r="U133">
        <v>-45</v>
      </c>
      <c r="V133">
        <v>0</v>
      </c>
      <c r="W133">
        <v>-31.990000000000002</v>
      </c>
      <c r="X133">
        <v>-31.990000000000002</v>
      </c>
      <c r="Y133">
        <v>0</v>
      </c>
      <c r="Z133">
        <v>17146.799999999988</v>
      </c>
      <c r="AA133">
        <v>17171.799999999992</v>
      </c>
      <c r="AB133">
        <v>25</v>
      </c>
      <c r="AC133">
        <v>2289.950000000003</v>
      </c>
      <c r="AD133">
        <v>1424.9900000000002</v>
      </c>
      <c r="AE133">
        <v>-864.95999999999992</v>
      </c>
      <c r="AF133">
        <v>14856.849999999995</v>
      </c>
      <c r="AG133">
        <v>15746.80999999999</v>
      </c>
      <c r="AH133">
        <v>889.96</v>
      </c>
      <c r="AI133">
        <v>-820.55000000000018</v>
      </c>
      <c r="AJ133">
        <v>0</v>
      </c>
      <c r="AK133">
        <v>820.55000000000018</v>
      </c>
      <c r="AL133">
        <v>15677.400000000014</v>
      </c>
      <c r="AM133">
        <v>15746.80999999999</v>
      </c>
      <c r="AN133">
        <v>69.409999999999883</v>
      </c>
      <c r="AO133">
        <v>251</v>
      </c>
    </row>
    <row r="134" spans="1:41" x14ac:dyDescent="0.35">
      <c r="A134">
        <v>2024</v>
      </c>
      <c r="B134">
        <v>4</v>
      </c>
      <c r="C134">
        <v>16</v>
      </c>
      <c r="D134" s="14">
        <v>45402</v>
      </c>
      <c r="E134" t="s">
        <v>44</v>
      </c>
      <c r="F134" t="s">
        <v>47</v>
      </c>
      <c r="G134" t="s">
        <v>50</v>
      </c>
      <c r="H134">
        <v>22975.199999999997</v>
      </c>
      <c r="I134">
        <v>22975.199999999997</v>
      </c>
      <c r="J134">
        <v>0</v>
      </c>
      <c r="K134">
        <v>428.92999999999967</v>
      </c>
      <c r="L134">
        <v>428.92999999999967</v>
      </c>
      <c r="M134">
        <v>0</v>
      </c>
      <c r="N134">
        <v>1044.3300000000004</v>
      </c>
      <c r="O134">
        <v>1044.3300000000004</v>
      </c>
      <c r="P134">
        <v>0</v>
      </c>
      <c r="Q134">
        <v>-6939.68</v>
      </c>
      <c r="R134">
        <v>-6795.68</v>
      </c>
      <c r="S134">
        <v>144</v>
      </c>
      <c r="T134">
        <v>-25</v>
      </c>
      <c r="U134">
        <v>-25</v>
      </c>
      <c r="V134">
        <v>0</v>
      </c>
      <c r="W134">
        <v>-40.99</v>
      </c>
      <c r="X134">
        <v>-40.99</v>
      </c>
      <c r="Y134">
        <v>0</v>
      </c>
      <c r="Z134">
        <v>17442.789999999997</v>
      </c>
      <c r="AA134">
        <v>17586.789999999997</v>
      </c>
      <c r="AB134">
        <v>144.00000000000006</v>
      </c>
      <c r="AC134">
        <v>2460.0700000000038</v>
      </c>
      <c r="AD134">
        <v>1035.0800000000004</v>
      </c>
      <c r="AE134">
        <v>-1424.99</v>
      </c>
      <c r="AF134">
        <v>14982.720000000014</v>
      </c>
      <c r="AG134">
        <v>16551.709999999992</v>
      </c>
      <c r="AH134">
        <v>1568.99</v>
      </c>
      <c r="AI134">
        <v>-747.41999999999985</v>
      </c>
      <c r="AJ134">
        <v>0</v>
      </c>
      <c r="AK134">
        <v>747.41999999999985</v>
      </c>
      <c r="AL134">
        <v>15730.140000000009</v>
      </c>
      <c r="AM134">
        <v>16551.709999999992</v>
      </c>
      <c r="AN134">
        <v>821.56999999999971</v>
      </c>
      <c r="AO134">
        <v>260</v>
      </c>
    </row>
    <row r="135" spans="1:41" x14ac:dyDescent="0.35">
      <c r="A135">
        <v>2024</v>
      </c>
      <c r="B135">
        <v>4</v>
      </c>
      <c r="C135">
        <v>16</v>
      </c>
      <c r="D135" s="14">
        <v>45396</v>
      </c>
      <c r="E135" t="s">
        <v>44</v>
      </c>
      <c r="F135" t="s">
        <v>47</v>
      </c>
      <c r="G135" t="s">
        <v>51</v>
      </c>
      <c r="H135">
        <v>2425.75</v>
      </c>
      <c r="I135">
        <v>2425.75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-538.25000000000011</v>
      </c>
      <c r="R135">
        <v>-538.25000000000011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1887.5000000000007</v>
      </c>
      <c r="AA135">
        <v>1887.5000000000007</v>
      </c>
      <c r="AB135">
        <v>0</v>
      </c>
      <c r="AC135">
        <v>16.66</v>
      </c>
      <c r="AE135">
        <v>-16.66</v>
      </c>
      <c r="AF135">
        <v>1870.8400000000006</v>
      </c>
      <c r="AG135">
        <v>1887.5000000000007</v>
      </c>
      <c r="AH135">
        <v>16.659999999999997</v>
      </c>
      <c r="AI135">
        <v>352.57999999999993</v>
      </c>
      <c r="AJ135">
        <v>0</v>
      </c>
      <c r="AK135">
        <v>-352.57999999999993</v>
      </c>
      <c r="AL135">
        <v>1518.26</v>
      </c>
      <c r="AM135">
        <v>1887.5000000000007</v>
      </c>
      <c r="AN135">
        <v>369.23999999999995</v>
      </c>
      <c r="AO135">
        <v>40</v>
      </c>
    </row>
    <row r="136" spans="1:41" x14ac:dyDescent="0.35">
      <c r="A136">
        <v>2024</v>
      </c>
      <c r="B136">
        <v>4</v>
      </c>
      <c r="C136">
        <v>16</v>
      </c>
      <c r="D136" s="14">
        <v>45397</v>
      </c>
      <c r="E136" t="s">
        <v>44</v>
      </c>
      <c r="F136" t="s">
        <v>47</v>
      </c>
      <c r="G136" t="s">
        <v>51</v>
      </c>
      <c r="H136">
        <v>4001</v>
      </c>
      <c r="I136">
        <v>4001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-407.49999999999994</v>
      </c>
      <c r="R136">
        <v>-407.49999999999994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3593.5000000000005</v>
      </c>
      <c r="AA136">
        <v>3593.5000000000005</v>
      </c>
      <c r="AB136">
        <v>0</v>
      </c>
      <c r="AC136">
        <v>27.63</v>
      </c>
      <c r="AD136">
        <v>27.63</v>
      </c>
      <c r="AE136">
        <v>0</v>
      </c>
      <c r="AF136">
        <v>3565.8700000000003</v>
      </c>
      <c r="AG136">
        <v>3565.8700000000003</v>
      </c>
      <c r="AH136">
        <v>0</v>
      </c>
      <c r="AI136">
        <v>615.88000000000011</v>
      </c>
      <c r="AJ136">
        <v>0</v>
      </c>
      <c r="AK136">
        <v>-615.88000000000011</v>
      </c>
      <c r="AL136">
        <v>2949.99</v>
      </c>
      <c r="AM136">
        <v>3565.8700000000003</v>
      </c>
      <c r="AN136">
        <v>615.87999999999988</v>
      </c>
      <c r="AO136">
        <v>69</v>
      </c>
    </row>
    <row r="137" spans="1:41" x14ac:dyDescent="0.35">
      <c r="A137">
        <v>2024</v>
      </c>
      <c r="B137">
        <v>4</v>
      </c>
      <c r="C137">
        <v>16</v>
      </c>
      <c r="D137" s="14">
        <v>45398</v>
      </c>
      <c r="E137" t="s">
        <v>44</v>
      </c>
      <c r="F137" t="s">
        <v>47</v>
      </c>
      <c r="G137" t="s">
        <v>51</v>
      </c>
      <c r="H137">
        <v>295</v>
      </c>
      <c r="I137">
        <v>295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-80.599999999999994</v>
      </c>
      <c r="R137">
        <v>-80.599999999999994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214.4</v>
      </c>
      <c r="AA137">
        <v>214.4</v>
      </c>
      <c r="AB137">
        <v>0</v>
      </c>
      <c r="AC137">
        <v>35.96</v>
      </c>
      <c r="AD137">
        <v>8.33</v>
      </c>
      <c r="AE137">
        <v>-27.63</v>
      </c>
      <c r="AF137">
        <v>178.44</v>
      </c>
      <c r="AG137">
        <v>206.07</v>
      </c>
      <c r="AH137">
        <v>27.630000000000003</v>
      </c>
      <c r="AI137">
        <v>3.9999999999999147E-2</v>
      </c>
      <c r="AJ137">
        <v>0</v>
      </c>
      <c r="AK137">
        <v>-3.9999999999999147E-2</v>
      </c>
      <c r="AL137">
        <v>178.39999999999998</v>
      </c>
      <c r="AM137">
        <v>206.07</v>
      </c>
      <c r="AN137">
        <v>27.670000000000009</v>
      </c>
      <c r="AO137">
        <v>4</v>
      </c>
    </row>
    <row r="138" spans="1:41" x14ac:dyDescent="0.35">
      <c r="A138">
        <v>2024</v>
      </c>
      <c r="B138">
        <v>4</v>
      </c>
      <c r="C138">
        <v>16</v>
      </c>
      <c r="D138" s="14">
        <v>45399</v>
      </c>
      <c r="E138" t="s">
        <v>44</v>
      </c>
      <c r="F138" t="s">
        <v>47</v>
      </c>
      <c r="G138" t="s">
        <v>51</v>
      </c>
      <c r="H138">
        <v>1551.7</v>
      </c>
      <c r="I138">
        <v>1551.7</v>
      </c>
      <c r="J138">
        <v>0</v>
      </c>
      <c r="K138">
        <v>40</v>
      </c>
      <c r="L138">
        <v>40</v>
      </c>
      <c r="M138">
        <v>0</v>
      </c>
      <c r="N138">
        <v>6.99</v>
      </c>
      <c r="O138">
        <v>6.99</v>
      </c>
      <c r="P138">
        <v>0</v>
      </c>
      <c r="Q138">
        <v>-352.1</v>
      </c>
      <c r="R138">
        <v>-352.1</v>
      </c>
      <c r="S138">
        <v>0</v>
      </c>
      <c r="T138">
        <v>-16</v>
      </c>
      <c r="U138">
        <v>-16</v>
      </c>
      <c r="V138">
        <v>0</v>
      </c>
      <c r="W138">
        <v>0</v>
      </c>
      <c r="X138">
        <v>0</v>
      </c>
      <c r="Y138">
        <v>0</v>
      </c>
      <c r="Z138">
        <v>1230.5899999999999</v>
      </c>
      <c r="AA138">
        <v>1230.5899999999999</v>
      </c>
      <c r="AB138">
        <v>0</v>
      </c>
      <c r="AC138">
        <v>56.71</v>
      </c>
      <c r="AD138">
        <v>48.379999999999995</v>
      </c>
      <c r="AE138">
        <v>-8.33</v>
      </c>
      <c r="AF138">
        <v>1173.8799999999999</v>
      </c>
      <c r="AG138">
        <v>1182.2099999999998</v>
      </c>
      <c r="AH138">
        <v>8.3299999999999983</v>
      </c>
      <c r="AI138">
        <v>203.99</v>
      </c>
      <c r="AJ138">
        <v>0</v>
      </c>
      <c r="AK138">
        <v>-203.99</v>
      </c>
      <c r="AL138">
        <v>969.88999999999987</v>
      </c>
      <c r="AM138">
        <v>1182.2099999999998</v>
      </c>
      <c r="AN138">
        <v>212.32</v>
      </c>
      <c r="AO138">
        <v>27</v>
      </c>
    </row>
    <row r="139" spans="1:41" x14ac:dyDescent="0.35">
      <c r="A139">
        <v>2024</v>
      </c>
      <c r="B139">
        <v>4</v>
      </c>
      <c r="C139">
        <v>16</v>
      </c>
      <c r="D139" s="14">
        <v>45400</v>
      </c>
      <c r="E139" t="s">
        <v>44</v>
      </c>
      <c r="F139" t="s">
        <v>47</v>
      </c>
      <c r="G139" t="s">
        <v>51</v>
      </c>
      <c r="H139">
        <v>3109.3500000000004</v>
      </c>
      <c r="I139">
        <v>3109.3500000000004</v>
      </c>
      <c r="J139">
        <v>0</v>
      </c>
      <c r="K139">
        <v>47.5</v>
      </c>
      <c r="L139">
        <v>47.5</v>
      </c>
      <c r="M139">
        <v>0</v>
      </c>
      <c r="N139">
        <v>13.98</v>
      </c>
      <c r="O139">
        <v>13.98</v>
      </c>
      <c r="P139">
        <v>0</v>
      </c>
      <c r="Q139">
        <v>-610.9</v>
      </c>
      <c r="R139">
        <v>-599.9</v>
      </c>
      <c r="S139">
        <v>11</v>
      </c>
      <c r="T139">
        <v>-13</v>
      </c>
      <c r="U139">
        <v>-13</v>
      </c>
      <c r="V139">
        <v>0</v>
      </c>
      <c r="W139">
        <v>0</v>
      </c>
      <c r="X139">
        <v>0</v>
      </c>
      <c r="Y139">
        <v>0</v>
      </c>
      <c r="Z139">
        <v>2546.9299999999998</v>
      </c>
      <c r="AA139">
        <v>2557.9299999999998</v>
      </c>
      <c r="AB139">
        <v>11</v>
      </c>
      <c r="AC139">
        <v>48.379999999999995</v>
      </c>
      <c r="AE139">
        <v>-48.379999999999995</v>
      </c>
      <c r="AF139">
        <v>2498.5499999999997</v>
      </c>
      <c r="AG139">
        <v>2557.9299999999998</v>
      </c>
      <c r="AH139">
        <v>59.38</v>
      </c>
      <c r="AI139">
        <v>530.36000000000013</v>
      </c>
      <c r="AJ139">
        <v>0</v>
      </c>
      <c r="AK139">
        <v>-530.36000000000013</v>
      </c>
      <c r="AL139">
        <v>1968.19</v>
      </c>
      <c r="AM139">
        <v>2557.9299999999998</v>
      </c>
      <c r="AN139">
        <v>589.74000000000024</v>
      </c>
      <c r="AO139">
        <v>53</v>
      </c>
    </row>
    <row r="140" spans="1:41" x14ac:dyDescent="0.35">
      <c r="A140">
        <v>2024</v>
      </c>
      <c r="B140">
        <v>4</v>
      </c>
      <c r="C140">
        <v>16</v>
      </c>
      <c r="D140" s="14">
        <v>45401</v>
      </c>
      <c r="E140" t="s">
        <v>44</v>
      </c>
      <c r="F140" t="s">
        <v>47</v>
      </c>
      <c r="G140" t="s">
        <v>51</v>
      </c>
      <c r="H140">
        <v>8393.3499999999985</v>
      </c>
      <c r="I140">
        <v>8393.3499999999985</v>
      </c>
      <c r="J140">
        <v>0</v>
      </c>
      <c r="K140">
        <v>30</v>
      </c>
      <c r="L140">
        <v>30</v>
      </c>
      <c r="M140">
        <v>0</v>
      </c>
      <c r="N140">
        <v>0</v>
      </c>
      <c r="O140">
        <v>0</v>
      </c>
      <c r="P140">
        <v>0</v>
      </c>
      <c r="Q140">
        <v>-1216.8599999999997</v>
      </c>
      <c r="R140">
        <v>-1216.8599999999997</v>
      </c>
      <c r="S140">
        <v>0</v>
      </c>
      <c r="T140">
        <v>-12</v>
      </c>
      <c r="U140">
        <v>-12</v>
      </c>
      <c r="V140">
        <v>0</v>
      </c>
      <c r="W140">
        <v>0</v>
      </c>
      <c r="X140">
        <v>0</v>
      </c>
      <c r="Y140">
        <v>0</v>
      </c>
      <c r="Z140">
        <v>7194.4899999999989</v>
      </c>
      <c r="AA140">
        <v>7194.4899999999989</v>
      </c>
      <c r="AB140">
        <v>0</v>
      </c>
      <c r="AC140">
        <v>24.990000000000002</v>
      </c>
      <c r="AD140">
        <v>24.990000000000002</v>
      </c>
      <c r="AE140">
        <v>0</v>
      </c>
      <c r="AF140">
        <v>7169.4999999999991</v>
      </c>
      <c r="AG140">
        <v>7169.4999999999991</v>
      </c>
      <c r="AH140">
        <v>0</v>
      </c>
      <c r="AI140">
        <v>786.09000000000049</v>
      </c>
      <c r="AJ140">
        <v>0</v>
      </c>
      <c r="AK140">
        <v>-786.09000000000049</v>
      </c>
      <c r="AL140">
        <v>6383.4099999999971</v>
      </c>
      <c r="AM140">
        <v>7169.4999999999991</v>
      </c>
      <c r="AN140">
        <v>786.09000000000049</v>
      </c>
      <c r="AO140">
        <v>162</v>
      </c>
    </row>
    <row r="141" spans="1:41" x14ac:dyDescent="0.35">
      <c r="A141">
        <v>2024</v>
      </c>
      <c r="B141">
        <v>4</v>
      </c>
      <c r="C141">
        <v>16</v>
      </c>
      <c r="D141" s="14">
        <v>45402</v>
      </c>
      <c r="E141" t="s">
        <v>44</v>
      </c>
      <c r="F141" t="s">
        <v>47</v>
      </c>
      <c r="G141" t="s">
        <v>51</v>
      </c>
      <c r="H141">
        <v>8708.2999999999993</v>
      </c>
      <c r="I141">
        <v>8708.2999999999993</v>
      </c>
      <c r="J141">
        <v>0</v>
      </c>
      <c r="K141">
        <v>30</v>
      </c>
      <c r="L141">
        <v>30</v>
      </c>
      <c r="M141">
        <v>0</v>
      </c>
      <c r="N141">
        <v>0</v>
      </c>
      <c r="O141">
        <v>0</v>
      </c>
      <c r="P141">
        <v>0</v>
      </c>
      <c r="Q141">
        <v>-1656.3999999999996</v>
      </c>
      <c r="R141">
        <v>-1656.3999999999996</v>
      </c>
      <c r="S141">
        <v>0</v>
      </c>
      <c r="T141">
        <v>-12</v>
      </c>
      <c r="U141">
        <v>-12</v>
      </c>
      <c r="V141">
        <v>0</v>
      </c>
      <c r="W141">
        <v>0</v>
      </c>
      <c r="X141">
        <v>0</v>
      </c>
      <c r="Y141">
        <v>0</v>
      </c>
      <c r="Z141">
        <v>7069.9000000000005</v>
      </c>
      <c r="AA141">
        <v>7069.9000000000005</v>
      </c>
      <c r="AB141">
        <v>0</v>
      </c>
      <c r="AC141">
        <v>116.61999999999999</v>
      </c>
      <c r="AD141">
        <v>83.3</v>
      </c>
      <c r="AE141">
        <v>-33.32</v>
      </c>
      <c r="AF141">
        <v>6953.2800000000007</v>
      </c>
      <c r="AG141">
        <v>6986.6000000000013</v>
      </c>
      <c r="AH141">
        <v>33.319999999999993</v>
      </c>
      <c r="AI141">
        <v>1015.6999999999998</v>
      </c>
      <c r="AJ141">
        <v>5.5</v>
      </c>
      <c r="AK141">
        <v>-1010.1999999999998</v>
      </c>
      <c r="AL141">
        <v>5937.5799999999963</v>
      </c>
      <c r="AM141">
        <v>6981.1000000000013</v>
      </c>
      <c r="AN141">
        <v>1043.5199999999998</v>
      </c>
      <c r="AO141">
        <v>162</v>
      </c>
    </row>
    <row r="142" spans="1:41" x14ac:dyDescent="0.35">
      <c r="A142">
        <v>2024</v>
      </c>
      <c r="B142">
        <v>4</v>
      </c>
      <c r="C142">
        <v>17</v>
      </c>
      <c r="D142" s="14">
        <v>45403</v>
      </c>
      <c r="E142" t="s">
        <v>41</v>
      </c>
      <c r="F142" t="s">
        <v>42</v>
      </c>
      <c r="G142" t="s">
        <v>43</v>
      </c>
      <c r="H142">
        <v>85373.25</v>
      </c>
      <c r="I142">
        <v>85373.25</v>
      </c>
      <c r="J142">
        <v>0</v>
      </c>
      <c r="K142">
        <v>1055.2000000000057</v>
      </c>
      <c r="L142">
        <v>1055.2000000000057</v>
      </c>
      <c r="M142">
        <v>0</v>
      </c>
      <c r="N142">
        <v>2222.3699999999981</v>
      </c>
      <c r="O142">
        <v>2222.3699999999981</v>
      </c>
      <c r="P142">
        <v>0</v>
      </c>
      <c r="Q142">
        <v>-8451.2000000000007</v>
      </c>
      <c r="R142">
        <v>-7654.2</v>
      </c>
      <c r="S142">
        <v>797</v>
      </c>
      <c r="T142">
        <v>-6.1700000000000008</v>
      </c>
      <c r="U142">
        <v>-6.1700000000000008</v>
      </c>
      <c r="V142">
        <v>0</v>
      </c>
      <c r="W142">
        <v>-80</v>
      </c>
      <c r="X142">
        <v>-80</v>
      </c>
      <c r="Y142">
        <v>0</v>
      </c>
      <c r="Z142">
        <v>80113.449999999939</v>
      </c>
      <c r="AA142">
        <v>80910.449999999968</v>
      </c>
      <c r="AB142">
        <v>797</v>
      </c>
      <c r="AC142">
        <v>21688.519999999837</v>
      </c>
      <c r="AD142">
        <v>11187.189999999995</v>
      </c>
      <c r="AE142">
        <v>-10501.330000000022</v>
      </c>
      <c r="AF142">
        <v>58424.93000000024</v>
      </c>
      <c r="AG142">
        <v>69723.260000000038</v>
      </c>
      <c r="AH142">
        <v>11298.330000000018</v>
      </c>
      <c r="AI142">
        <v>-5696.469999999993</v>
      </c>
      <c r="AJ142">
        <v>0</v>
      </c>
      <c r="AK142">
        <v>5696.469999999993</v>
      </c>
      <c r="AL142">
        <v>64121.400000000212</v>
      </c>
      <c r="AM142">
        <v>69723.260000000038</v>
      </c>
      <c r="AN142">
        <v>5601.8600000000324</v>
      </c>
      <c r="AO142">
        <v>1481</v>
      </c>
    </row>
    <row r="143" spans="1:41" x14ac:dyDescent="0.35">
      <c r="A143">
        <v>2024</v>
      </c>
      <c r="B143">
        <v>4</v>
      </c>
      <c r="C143">
        <v>17</v>
      </c>
      <c r="D143" s="14">
        <v>45404</v>
      </c>
      <c r="E143" t="s">
        <v>41</v>
      </c>
      <c r="F143" t="s">
        <v>42</v>
      </c>
      <c r="G143" t="s">
        <v>43</v>
      </c>
      <c r="H143">
        <v>85338</v>
      </c>
      <c r="I143">
        <v>85338</v>
      </c>
      <c r="J143">
        <v>0</v>
      </c>
      <c r="K143">
        <v>923.10000000000753</v>
      </c>
      <c r="L143">
        <v>916.10000000000707</v>
      </c>
      <c r="M143">
        <v>-7</v>
      </c>
      <c r="N143">
        <v>2462.1799999999948</v>
      </c>
      <c r="O143">
        <v>2462.1799999999948</v>
      </c>
      <c r="P143">
        <v>0</v>
      </c>
      <c r="Q143">
        <v>-8707.2000000000007</v>
      </c>
      <c r="R143">
        <v>-7695.2</v>
      </c>
      <c r="S143">
        <v>1012</v>
      </c>
      <c r="T143">
        <v>-6.66</v>
      </c>
      <c r="U143">
        <v>-6.66</v>
      </c>
      <c r="V143">
        <v>0</v>
      </c>
      <c r="W143">
        <v>-63.99</v>
      </c>
      <c r="X143">
        <v>-63.99</v>
      </c>
      <c r="Y143">
        <v>0</v>
      </c>
      <c r="Z143">
        <v>79945.430000000095</v>
      </c>
      <c r="AA143">
        <v>80950.430000000124</v>
      </c>
      <c r="AB143">
        <v>1005</v>
      </c>
      <c r="AC143">
        <v>19584.909999999883</v>
      </c>
      <c r="AD143">
        <v>8421.9300000000258</v>
      </c>
      <c r="AE143">
        <v>-11162.97999999999</v>
      </c>
      <c r="AF143">
        <v>60360.520000000193</v>
      </c>
      <c r="AG143">
        <v>72528.500000000058</v>
      </c>
      <c r="AH143">
        <v>12167.979999999987</v>
      </c>
      <c r="AI143">
        <v>-4758.5099999999893</v>
      </c>
      <c r="AJ143">
        <v>0</v>
      </c>
      <c r="AK143">
        <v>4758.5099999999893</v>
      </c>
      <c r="AL143">
        <v>65119.030000000137</v>
      </c>
      <c r="AM143">
        <v>72528.500000000058</v>
      </c>
      <c r="AN143">
        <v>7409.4700000000439</v>
      </c>
      <c r="AO143">
        <v>1480</v>
      </c>
    </row>
    <row r="144" spans="1:41" x14ac:dyDescent="0.35">
      <c r="A144">
        <v>2024</v>
      </c>
      <c r="B144">
        <v>4</v>
      </c>
      <c r="C144">
        <v>17</v>
      </c>
      <c r="D144" s="14">
        <v>45405</v>
      </c>
      <c r="E144" t="s">
        <v>41</v>
      </c>
      <c r="F144" t="s">
        <v>42</v>
      </c>
      <c r="G144" t="s">
        <v>43</v>
      </c>
      <c r="H144">
        <v>76913</v>
      </c>
      <c r="I144">
        <v>76913</v>
      </c>
      <c r="J144">
        <v>0</v>
      </c>
      <c r="K144">
        <v>763.40000000000191</v>
      </c>
      <c r="L144">
        <v>756.4000000000018</v>
      </c>
      <c r="M144">
        <v>-7</v>
      </c>
      <c r="N144">
        <v>2309.3399999999965</v>
      </c>
      <c r="O144">
        <v>2309.3399999999965</v>
      </c>
      <c r="P144">
        <v>0</v>
      </c>
      <c r="Q144">
        <v>-7890.5</v>
      </c>
      <c r="R144">
        <v>-6908.5</v>
      </c>
      <c r="S144">
        <v>982</v>
      </c>
      <c r="T144">
        <v>-3.0500000000000003</v>
      </c>
      <c r="U144">
        <v>-3.0500000000000003</v>
      </c>
      <c r="V144">
        <v>0</v>
      </c>
      <c r="W144">
        <v>-38.99</v>
      </c>
      <c r="X144">
        <v>-38.99</v>
      </c>
      <c r="Y144">
        <v>0</v>
      </c>
      <c r="Z144">
        <v>72053.199999999764</v>
      </c>
      <c r="AA144">
        <v>73028.199999999779</v>
      </c>
      <c r="AB144">
        <v>975</v>
      </c>
      <c r="AC144">
        <v>18094.849999999911</v>
      </c>
      <c r="AD144">
        <v>9829.2700000000204</v>
      </c>
      <c r="AE144">
        <v>-8265.580000000029</v>
      </c>
      <c r="AF144">
        <v>53958.350000000144</v>
      </c>
      <c r="AG144">
        <v>63198.929999999877</v>
      </c>
      <c r="AH144">
        <v>9240.5800000000072</v>
      </c>
      <c r="AI144">
        <v>-5269.429999999993</v>
      </c>
      <c r="AJ144">
        <v>0</v>
      </c>
      <c r="AK144">
        <v>5269.429999999993</v>
      </c>
      <c r="AL144">
        <v>59227.780000000072</v>
      </c>
      <c r="AM144">
        <v>63198.929999999877</v>
      </c>
      <c r="AN144">
        <v>3971.1500000000233</v>
      </c>
      <c r="AO144">
        <v>1344</v>
      </c>
    </row>
    <row r="145" spans="1:41" x14ac:dyDescent="0.35">
      <c r="A145">
        <v>2024</v>
      </c>
      <c r="B145">
        <v>4</v>
      </c>
      <c r="C145">
        <v>17</v>
      </c>
      <c r="D145" s="14">
        <v>45406</v>
      </c>
      <c r="E145" t="s">
        <v>41</v>
      </c>
      <c r="F145" t="s">
        <v>42</v>
      </c>
      <c r="G145" t="s">
        <v>43</v>
      </c>
      <c r="H145">
        <v>77022.25</v>
      </c>
      <c r="I145">
        <v>77022.25</v>
      </c>
      <c r="J145">
        <v>0</v>
      </c>
      <c r="K145">
        <v>850.14000000000647</v>
      </c>
      <c r="L145">
        <v>850.14000000000647</v>
      </c>
      <c r="M145">
        <v>0</v>
      </c>
      <c r="N145">
        <v>2014.5500000000011</v>
      </c>
      <c r="O145">
        <v>1998.5600000000011</v>
      </c>
      <c r="P145">
        <v>-15.99</v>
      </c>
      <c r="Q145">
        <v>-7822.5</v>
      </c>
      <c r="R145">
        <v>-7089.5</v>
      </c>
      <c r="S145">
        <v>733</v>
      </c>
      <c r="T145">
        <v>-7.95</v>
      </c>
      <c r="U145">
        <v>-7.95</v>
      </c>
      <c r="V145">
        <v>0</v>
      </c>
      <c r="W145">
        <v>-30</v>
      </c>
      <c r="X145">
        <v>-30</v>
      </c>
      <c r="Y145">
        <v>0</v>
      </c>
      <c r="Z145">
        <v>72026.489999999802</v>
      </c>
      <c r="AA145">
        <v>72743.499999999825</v>
      </c>
      <c r="AB145">
        <v>717.01</v>
      </c>
      <c r="AC145">
        <v>19092.529999999922</v>
      </c>
      <c r="AD145">
        <v>9243.2000000000244</v>
      </c>
      <c r="AE145">
        <v>-9849.3300000000181</v>
      </c>
      <c r="AF145">
        <v>52949.590000000222</v>
      </c>
      <c r="AG145">
        <v>63515.929999999847</v>
      </c>
      <c r="AH145">
        <v>10566.340000000013</v>
      </c>
      <c r="AI145">
        <v>-4719.4599999999955</v>
      </c>
      <c r="AJ145">
        <v>0</v>
      </c>
      <c r="AK145">
        <v>4719.4599999999955</v>
      </c>
      <c r="AL145">
        <v>57669.050000000134</v>
      </c>
      <c r="AM145">
        <v>63515.929999999847</v>
      </c>
      <c r="AN145">
        <v>5846.8800000000301</v>
      </c>
      <c r="AO145">
        <v>1356</v>
      </c>
    </row>
    <row r="146" spans="1:41" x14ac:dyDescent="0.35">
      <c r="A146">
        <v>2024</v>
      </c>
      <c r="B146">
        <v>4</v>
      </c>
      <c r="C146">
        <v>17</v>
      </c>
      <c r="D146" s="14">
        <v>45407</v>
      </c>
      <c r="E146" t="s">
        <v>41</v>
      </c>
      <c r="F146" t="s">
        <v>42</v>
      </c>
      <c r="G146" t="s">
        <v>43</v>
      </c>
      <c r="H146">
        <v>78208</v>
      </c>
      <c r="I146">
        <v>78208</v>
      </c>
      <c r="J146">
        <v>0</v>
      </c>
      <c r="K146">
        <v>1004.2700000000067</v>
      </c>
      <c r="L146">
        <v>1004.2700000000067</v>
      </c>
      <c r="M146">
        <v>0</v>
      </c>
      <c r="N146">
        <v>1798.630000000001</v>
      </c>
      <c r="O146">
        <v>1782.640000000001</v>
      </c>
      <c r="P146">
        <v>-15.99</v>
      </c>
      <c r="Q146">
        <v>-8188.5</v>
      </c>
      <c r="R146">
        <v>-7428.5</v>
      </c>
      <c r="S146">
        <v>760</v>
      </c>
      <c r="T146">
        <v>-16.330000000000002</v>
      </c>
      <c r="U146">
        <v>-16.330000000000002</v>
      </c>
      <c r="V146">
        <v>0</v>
      </c>
      <c r="W146">
        <v>-45</v>
      </c>
      <c r="X146">
        <v>-45</v>
      </c>
      <c r="Y146">
        <v>0</v>
      </c>
      <c r="Z146">
        <v>72761.069999999818</v>
      </c>
      <c r="AA146">
        <v>73505.079999999842</v>
      </c>
      <c r="AB146">
        <v>744.01</v>
      </c>
      <c r="AC146">
        <v>18003.239999999929</v>
      </c>
      <c r="AD146">
        <v>8825.8600000000242</v>
      </c>
      <c r="AE146">
        <v>-9177.3800000000119</v>
      </c>
      <c r="AF146">
        <v>54773.460000000159</v>
      </c>
      <c r="AG146">
        <v>64694.849999999831</v>
      </c>
      <c r="AH146">
        <v>9921.3900000000012</v>
      </c>
      <c r="AI146">
        <v>-4477.8399999999892</v>
      </c>
      <c r="AJ146">
        <v>0</v>
      </c>
      <c r="AK146">
        <v>4477.8399999999892</v>
      </c>
      <c r="AL146">
        <v>59251.300000000097</v>
      </c>
      <c r="AM146">
        <v>64694.849999999831</v>
      </c>
      <c r="AN146">
        <v>5443.5500000000311</v>
      </c>
      <c r="AO146">
        <v>1356</v>
      </c>
    </row>
    <row r="147" spans="1:41" x14ac:dyDescent="0.35">
      <c r="A147">
        <v>2024</v>
      </c>
      <c r="B147">
        <v>4</v>
      </c>
      <c r="C147">
        <v>17</v>
      </c>
      <c r="D147" s="14">
        <v>45408</v>
      </c>
      <c r="E147" t="s">
        <v>41</v>
      </c>
      <c r="F147" t="s">
        <v>42</v>
      </c>
      <c r="G147" t="s">
        <v>43</v>
      </c>
      <c r="H147">
        <v>78304.75</v>
      </c>
      <c r="I147">
        <v>78304.75</v>
      </c>
      <c r="J147">
        <v>0</v>
      </c>
      <c r="K147">
        <v>892.73000000000741</v>
      </c>
      <c r="L147">
        <v>885.73000000000741</v>
      </c>
      <c r="M147">
        <v>-7</v>
      </c>
      <c r="N147">
        <v>1949.5100000000011</v>
      </c>
      <c r="O147">
        <v>1949.5100000000011</v>
      </c>
      <c r="P147">
        <v>0</v>
      </c>
      <c r="Q147">
        <v>-7977.5</v>
      </c>
      <c r="R147">
        <v>-7198.5</v>
      </c>
      <c r="S147">
        <v>779</v>
      </c>
      <c r="T147">
        <v>-3.72</v>
      </c>
      <c r="U147">
        <v>-3.72</v>
      </c>
      <c r="V147">
        <v>0</v>
      </c>
      <c r="W147">
        <v>-35</v>
      </c>
      <c r="X147">
        <v>-35</v>
      </c>
      <c r="Y147">
        <v>0</v>
      </c>
      <c r="Z147">
        <v>73130.7699999998</v>
      </c>
      <c r="AA147">
        <v>73902.769999999829</v>
      </c>
      <c r="AB147">
        <v>772</v>
      </c>
      <c r="AC147">
        <v>18630.239999999925</v>
      </c>
      <c r="AD147">
        <v>9865.6800000000076</v>
      </c>
      <c r="AE147">
        <v>-8764.5600000000159</v>
      </c>
      <c r="AF147">
        <v>54500.53000000013</v>
      </c>
      <c r="AG147">
        <v>64037.089999999815</v>
      </c>
      <c r="AH147">
        <v>9536.5600000000068</v>
      </c>
      <c r="AI147">
        <v>-4859.2399999999934</v>
      </c>
      <c r="AJ147">
        <v>0</v>
      </c>
      <c r="AK147">
        <v>4859.2399999999934</v>
      </c>
      <c r="AL147">
        <v>59359.770000000186</v>
      </c>
      <c r="AM147">
        <v>64037.089999999815</v>
      </c>
      <c r="AN147">
        <v>4677.320000000027</v>
      </c>
      <c r="AO147">
        <v>1345</v>
      </c>
    </row>
    <row r="148" spans="1:41" x14ac:dyDescent="0.35">
      <c r="A148">
        <v>2024</v>
      </c>
      <c r="B148">
        <v>4</v>
      </c>
      <c r="C148">
        <v>17</v>
      </c>
      <c r="D148" s="14">
        <v>45409</v>
      </c>
      <c r="E148" t="s">
        <v>41</v>
      </c>
      <c r="F148" t="s">
        <v>42</v>
      </c>
      <c r="G148" t="s">
        <v>43</v>
      </c>
      <c r="H148">
        <v>79430</v>
      </c>
      <c r="I148">
        <v>79430</v>
      </c>
      <c r="J148">
        <v>0</v>
      </c>
      <c r="K148">
        <v>954.47000000000617</v>
      </c>
      <c r="L148">
        <v>954.47000000000617</v>
      </c>
      <c r="M148">
        <v>0</v>
      </c>
      <c r="N148">
        <v>2308.2699999999968</v>
      </c>
      <c r="O148">
        <v>2308.2699999999968</v>
      </c>
      <c r="P148">
        <v>0</v>
      </c>
      <c r="Q148">
        <v>-7785</v>
      </c>
      <c r="R148">
        <v>-7047</v>
      </c>
      <c r="S148">
        <v>738</v>
      </c>
      <c r="T148">
        <v>-3.03</v>
      </c>
      <c r="U148">
        <v>-3.03</v>
      </c>
      <c r="V148">
        <v>0</v>
      </c>
      <c r="W148">
        <v>-60</v>
      </c>
      <c r="X148">
        <v>-60</v>
      </c>
      <c r="Y148">
        <v>0</v>
      </c>
      <c r="Z148">
        <v>74844.709999999817</v>
      </c>
      <c r="AA148">
        <v>75582.709999999803</v>
      </c>
      <c r="AB148">
        <v>738</v>
      </c>
      <c r="AC148">
        <v>19090.379999999881</v>
      </c>
      <c r="AD148">
        <v>9332.1800000000258</v>
      </c>
      <c r="AE148">
        <v>-9758.2000000000098</v>
      </c>
      <c r="AF148">
        <v>55754.330000000111</v>
      </c>
      <c r="AG148">
        <v>66250.529999999853</v>
      </c>
      <c r="AH148">
        <v>10496.200000000008</v>
      </c>
      <c r="AI148">
        <v>-4672.8899999999994</v>
      </c>
      <c r="AJ148">
        <v>0</v>
      </c>
      <c r="AK148">
        <v>4672.8899999999994</v>
      </c>
      <c r="AL148">
        <v>60427.220000000059</v>
      </c>
      <c r="AM148">
        <v>66250.529999999853</v>
      </c>
      <c r="AN148">
        <v>5823.310000000035</v>
      </c>
      <c r="AO148">
        <v>1372</v>
      </c>
    </row>
    <row r="149" spans="1:41" x14ac:dyDescent="0.35">
      <c r="A149">
        <v>2024</v>
      </c>
      <c r="B149">
        <v>4</v>
      </c>
      <c r="C149">
        <v>17</v>
      </c>
      <c r="D149" s="14">
        <v>45403</v>
      </c>
      <c r="E149" t="s">
        <v>44</v>
      </c>
      <c r="F149" t="s">
        <v>42</v>
      </c>
      <c r="G149" t="s">
        <v>45</v>
      </c>
      <c r="H149">
        <v>118412.75</v>
      </c>
      <c r="I149">
        <v>118412.75</v>
      </c>
      <c r="J149">
        <v>0</v>
      </c>
      <c r="K149">
        <v>861.70000000000391</v>
      </c>
      <c r="L149">
        <v>861.70000000000391</v>
      </c>
      <c r="M149">
        <v>0</v>
      </c>
      <c r="N149">
        <v>5601.1499999999487</v>
      </c>
      <c r="O149">
        <v>5601.1499999999487</v>
      </c>
      <c r="P149">
        <v>0</v>
      </c>
      <c r="Q149">
        <v>-18901.919999999998</v>
      </c>
      <c r="R149">
        <v>-18586.919999999998</v>
      </c>
      <c r="S149">
        <v>315</v>
      </c>
      <c r="T149">
        <v>-4.51</v>
      </c>
      <c r="U149">
        <v>-4.51</v>
      </c>
      <c r="V149">
        <v>0</v>
      </c>
      <c r="W149">
        <v>-106.49000000000001</v>
      </c>
      <c r="X149">
        <v>-106.49000000000001</v>
      </c>
      <c r="Y149">
        <v>0</v>
      </c>
      <c r="Z149">
        <v>105862.68000000063</v>
      </c>
      <c r="AA149">
        <v>106177.68000000065</v>
      </c>
      <c r="AB149">
        <v>315</v>
      </c>
      <c r="AC149">
        <v>19792.269999999895</v>
      </c>
      <c r="AD149">
        <v>10803.109999999986</v>
      </c>
      <c r="AE149">
        <v>-8989.1600000000144</v>
      </c>
      <c r="AF149">
        <v>86070.410000000222</v>
      </c>
      <c r="AG149">
        <v>95374.570000000327</v>
      </c>
      <c r="AH149">
        <v>9304.1600000000071</v>
      </c>
      <c r="AI149">
        <v>-5775.20999999999</v>
      </c>
      <c r="AJ149">
        <v>0</v>
      </c>
      <c r="AK149">
        <v>5775.20999999999</v>
      </c>
      <c r="AL149">
        <v>91845.620000000039</v>
      </c>
      <c r="AM149">
        <v>95374.570000000327</v>
      </c>
      <c r="AN149">
        <v>3528.9500000000135</v>
      </c>
      <c r="AO149">
        <v>1552</v>
      </c>
    </row>
    <row r="150" spans="1:41" x14ac:dyDescent="0.35">
      <c r="A150">
        <v>2024</v>
      </c>
      <c r="B150">
        <v>4</v>
      </c>
      <c r="C150">
        <v>17</v>
      </c>
      <c r="D150" s="14">
        <v>45404</v>
      </c>
      <c r="E150" t="s">
        <v>44</v>
      </c>
      <c r="F150" t="s">
        <v>42</v>
      </c>
      <c r="G150" t="s">
        <v>45</v>
      </c>
      <c r="H150">
        <v>119180.75</v>
      </c>
      <c r="I150">
        <v>119180.75</v>
      </c>
      <c r="J150">
        <v>0</v>
      </c>
      <c r="K150">
        <v>960.60000000000457</v>
      </c>
      <c r="L150">
        <v>960.60000000000457</v>
      </c>
      <c r="M150">
        <v>0</v>
      </c>
      <c r="N150">
        <v>5766.0799999999444</v>
      </c>
      <c r="O150">
        <v>5766.0799999999444</v>
      </c>
      <c r="P150">
        <v>0</v>
      </c>
      <c r="Q150">
        <v>-19822.419999999998</v>
      </c>
      <c r="R150">
        <v>-19444.919999999998</v>
      </c>
      <c r="S150">
        <v>377.5</v>
      </c>
      <c r="T150">
        <v>-1.07</v>
      </c>
      <c r="U150">
        <v>-1.07</v>
      </c>
      <c r="V150">
        <v>0</v>
      </c>
      <c r="W150">
        <v>-98.3</v>
      </c>
      <c r="X150">
        <v>-98.3</v>
      </c>
      <c r="Y150">
        <v>0</v>
      </c>
      <c r="Z150">
        <v>105985.64000000067</v>
      </c>
      <c r="AA150">
        <v>106363.14000000065</v>
      </c>
      <c r="AB150">
        <v>377.5</v>
      </c>
      <c r="AC150">
        <v>18541.799999999857</v>
      </c>
      <c r="AD150">
        <v>8026.7100000000273</v>
      </c>
      <c r="AE150">
        <v>-10515.089999999989</v>
      </c>
      <c r="AF150">
        <v>87443.840000000215</v>
      </c>
      <c r="AG150">
        <v>98336.430000000473</v>
      </c>
      <c r="AH150">
        <v>10892.589999999987</v>
      </c>
      <c r="AI150">
        <v>-4429.9500000000062</v>
      </c>
      <c r="AJ150">
        <v>0</v>
      </c>
      <c r="AK150">
        <v>4429.9500000000062</v>
      </c>
      <c r="AL150">
        <v>91873.790000000139</v>
      </c>
      <c r="AM150">
        <v>98336.430000000473</v>
      </c>
      <c r="AN150">
        <v>6462.6400000000231</v>
      </c>
      <c r="AO150">
        <v>1549</v>
      </c>
    </row>
    <row r="151" spans="1:41" x14ac:dyDescent="0.35">
      <c r="A151">
        <v>2024</v>
      </c>
      <c r="B151">
        <v>4</v>
      </c>
      <c r="C151">
        <v>17</v>
      </c>
      <c r="D151" s="14">
        <v>45405</v>
      </c>
      <c r="E151" t="s">
        <v>44</v>
      </c>
      <c r="F151" t="s">
        <v>42</v>
      </c>
      <c r="G151" t="s">
        <v>45</v>
      </c>
      <c r="H151">
        <v>95931.5</v>
      </c>
      <c r="I151">
        <v>95931.5</v>
      </c>
      <c r="J151">
        <v>0</v>
      </c>
      <c r="K151">
        <v>627.13000000000193</v>
      </c>
      <c r="L151">
        <v>597.13000000000125</v>
      </c>
      <c r="M151">
        <v>-30</v>
      </c>
      <c r="N151">
        <v>4160.1999999999707</v>
      </c>
      <c r="O151">
        <v>4144.2099999999709</v>
      </c>
      <c r="P151">
        <v>-15.99</v>
      </c>
      <c r="Q151">
        <v>-16584.150000000001</v>
      </c>
      <c r="R151">
        <v>-16079.15</v>
      </c>
      <c r="S151">
        <v>505</v>
      </c>
      <c r="T151">
        <v>-6.3</v>
      </c>
      <c r="U151">
        <v>-5.84</v>
      </c>
      <c r="V151">
        <v>0.46</v>
      </c>
      <c r="W151">
        <v>-59.5</v>
      </c>
      <c r="X151">
        <v>-51.5</v>
      </c>
      <c r="Y151">
        <v>8</v>
      </c>
      <c r="Z151">
        <v>84068.880000000063</v>
      </c>
      <c r="AA151">
        <v>84536.350000000079</v>
      </c>
      <c r="AB151">
        <v>467.46999999999997</v>
      </c>
      <c r="AC151">
        <v>14678.099999999935</v>
      </c>
      <c r="AD151">
        <v>6771.6600000000153</v>
      </c>
      <c r="AE151">
        <v>-7906.4400000000223</v>
      </c>
      <c r="AF151">
        <v>69390.780000000086</v>
      </c>
      <c r="AG151">
        <v>77764.6899999999</v>
      </c>
      <c r="AH151">
        <v>8373.9100000000199</v>
      </c>
      <c r="AI151">
        <v>-3854.6000000000026</v>
      </c>
      <c r="AJ151">
        <v>0</v>
      </c>
      <c r="AK151">
        <v>3854.6000000000026</v>
      </c>
      <c r="AL151">
        <v>73245.380000000165</v>
      </c>
      <c r="AM151">
        <v>77764.6899999999</v>
      </c>
      <c r="AN151">
        <v>4519.3100000000159</v>
      </c>
      <c r="AO151">
        <v>1232</v>
      </c>
    </row>
    <row r="152" spans="1:41" x14ac:dyDescent="0.35">
      <c r="A152">
        <v>2024</v>
      </c>
      <c r="B152">
        <v>4</v>
      </c>
      <c r="C152">
        <v>17</v>
      </c>
      <c r="D152" s="14">
        <v>45406</v>
      </c>
      <c r="E152" t="s">
        <v>44</v>
      </c>
      <c r="F152" t="s">
        <v>42</v>
      </c>
      <c r="G152" t="s">
        <v>45</v>
      </c>
      <c r="H152">
        <v>99267.5</v>
      </c>
      <c r="I152">
        <v>99267.5</v>
      </c>
      <c r="J152">
        <v>0</v>
      </c>
      <c r="K152">
        <v>735.84000000000276</v>
      </c>
      <c r="L152">
        <v>735.84000000000276</v>
      </c>
      <c r="M152">
        <v>0</v>
      </c>
      <c r="N152">
        <v>4426.9999999999663</v>
      </c>
      <c r="O152">
        <v>4426.9999999999663</v>
      </c>
      <c r="P152">
        <v>0</v>
      </c>
      <c r="Q152">
        <v>-17325.150000000001</v>
      </c>
      <c r="R152">
        <v>-16989.150000000001</v>
      </c>
      <c r="S152">
        <v>336</v>
      </c>
      <c r="T152">
        <v>-12.570000000000002</v>
      </c>
      <c r="U152">
        <v>-12.570000000000002</v>
      </c>
      <c r="V152">
        <v>0</v>
      </c>
      <c r="W152">
        <v>-52.2</v>
      </c>
      <c r="X152">
        <v>-52.2</v>
      </c>
      <c r="Y152">
        <v>0</v>
      </c>
      <c r="Z152">
        <v>87040.420000000304</v>
      </c>
      <c r="AA152">
        <v>87376.420000000318</v>
      </c>
      <c r="AB152">
        <v>336</v>
      </c>
      <c r="AC152">
        <v>15550.279999999904</v>
      </c>
      <c r="AD152">
        <v>8834.54000000001</v>
      </c>
      <c r="AE152">
        <v>-6715.7400000000171</v>
      </c>
      <c r="AF152">
        <v>71490.140000000072</v>
      </c>
      <c r="AG152">
        <v>78541.880000000136</v>
      </c>
      <c r="AH152">
        <v>7051.7400000000162</v>
      </c>
      <c r="AI152">
        <v>-4752.6000000000031</v>
      </c>
      <c r="AJ152">
        <v>0</v>
      </c>
      <c r="AK152">
        <v>4752.6000000000031</v>
      </c>
      <c r="AL152">
        <v>76242.73999999986</v>
      </c>
      <c r="AM152">
        <v>78541.880000000136</v>
      </c>
      <c r="AN152">
        <v>2299.1400000000017</v>
      </c>
      <c r="AO152">
        <v>1261</v>
      </c>
    </row>
    <row r="153" spans="1:41" x14ac:dyDescent="0.35">
      <c r="A153">
        <v>2024</v>
      </c>
      <c r="B153">
        <v>4</v>
      </c>
      <c r="C153">
        <v>17</v>
      </c>
      <c r="D153" s="14">
        <v>45407</v>
      </c>
      <c r="E153" t="s">
        <v>44</v>
      </c>
      <c r="F153" t="s">
        <v>42</v>
      </c>
      <c r="G153" t="s">
        <v>45</v>
      </c>
      <c r="H153">
        <v>100662</v>
      </c>
      <c r="I153">
        <v>100662</v>
      </c>
      <c r="J153">
        <v>0</v>
      </c>
      <c r="K153">
        <v>795.87000000000273</v>
      </c>
      <c r="L153">
        <v>795.87000000000273</v>
      </c>
      <c r="M153">
        <v>0</v>
      </c>
      <c r="N153">
        <v>4600.8699999999635</v>
      </c>
      <c r="O153">
        <v>4584.8799999999637</v>
      </c>
      <c r="P153">
        <v>-15.99</v>
      </c>
      <c r="Q153">
        <v>-16716</v>
      </c>
      <c r="R153">
        <v>-16252</v>
      </c>
      <c r="S153">
        <v>464</v>
      </c>
      <c r="T153">
        <v>-6.98</v>
      </c>
      <c r="U153">
        <v>-6.98</v>
      </c>
      <c r="V153">
        <v>0</v>
      </c>
      <c r="W153">
        <v>-59.7</v>
      </c>
      <c r="X153">
        <v>-59.7</v>
      </c>
      <c r="Y153">
        <v>0</v>
      </c>
      <c r="Z153">
        <v>89276.06000000026</v>
      </c>
      <c r="AA153">
        <v>89724.070000000269</v>
      </c>
      <c r="AB153">
        <v>448.01</v>
      </c>
      <c r="AC153">
        <v>16774.179999999902</v>
      </c>
      <c r="AD153">
        <v>8064.6200000000226</v>
      </c>
      <c r="AE153">
        <v>-8709.5600000000159</v>
      </c>
      <c r="AF153">
        <v>72501.880000000121</v>
      </c>
      <c r="AG153">
        <v>81659.450000000186</v>
      </c>
      <c r="AH153">
        <v>9157.5700000000106</v>
      </c>
      <c r="AI153">
        <v>-4152.7000000000016</v>
      </c>
      <c r="AJ153">
        <v>0</v>
      </c>
      <c r="AK153">
        <v>4152.7000000000016</v>
      </c>
      <c r="AL153">
        <v>76654.580000000075</v>
      </c>
      <c r="AM153">
        <v>81659.450000000186</v>
      </c>
      <c r="AN153">
        <v>5004.870000000019</v>
      </c>
      <c r="AO153">
        <v>1307</v>
      </c>
    </row>
    <row r="154" spans="1:41" x14ac:dyDescent="0.35">
      <c r="A154">
        <v>2024</v>
      </c>
      <c r="B154">
        <v>4</v>
      </c>
      <c r="C154">
        <v>17</v>
      </c>
      <c r="D154" s="14">
        <v>45408</v>
      </c>
      <c r="E154" t="s">
        <v>44</v>
      </c>
      <c r="F154" t="s">
        <v>42</v>
      </c>
      <c r="G154" t="s">
        <v>45</v>
      </c>
      <c r="H154">
        <v>96416.57</v>
      </c>
      <c r="I154">
        <v>96416.57</v>
      </c>
      <c r="J154">
        <v>0</v>
      </c>
      <c r="K154">
        <v>738.18000000000347</v>
      </c>
      <c r="L154">
        <v>738.18000000000347</v>
      </c>
      <c r="M154">
        <v>0</v>
      </c>
      <c r="N154">
        <v>4329.0399999999672</v>
      </c>
      <c r="O154">
        <v>4313.0499999999674</v>
      </c>
      <c r="P154">
        <v>-15.99</v>
      </c>
      <c r="Q154">
        <v>-15157.57</v>
      </c>
      <c r="R154">
        <v>-14843.57</v>
      </c>
      <c r="S154">
        <v>314</v>
      </c>
      <c r="T154">
        <v>-0.14000000000000001</v>
      </c>
      <c r="U154">
        <v>-0.14000000000000001</v>
      </c>
      <c r="V154">
        <v>0</v>
      </c>
      <c r="W154">
        <v>-58</v>
      </c>
      <c r="X154">
        <v>-58</v>
      </c>
      <c r="Y154">
        <v>0</v>
      </c>
      <c r="Z154">
        <v>86268.080000000278</v>
      </c>
      <c r="AA154">
        <v>86566.090000000288</v>
      </c>
      <c r="AB154">
        <v>298.01</v>
      </c>
      <c r="AC154">
        <v>16286.129999999905</v>
      </c>
      <c r="AD154">
        <v>8371.9400000000242</v>
      </c>
      <c r="AE154">
        <v>-7914.1900000000223</v>
      </c>
      <c r="AF154">
        <v>69981.950000000099</v>
      </c>
      <c r="AG154">
        <v>78194.150000000169</v>
      </c>
      <c r="AH154">
        <v>8212.2000000000226</v>
      </c>
      <c r="AI154">
        <v>-4328.9300000000067</v>
      </c>
      <c r="AJ154">
        <v>0</v>
      </c>
      <c r="AK154">
        <v>4328.9300000000067</v>
      </c>
      <c r="AL154">
        <v>74310.880000000034</v>
      </c>
      <c r="AM154">
        <v>78194.150000000169</v>
      </c>
      <c r="AN154">
        <v>3883.2700000000141</v>
      </c>
      <c r="AO154">
        <v>1289</v>
      </c>
    </row>
    <row r="155" spans="1:41" x14ac:dyDescent="0.35">
      <c r="A155">
        <v>2024</v>
      </c>
      <c r="B155">
        <v>4</v>
      </c>
      <c r="C155">
        <v>17</v>
      </c>
      <c r="D155" s="14">
        <v>45409</v>
      </c>
      <c r="E155" t="s">
        <v>44</v>
      </c>
      <c r="F155" t="s">
        <v>42</v>
      </c>
      <c r="G155" t="s">
        <v>45</v>
      </c>
      <c r="H155">
        <v>102702</v>
      </c>
      <c r="I155">
        <v>102702</v>
      </c>
      <c r="J155">
        <v>0</v>
      </c>
      <c r="K155">
        <v>835.75000000000421</v>
      </c>
      <c r="L155">
        <v>835.75000000000421</v>
      </c>
      <c r="M155">
        <v>0</v>
      </c>
      <c r="N155">
        <v>4658.8399999999638</v>
      </c>
      <c r="O155">
        <v>4642.849999999964</v>
      </c>
      <c r="P155">
        <v>-15.99</v>
      </c>
      <c r="Q155">
        <v>-16279</v>
      </c>
      <c r="R155">
        <v>-15893</v>
      </c>
      <c r="S155">
        <v>386</v>
      </c>
      <c r="T155">
        <v>-2.3200000000000003</v>
      </c>
      <c r="U155">
        <v>-2.3200000000000003</v>
      </c>
      <c r="V155">
        <v>0</v>
      </c>
      <c r="W155">
        <v>-52</v>
      </c>
      <c r="X155">
        <v>-52</v>
      </c>
      <c r="Y155">
        <v>0</v>
      </c>
      <c r="Z155">
        <v>91863.270000000339</v>
      </c>
      <c r="AA155">
        <v>92233.280000000348</v>
      </c>
      <c r="AB155">
        <v>370.01</v>
      </c>
      <c r="AC155">
        <v>15958.649999999911</v>
      </c>
      <c r="AD155">
        <v>7774.4300000000221</v>
      </c>
      <c r="AE155">
        <v>-8184.2200000000239</v>
      </c>
      <c r="AF155">
        <v>75904.620000000185</v>
      </c>
      <c r="AG155">
        <v>84458.85000000018</v>
      </c>
      <c r="AH155">
        <v>8554.2300000000196</v>
      </c>
      <c r="AI155">
        <v>-4258.67</v>
      </c>
      <c r="AJ155">
        <v>0</v>
      </c>
      <c r="AK155">
        <v>4258.67</v>
      </c>
      <c r="AL155">
        <v>80163.290000000066</v>
      </c>
      <c r="AM155">
        <v>84458.85000000018</v>
      </c>
      <c r="AN155">
        <v>4295.5600000000122</v>
      </c>
      <c r="AO155">
        <v>1365</v>
      </c>
    </row>
    <row r="156" spans="1:41" x14ac:dyDescent="0.35">
      <c r="A156">
        <v>2024</v>
      </c>
      <c r="B156">
        <v>4</v>
      </c>
      <c r="C156">
        <v>17</v>
      </c>
      <c r="D156" s="14">
        <v>45403</v>
      </c>
      <c r="E156" t="s">
        <v>44</v>
      </c>
      <c r="F156" t="s">
        <v>42</v>
      </c>
      <c r="G156" t="s">
        <v>46</v>
      </c>
      <c r="H156">
        <v>43981.26999999996</v>
      </c>
      <c r="I156">
        <v>43981.26999999996</v>
      </c>
      <c r="J156">
        <v>0</v>
      </c>
      <c r="K156">
        <v>261.90999999999997</v>
      </c>
      <c r="L156">
        <v>261.90999999999997</v>
      </c>
      <c r="M156">
        <v>0</v>
      </c>
      <c r="N156">
        <v>1135.2500000000005</v>
      </c>
      <c r="O156">
        <v>1135.2500000000005</v>
      </c>
      <c r="P156">
        <v>0</v>
      </c>
      <c r="Q156">
        <v>-15365.919999999967</v>
      </c>
      <c r="R156">
        <v>-15125.919999999967</v>
      </c>
      <c r="S156">
        <v>240</v>
      </c>
      <c r="T156">
        <v>0</v>
      </c>
      <c r="U156">
        <v>0</v>
      </c>
      <c r="V156">
        <v>0</v>
      </c>
      <c r="W156">
        <v>-10</v>
      </c>
      <c r="X156">
        <v>-10</v>
      </c>
      <c r="Y156">
        <v>0</v>
      </c>
      <c r="Z156">
        <v>30002.510000000009</v>
      </c>
      <c r="AA156">
        <v>30242.510000000009</v>
      </c>
      <c r="AB156">
        <v>240</v>
      </c>
      <c r="AC156">
        <v>7480.5200000000223</v>
      </c>
      <c r="AD156">
        <v>3687.8500000000058</v>
      </c>
      <c r="AE156">
        <v>-3792.670000000006</v>
      </c>
      <c r="AF156">
        <v>22521.990000000034</v>
      </c>
      <c r="AG156">
        <v>26554.660000000036</v>
      </c>
      <c r="AH156">
        <v>4032.6700000000064</v>
      </c>
      <c r="AI156">
        <v>-1165.7499999999993</v>
      </c>
      <c r="AJ156">
        <v>0</v>
      </c>
      <c r="AK156">
        <v>1165.7499999999993</v>
      </c>
      <c r="AL156">
        <v>23687.739999999987</v>
      </c>
      <c r="AM156">
        <v>26554.660000000036</v>
      </c>
      <c r="AN156">
        <v>2866.9200000000033</v>
      </c>
      <c r="AO156">
        <v>520</v>
      </c>
    </row>
    <row r="157" spans="1:41" x14ac:dyDescent="0.35">
      <c r="A157">
        <v>2024</v>
      </c>
      <c r="B157">
        <v>4</v>
      </c>
      <c r="C157">
        <v>17</v>
      </c>
      <c r="D157" s="14">
        <v>45404</v>
      </c>
      <c r="E157" t="s">
        <v>44</v>
      </c>
      <c r="F157" t="s">
        <v>42</v>
      </c>
      <c r="G157" t="s">
        <v>46</v>
      </c>
      <c r="H157">
        <v>33264.239999999969</v>
      </c>
      <c r="I157">
        <v>33264.239999999969</v>
      </c>
      <c r="J157">
        <v>0</v>
      </c>
      <c r="K157">
        <v>115.05999999999983</v>
      </c>
      <c r="L157">
        <v>115.05999999999983</v>
      </c>
      <c r="M157">
        <v>0</v>
      </c>
      <c r="N157">
        <v>1075.2900000000004</v>
      </c>
      <c r="O157">
        <v>1075.2900000000004</v>
      </c>
      <c r="P157">
        <v>0</v>
      </c>
      <c r="Q157">
        <v>-12001.749999999978</v>
      </c>
      <c r="R157">
        <v>-11803.74999999998</v>
      </c>
      <c r="S157">
        <v>198</v>
      </c>
      <c r="T157">
        <v>0</v>
      </c>
      <c r="U157">
        <v>0</v>
      </c>
      <c r="V157">
        <v>0</v>
      </c>
      <c r="W157">
        <v>-10</v>
      </c>
      <c r="X157">
        <v>-10</v>
      </c>
      <c r="Y157">
        <v>0</v>
      </c>
      <c r="Z157">
        <v>22442.840000000007</v>
      </c>
      <c r="AA157">
        <v>22640.840000000007</v>
      </c>
      <c r="AB157">
        <v>198</v>
      </c>
      <c r="AC157">
        <v>6004.6700000000137</v>
      </c>
      <c r="AD157">
        <v>2342.5700000000015</v>
      </c>
      <c r="AE157">
        <v>-3662.1000000000063</v>
      </c>
      <c r="AF157">
        <v>16438.17000000002</v>
      </c>
      <c r="AG157">
        <v>20298.27</v>
      </c>
      <c r="AH157">
        <v>3860.1000000000058</v>
      </c>
      <c r="AI157">
        <v>-880.7399999999999</v>
      </c>
      <c r="AJ157">
        <v>0</v>
      </c>
      <c r="AK157">
        <v>880.7399999999999</v>
      </c>
      <c r="AL157">
        <v>17318.910000000029</v>
      </c>
      <c r="AM157">
        <v>20298.27</v>
      </c>
      <c r="AN157">
        <v>2979.3600000000051</v>
      </c>
      <c r="AO157">
        <v>390</v>
      </c>
    </row>
    <row r="158" spans="1:41" x14ac:dyDescent="0.35">
      <c r="A158">
        <v>2024</v>
      </c>
      <c r="B158">
        <v>4</v>
      </c>
      <c r="C158">
        <v>17</v>
      </c>
      <c r="D158" s="14">
        <v>45405</v>
      </c>
      <c r="E158" t="s">
        <v>44</v>
      </c>
      <c r="F158" t="s">
        <v>42</v>
      </c>
      <c r="G158" t="s">
        <v>46</v>
      </c>
      <c r="H158">
        <v>23919.539999999975</v>
      </c>
      <c r="I158">
        <v>23919.539999999975</v>
      </c>
      <c r="J158">
        <v>0</v>
      </c>
      <c r="K158">
        <v>75.009999999999977</v>
      </c>
      <c r="L158">
        <v>75.009999999999977</v>
      </c>
      <c r="M158">
        <v>0</v>
      </c>
      <c r="N158">
        <v>688.56000000000029</v>
      </c>
      <c r="O158">
        <v>688.56000000000029</v>
      </c>
      <c r="P158">
        <v>0</v>
      </c>
      <c r="Q158">
        <v>-8567.7199999999848</v>
      </c>
      <c r="R158">
        <v>-8505.7199999999848</v>
      </c>
      <c r="S158">
        <v>62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16115.389999999983</v>
      </c>
      <c r="AA158">
        <v>16177.389999999985</v>
      </c>
      <c r="AB158">
        <v>62</v>
      </c>
      <c r="AC158">
        <v>4015.6100000000092</v>
      </c>
      <c r="AD158">
        <v>1771.67</v>
      </c>
      <c r="AE158">
        <v>-2243.940000000001</v>
      </c>
      <c r="AF158">
        <v>12099.779999999992</v>
      </c>
      <c r="AG158">
        <v>14405.719999999992</v>
      </c>
      <c r="AH158">
        <v>2305.940000000001</v>
      </c>
      <c r="AI158">
        <v>-625.89999999999986</v>
      </c>
      <c r="AJ158">
        <v>0</v>
      </c>
      <c r="AK158">
        <v>625.89999999999986</v>
      </c>
      <c r="AL158">
        <v>12725.679999999988</v>
      </c>
      <c r="AM158">
        <v>14405.719999999992</v>
      </c>
      <c r="AN158">
        <v>1680.0399999999988</v>
      </c>
      <c r="AO158">
        <v>277</v>
      </c>
    </row>
    <row r="159" spans="1:41" x14ac:dyDescent="0.35">
      <c r="A159">
        <v>2024</v>
      </c>
      <c r="B159">
        <v>4</v>
      </c>
      <c r="C159">
        <v>17</v>
      </c>
      <c r="D159" s="14">
        <v>45406</v>
      </c>
      <c r="E159" t="s">
        <v>44</v>
      </c>
      <c r="F159" t="s">
        <v>42</v>
      </c>
      <c r="G159" t="s">
        <v>46</v>
      </c>
      <c r="H159">
        <v>30113.249999999978</v>
      </c>
      <c r="I159">
        <v>30113.249999999978</v>
      </c>
      <c r="J159">
        <v>0</v>
      </c>
      <c r="K159">
        <v>214.49000000000009</v>
      </c>
      <c r="L159">
        <v>214.49000000000009</v>
      </c>
      <c r="M159">
        <v>0</v>
      </c>
      <c r="N159">
        <v>806.50000000000034</v>
      </c>
      <c r="O159">
        <v>806.50000000000034</v>
      </c>
      <c r="P159">
        <v>0</v>
      </c>
      <c r="Q159">
        <v>-10203.359999999984</v>
      </c>
      <c r="R159">
        <v>-10102.789999999985</v>
      </c>
      <c r="S159">
        <v>100.57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20930.88</v>
      </c>
      <c r="AA159">
        <v>21031.45</v>
      </c>
      <c r="AB159">
        <v>100.57000000000001</v>
      </c>
      <c r="AC159">
        <v>4535.0700000000106</v>
      </c>
      <c r="AD159">
        <v>2822.0000000000041</v>
      </c>
      <c r="AE159">
        <v>-1713.0700000000006</v>
      </c>
      <c r="AF159">
        <v>16395.810000000019</v>
      </c>
      <c r="AG159">
        <v>18209.450000000019</v>
      </c>
      <c r="AH159">
        <v>1813.6400000000003</v>
      </c>
      <c r="AI159">
        <v>-686.3599999999999</v>
      </c>
      <c r="AJ159">
        <v>0</v>
      </c>
      <c r="AK159">
        <v>686.3599999999999</v>
      </c>
      <c r="AL159">
        <v>17082.169999999998</v>
      </c>
      <c r="AM159">
        <v>18209.450000000019</v>
      </c>
      <c r="AN159">
        <v>1127.2799999999993</v>
      </c>
      <c r="AO159">
        <v>363</v>
      </c>
    </row>
    <row r="160" spans="1:41" x14ac:dyDescent="0.35">
      <c r="A160">
        <v>2024</v>
      </c>
      <c r="B160">
        <v>4</v>
      </c>
      <c r="C160">
        <v>17</v>
      </c>
      <c r="D160" s="14">
        <v>45407</v>
      </c>
      <c r="E160" t="s">
        <v>44</v>
      </c>
      <c r="F160" t="s">
        <v>42</v>
      </c>
      <c r="G160" t="s">
        <v>46</v>
      </c>
      <c r="H160">
        <v>34718.759999999958</v>
      </c>
      <c r="I160">
        <v>34718.759999999958</v>
      </c>
      <c r="J160">
        <v>0</v>
      </c>
      <c r="K160">
        <v>275.02999999999957</v>
      </c>
      <c r="L160">
        <v>275.02999999999957</v>
      </c>
      <c r="M160">
        <v>0</v>
      </c>
      <c r="N160">
        <v>800.51000000000033</v>
      </c>
      <c r="O160">
        <v>749.5400000000003</v>
      </c>
      <c r="P160">
        <v>-50.97</v>
      </c>
      <c r="Q160">
        <v>-11960.499999999976</v>
      </c>
      <c r="R160">
        <v>-11808.499999999976</v>
      </c>
      <c r="S160">
        <v>152</v>
      </c>
      <c r="T160">
        <v>0</v>
      </c>
      <c r="U160">
        <v>0</v>
      </c>
      <c r="V160">
        <v>0</v>
      </c>
      <c r="W160">
        <v>-5</v>
      </c>
      <c r="X160">
        <v>-5</v>
      </c>
      <c r="Y160">
        <v>0</v>
      </c>
      <c r="Z160">
        <v>23828.799999999992</v>
      </c>
      <c r="AA160">
        <v>23929.829999999998</v>
      </c>
      <c r="AB160">
        <v>101.03000000000003</v>
      </c>
      <c r="AC160">
        <v>5734.730000000015</v>
      </c>
      <c r="AD160">
        <v>3075.8800000000033</v>
      </c>
      <c r="AE160">
        <v>-2658.8500000000026</v>
      </c>
      <c r="AF160">
        <v>18094.070000000011</v>
      </c>
      <c r="AG160">
        <v>20853.950000000019</v>
      </c>
      <c r="AH160">
        <v>2759.8800000000024</v>
      </c>
      <c r="AI160">
        <v>-716.77999999999963</v>
      </c>
      <c r="AJ160">
        <v>0</v>
      </c>
      <c r="AK160">
        <v>716.77999999999963</v>
      </c>
      <c r="AL160">
        <v>18810.849999999995</v>
      </c>
      <c r="AM160">
        <v>20853.950000000019</v>
      </c>
      <c r="AN160">
        <v>2043.1000000000017</v>
      </c>
      <c r="AO160">
        <v>414</v>
      </c>
    </row>
    <row r="161" spans="1:41" x14ac:dyDescent="0.35">
      <c r="A161">
        <v>2024</v>
      </c>
      <c r="B161">
        <v>4</v>
      </c>
      <c r="C161">
        <v>17</v>
      </c>
      <c r="D161" s="14">
        <v>45408</v>
      </c>
      <c r="E161" t="s">
        <v>44</v>
      </c>
      <c r="F161" t="s">
        <v>42</v>
      </c>
      <c r="G161" t="s">
        <v>46</v>
      </c>
      <c r="H161">
        <v>35179.429999999957</v>
      </c>
      <c r="I161">
        <v>35179.429999999957</v>
      </c>
      <c r="J161">
        <v>0</v>
      </c>
      <c r="K161">
        <v>203.14999999999984</v>
      </c>
      <c r="L161">
        <v>203.14999999999984</v>
      </c>
      <c r="M161">
        <v>0</v>
      </c>
      <c r="N161">
        <v>970.39000000000044</v>
      </c>
      <c r="O161">
        <v>970.39000000000044</v>
      </c>
      <c r="P161">
        <v>0</v>
      </c>
      <c r="Q161">
        <v>-12567.989999999972</v>
      </c>
      <c r="R161">
        <v>-12335.989999999972</v>
      </c>
      <c r="S161">
        <v>232</v>
      </c>
      <c r="T161">
        <v>-0.46</v>
      </c>
      <c r="U161">
        <v>-0.46</v>
      </c>
      <c r="V161">
        <v>0</v>
      </c>
      <c r="W161">
        <v>-5</v>
      </c>
      <c r="X161">
        <v>-5</v>
      </c>
      <c r="Y161">
        <v>0</v>
      </c>
      <c r="Z161">
        <v>23779.519999999993</v>
      </c>
      <c r="AA161">
        <v>24011.519999999997</v>
      </c>
      <c r="AB161">
        <v>232</v>
      </c>
      <c r="AC161">
        <v>6505.8700000000172</v>
      </c>
      <c r="AD161">
        <v>3514.1700000000055</v>
      </c>
      <c r="AE161">
        <v>-2991.700000000003</v>
      </c>
      <c r="AF161">
        <v>17273.650000000034</v>
      </c>
      <c r="AG161">
        <v>20497.350000000009</v>
      </c>
      <c r="AH161">
        <v>3223.7000000000035</v>
      </c>
      <c r="AI161">
        <v>-1118.1799999999996</v>
      </c>
      <c r="AJ161">
        <v>0</v>
      </c>
      <c r="AK161">
        <v>1118.1799999999996</v>
      </c>
      <c r="AL161">
        <v>18391.830000000005</v>
      </c>
      <c r="AM161">
        <v>20497.350000000009</v>
      </c>
      <c r="AN161">
        <v>2105.5200000000004</v>
      </c>
      <c r="AO161">
        <v>416</v>
      </c>
    </row>
    <row r="162" spans="1:41" x14ac:dyDescent="0.35">
      <c r="A162">
        <v>2024</v>
      </c>
      <c r="B162">
        <v>4</v>
      </c>
      <c r="C162">
        <v>17</v>
      </c>
      <c r="D162" s="14">
        <v>45409</v>
      </c>
      <c r="E162" t="s">
        <v>44</v>
      </c>
      <c r="F162" t="s">
        <v>42</v>
      </c>
      <c r="G162" t="s">
        <v>46</v>
      </c>
      <c r="H162">
        <v>36403.009999999958</v>
      </c>
      <c r="I162">
        <v>36403.009999999958</v>
      </c>
      <c r="J162">
        <v>0</v>
      </c>
      <c r="K162">
        <v>181.36000000000004</v>
      </c>
      <c r="L162">
        <v>181.36000000000004</v>
      </c>
      <c r="M162">
        <v>0</v>
      </c>
      <c r="N162">
        <v>1352.1400000000006</v>
      </c>
      <c r="O162">
        <v>1352.1400000000006</v>
      </c>
      <c r="P162">
        <v>0</v>
      </c>
      <c r="Q162">
        <v>-12766.85999999997</v>
      </c>
      <c r="R162">
        <v>-12666.85999999997</v>
      </c>
      <c r="S162">
        <v>100</v>
      </c>
      <c r="T162">
        <v>-1.4100000000000001</v>
      </c>
      <c r="U162">
        <v>-1.4100000000000001</v>
      </c>
      <c r="V162">
        <v>0</v>
      </c>
      <c r="W162">
        <v>-10</v>
      </c>
      <c r="X162">
        <v>-10</v>
      </c>
      <c r="Y162">
        <v>0</v>
      </c>
      <c r="Z162">
        <v>25158.240000000009</v>
      </c>
      <c r="AA162">
        <v>25258.240000000009</v>
      </c>
      <c r="AB162">
        <v>100</v>
      </c>
      <c r="AC162">
        <v>6954.7600000000202</v>
      </c>
      <c r="AD162">
        <v>3524.8400000000061</v>
      </c>
      <c r="AE162">
        <v>-3429.920000000006</v>
      </c>
      <c r="AF162">
        <v>18203.480000000036</v>
      </c>
      <c r="AG162">
        <v>21733.400000000005</v>
      </c>
      <c r="AH162">
        <v>3529.920000000006</v>
      </c>
      <c r="AI162">
        <v>-1122.9999999999998</v>
      </c>
      <c r="AJ162">
        <v>0</v>
      </c>
      <c r="AK162">
        <v>1122.9999999999998</v>
      </c>
      <c r="AL162">
        <v>19326.480000000025</v>
      </c>
      <c r="AM162">
        <v>21733.400000000005</v>
      </c>
      <c r="AN162">
        <v>2406.9200000000005</v>
      </c>
      <c r="AO162">
        <v>434</v>
      </c>
    </row>
    <row r="163" spans="1:41" x14ac:dyDescent="0.35">
      <c r="A163">
        <v>2024</v>
      </c>
      <c r="B163">
        <v>4</v>
      </c>
      <c r="C163">
        <v>17</v>
      </c>
      <c r="D163" s="14">
        <v>45403</v>
      </c>
      <c r="E163" t="s">
        <v>44</v>
      </c>
      <c r="F163" t="s">
        <v>47</v>
      </c>
      <c r="G163" t="s">
        <v>48</v>
      </c>
      <c r="H163">
        <v>15657.189999999991</v>
      </c>
      <c r="I163">
        <v>15657.189999999991</v>
      </c>
      <c r="J163">
        <v>0</v>
      </c>
      <c r="K163">
        <v>391.84999999999991</v>
      </c>
      <c r="L163">
        <v>391.84999999999991</v>
      </c>
      <c r="M163">
        <v>0</v>
      </c>
      <c r="N163">
        <v>18.990000000000002</v>
      </c>
      <c r="O163">
        <v>18.990000000000002</v>
      </c>
      <c r="P163">
        <v>0</v>
      </c>
      <c r="Q163">
        <v>-4250.9399999999978</v>
      </c>
      <c r="R163">
        <v>-4250.9399999999978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11817.089999999986</v>
      </c>
      <c r="AA163">
        <v>11817.089999999986</v>
      </c>
      <c r="AB163">
        <v>0</v>
      </c>
      <c r="AC163">
        <v>142.31</v>
      </c>
      <c r="AD163">
        <v>96.64</v>
      </c>
      <c r="AE163">
        <v>-45.67</v>
      </c>
      <c r="AF163">
        <v>11674.779999999986</v>
      </c>
      <c r="AG163">
        <v>11720.449999999984</v>
      </c>
      <c r="AH163">
        <v>45.67</v>
      </c>
      <c r="AI163">
        <v>4500.5200000000013</v>
      </c>
      <c r="AJ163">
        <v>0</v>
      </c>
      <c r="AK163">
        <v>-4500.5200000000013</v>
      </c>
      <c r="AL163">
        <v>7174.2600000000084</v>
      </c>
      <c r="AM163">
        <v>11720.449999999984</v>
      </c>
      <c r="AN163">
        <v>4546.1900000000014</v>
      </c>
      <c r="AO163">
        <v>302</v>
      </c>
    </row>
    <row r="164" spans="1:41" x14ac:dyDescent="0.35">
      <c r="A164">
        <v>2024</v>
      </c>
      <c r="B164">
        <v>4</v>
      </c>
      <c r="C164">
        <v>17</v>
      </c>
      <c r="D164" s="14">
        <v>45404</v>
      </c>
      <c r="E164" t="s">
        <v>44</v>
      </c>
      <c r="F164" t="s">
        <v>47</v>
      </c>
      <c r="G164" t="s">
        <v>48</v>
      </c>
      <c r="H164">
        <v>4598.5400000000009</v>
      </c>
      <c r="I164">
        <v>4598.5400000000009</v>
      </c>
      <c r="J164">
        <v>0</v>
      </c>
      <c r="K164">
        <v>41.410000000000004</v>
      </c>
      <c r="L164">
        <v>41.410000000000004</v>
      </c>
      <c r="M164">
        <v>0</v>
      </c>
      <c r="N164">
        <v>27.980000000000004</v>
      </c>
      <c r="O164">
        <v>27.980000000000004</v>
      </c>
      <c r="P164">
        <v>0</v>
      </c>
      <c r="Q164">
        <v>-1286.54</v>
      </c>
      <c r="R164">
        <v>-1275.54</v>
      </c>
      <c r="S164">
        <v>11</v>
      </c>
      <c r="T164">
        <v>-5</v>
      </c>
      <c r="U164">
        <v>-5</v>
      </c>
      <c r="V164">
        <v>0</v>
      </c>
      <c r="W164">
        <v>0</v>
      </c>
      <c r="X164">
        <v>0</v>
      </c>
      <c r="Y164">
        <v>0</v>
      </c>
      <c r="Z164">
        <v>3376.3900000000012</v>
      </c>
      <c r="AA164">
        <v>3387.3900000000012</v>
      </c>
      <c r="AB164">
        <v>11</v>
      </c>
      <c r="AC164">
        <v>117.32999999999998</v>
      </c>
      <c r="AD164">
        <v>20.69</v>
      </c>
      <c r="AE164">
        <v>-96.640000000000015</v>
      </c>
      <c r="AF164">
        <v>3259.0600000000018</v>
      </c>
      <c r="AG164">
        <v>3366.7000000000012</v>
      </c>
      <c r="AH164">
        <v>107.63999999999999</v>
      </c>
      <c r="AI164">
        <v>942.85999999999967</v>
      </c>
      <c r="AJ164">
        <v>0</v>
      </c>
      <c r="AK164">
        <v>-942.85999999999967</v>
      </c>
      <c r="AL164">
        <v>2316.1999999999989</v>
      </c>
      <c r="AM164">
        <v>3366.7000000000012</v>
      </c>
      <c r="AN164">
        <v>1050.4999999999995</v>
      </c>
      <c r="AO164">
        <v>80</v>
      </c>
    </row>
    <row r="165" spans="1:41" x14ac:dyDescent="0.35">
      <c r="A165">
        <v>2024</v>
      </c>
      <c r="B165">
        <v>4</v>
      </c>
      <c r="C165">
        <v>17</v>
      </c>
      <c r="D165" s="14">
        <v>45405</v>
      </c>
      <c r="E165" t="s">
        <v>44</v>
      </c>
      <c r="F165" t="s">
        <v>47</v>
      </c>
      <c r="G165" t="s">
        <v>48</v>
      </c>
      <c r="H165">
        <v>563.45000000000005</v>
      </c>
      <c r="I165">
        <v>563.45000000000005</v>
      </c>
      <c r="J165">
        <v>0</v>
      </c>
      <c r="K165">
        <v>31.62</v>
      </c>
      <c r="L165">
        <v>31.62</v>
      </c>
      <c r="M165">
        <v>0</v>
      </c>
      <c r="N165">
        <v>21.98</v>
      </c>
      <c r="O165">
        <v>21.98</v>
      </c>
      <c r="P165">
        <v>0</v>
      </c>
      <c r="Q165">
        <v>-178.2</v>
      </c>
      <c r="R165">
        <v>-178.2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438.84999999999997</v>
      </c>
      <c r="AA165">
        <v>438.84999999999997</v>
      </c>
      <c r="AB165">
        <v>0</v>
      </c>
      <c r="AC165">
        <v>35.19</v>
      </c>
      <c r="AD165">
        <v>14.5</v>
      </c>
      <c r="AE165">
        <v>-20.69</v>
      </c>
      <c r="AF165">
        <v>403.65999999999997</v>
      </c>
      <c r="AG165">
        <v>424.34999999999997</v>
      </c>
      <c r="AH165">
        <v>20.689999999999998</v>
      </c>
      <c r="AI165">
        <v>39.06</v>
      </c>
      <c r="AJ165">
        <v>0</v>
      </c>
      <c r="AK165">
        <v>-39.06</v>
      </c>
      <c r="AL165">
        <v>364.59999999999997</v>
      </c>
      <c r="AM165">
        <v>424.34999999999997</v>
      </c>
      <c r="AN165">
        <v>59.750000000000007</v>
      </c>
      <c r="AO165">
        <v>13</v>
      </c>
    </row>
    <row r="166" spans="1:41" x14ac:dyDescent="0.35">
      <c r="A166">
        <v>2024</v>
      </c>
      <c r="B166">
        <v>4</v>
      </c>
      <c r="C166">
        <v>17</v>
      </c>
      <c r="D166" s="14">
        <v>45406</v>
      </c>
      <c r="E166" t="s">
        <v>44</v>
      </c>
      <c r="F166" t="s">
        <v>47</v>
      </c>
      <c r="G166" t="s">
        <v>48</v>
      </c>
      <c r="H166">
        <v>2366.5699999999997</v>
      </c>
      <c r="I166">
        <v>2366.5699999999997</v>
      </c>
      <c r="J166">
        <v>0</v>
      </c>
      <c r="K166">
        <v>320.7299999999999</v>
      </c>
      <c r="L166">
        <v>320.7299999999999</v>
      </c>
      <c r="M166">
        <v>0</v>
      </c>
      <c r="N166">
        <v>12.99</v>
      </c>
      <c r="O166">
        <v>12.99</v>
      </c>
      <c r="P166">
        <v>0</v>
      </c>
      <c r="Q166">
        <v>-137.37</v>
      </c>
      <c r="R166">
        <v>-137.37</v>
      </c>
      <c r="S166">
        <v>0</v>
      </c>
      <c r="T166">
        <v>-8</v>
      </c>
      <c r="U166">
        <v>-8</v>
      </c>
      <c r="V166">
        <v>0</v>
      </c>
      <c r="W166">
        <v>0</v>
      </c>
      <c r="X166">
        <v>0</v>
      </c>
      <c r="Y166">
        <v>0</v>
      </c>
      <c r="Z166">
        <v>2554.920000000001</v>
      </c>
      <c r="AA166">
        <v>2554.920000000001</v>
      </c>
      <c r="AB166">
        <v>0</v>
      </c>
      <c r="AC166">
        <v>43</v>
      </c>
      <c r="AD166">
        <v>28.5</v>
      </c>
      <c r="AE166">
        <v>-14.5</v>
      </c>
      <c r="AF166">
        <v>2511.92</v>
      </c>
      <c r="AG166">
        <v>2526.4200000000005</v>
      </c>
      <c r="AH166">
        <v>14.5</v>
      </c>
      <c r="AI166">
        <v>843.06000000000029</v>
      </c>
      <c r="AJ166">
        <v>0</v>
      </c>
      <c r="AK166">
        <v>-843.06000000000029</v>
      </c>
      <c r="AL166">
        <v>1668.8599999999992</v>
      </c>
      <c r="AM166">
        <v>2526.4200000000005</v>
      </c>
      <c r="AN166">
        <v>857.56000000000029</v>
      </c>
      <c r="AO166">
        <v>108</v>
      </c>
    </row>
    <row r="167" spans="1:41" x14ac:dyDescent="0.35">
      <c r="A167">
        <v>2024</v>
      </c>
      <c r="B167">
        <v>4</v>
      </c>
      <c r="C167">
        <v>17</v>
      </c>
      <c r="D167" s="14">
        <v>45407</v>
      </c>
      <c r="E167" t="s">
        <v>44</v>
      </c>
      <c r="F167" t="s">
        <v>47</v>
      </c>
      <c r="G167" t="s">
        <v>48</v>
      </c>
      <c r="H167">
        <v>8769.3200000000161</v>
      </c>
      <c r="I167">
        <v>8769.3200000000161</v>
      </c>
      <c r="J167">
        <v>0</v>
      </c>
      <c r="K167">
        <v>468.7999999999999</v>
      </c>
      <c r="L167">
        <v>468.7999999999999</v>
      </c>
      <c r="M167">
        <v>0</v>
      </c>
      <c r="N167">
        <v>34.980000000000004</v>
      </c>
      <c r="O167">
        <v>34.980000000000004</v>
      </c>
      <c r="P167">
        <v>0</v>
      </c>
      <c r="Q167">
        <v>-1225.6199999999994</v>
      </c>
      <c r="R167">
        <v>-1225.6199999999994</v>
      </c>
      <c r="S167">
        <v>0</v>
      </c>
      <c r="T167">
        <v>-6.6000000000000005</v>
      </c>
      <c r="U167">
        <v>-6.6000000000000005</v>
      </c>
      <c r="V167">
        <v>0</v>
      </c>
      <c r="W167">
        <v>0</v>
      </c>
      <c r="X167">
        <v>0</v>
      </c>
      <c r="Y167">
        <v>0</v>
      </c>
      <c r="Z167">
        <v>8040.8800000000201</v>
      </c>
      <c r="AA167">
        <v>8040.8800000000201</v>
      </c>
      <c r="AB167">
        <v>0</v>
      </c>
      <c r="AC167">
        <v>82.59</v>
      </c>
      <c r="AD167">
        <v>54.09</v>
      </c>
      <c r="AE167">
        <v>-28.5</v>
      </c>
      <c r="AF167">
        <v>7958.2900000000209</v>
      </c>
      <c r="AG167">
        <v>7986.7900000000209</v>
      </c>
      <c r="AH167">
        <v>28.5</v>
      </c>
      <c r="AI167">
        <v>2453.8799999999983</v>
      </c>
      <c r="AJ167">
        <v>0</v>
      </c>
      <c r="AK167">
        <v>-2453.8799999999983</v>
      </c>
      <c r="AL167">
        <v>5504.4099999999944</v>
      </c>
      <c r="AM167">
        <v>7986.7900000000209</v>
      </c>
      <c r="AN167">
        <v>2482.3799999999983</v>
      </c>
      <c r="AO167">
        <v>249</v>
      </c>
    </row>
    <row r="168" spans="1:41" x14ac:dyDescent="0.35">
      <c r="A168">
        <v>2024</v>
      </c>
      <c r="B168">
        <v>4</v>
      </c>
      <c r="C168">
        <v>17</v>
      </c>
      <c r="D168" s="14">
        <v>45408</v>
      </c>
      <c r="E168" t="s">
        <v>44</v>
      </c>
      <c r="F168" t="s">
        <v>47</v>
      </c>
      <c r="G168" t="s">
        <v>48</v>
      </c>
      <c r="H168">
        <v>10538.749999999989</v>
      </c>
      <c r="I168">
        <v>10538.749999999989</v>
      </c>
      <c r="J168">
        <v>0</v>
      </c>
      <c r="K168">
        <v>939.40000000000055</v>
      </c>
      <c r="L168">
        <v>939.40000000000055</v>
      </c>
      <c r="M168">
        <v>0</v>
      </c>
      <c r="N168">
        <v>31.98</v>
      </c>
      <c r="O168">
        <v>31.98</v>
      </c>
      <c r="P168">
        <v>0</v>
      </c>
      <c r="Q168">
        <v>-2505.4000000000024</v>
      </c>
      <c r="R168">
        <v>-2505.4000000000024</v>
      </c>
      <c r="S168">
        <v>0</v>
      </c>
      <c r="T168">
        <v>0</v>
      </c>
      <c r="U168">
        <v>0</v>
      </c>
      <c r="V168">
        <v>0</v>
      </c>
      <c r="W168">
        <v>-15.99</v>
      </c>
      <c r="X168">
        <v>-15.99</v>
      </c>
      <c r="Y168">
        <v>0</v>
      </c>
      <c r="Z168">
        <v>8988.7400000000071</v>
      </c>
      <c r="AA168">
        <v>8988.7400000000071</v>
      </c>
      <c r="AB168">
        <v>0</v>
      </c>
      <c r="AC168">
        <v>83.93</v>
      </c>
      <c r="AD168">
        <v>29.84</v>
      </c>
      <c r="AE168">
        <v>-54.089999999999996</v>
      </c>
      <c r="AF168">
        <v>8904.8100000000068</v>
      </c>
      <c r="AG168">
        <v>8958.9000000000069</v>
      </c>
      <c r="AH168">
        <v>54.089999999999989</v>
      </c>
      <c r="AI168">
        <v>3332.14</v>
      </c>
      <c r="AJ168">
        <v>0</v>
      </c>
      <c r="AK168">
        <v>-3332.14</v>
      </c>
      <c r="AL168">
        <v>5572.6699999999983</v>
      </c>
      <c r="AM168">
        <v>8958.9000000000069</v>
      </c>
      <c r="AN168">
        <v>3386.2299999999996</v>
      </c>
      <c r="AO168">
        <v>259</v>
      </c>
    </row>
    <row r="169" spans="1:41" x14ac:dyDescent="0.35">
      <c r="A169">
        <v>2024</v>
      </c>
      <c r="B169">
        <v>4</v>
      </c>
      <c r="C169">
        <v>17</v>
      </c>
      <c r="D169" s="14">
        <v>45409</v>
      </c>
      <c r="E169" t="s">
        <v>44</v>
      </c>
      <c r="F169" t="s">
        <v>47</v>
      </c>
      <c r="G169" t="s">
        <v>48</v>
      </c>
      <c r="H169">
        <v>5481.9500000000144</v>
      </c>
      <c r="I169">
        <v>5481.9500000000144</v>
      </c>
      <c r="J169">
        <v>0</v>
      </c>
      <c r="K169">
        <v>454.24999999999989</v>
      </c>
      <c r="L169">
        <v>454.24999999999989</v>
      </c>
      <c r="M169">
        <v>0</v>
      </c>
      <c r="N169">
        <v>15.99</v>
      </c>
      <c r="O169">
        <v>15.99</v>
      </c>
      <c r="P169">
        <v>0</v>
      </c>
      <c r="Q169">
        <v>-1065.5999999999999</v>
      </c>
      <c r="R169">
        <v>-1065.5999999999999</v>
      </c>
      <c r="S169">
        <v>0</v>
      </c>
      <c r="T169">
        <v>0</v>
      </c>
      <c r="U169">
        <v>0</v>
      </c>
      <c r="V169">
        <v>0</v>
      </c>
      <c r="W169">
        <v>-15.99</v>
      </c>
      <c r="X169">
        <v>-15.99</v>
      </c>
      <c r="Y169">
        <v>0</v>
      </c>
      <c r="Z169">
        <v>4870.6000000000104</v>
      </c>
      <c r="AA169">
        <v>4870.6000000000104</v>
      </c>
      <c r="AB169">
        <v>0</v>
      </c>
      <c r="AC169">
        <v>57.47</v>
      </c>
      <c r="AD169">
        <v>27.63</v>
      </c>
      <c r="AE169">
        <v>-29.84</v>
      </c>
      <c r="AF169">
        <v>4813.1300000000101</v>
      </c>
      <c r="AG169">
        <v>4842.9700000000103</v>
      </c>
      <c r="AH169">
        <v>29.840000000000003</v>
      </c>
      <c r="AI169">
        <v>1611.5200000000002</v>
      </c>
      <c r="AJ169">
        <v>0</v>
      </c>
      <c r="AK169">
        <v>-1611.5200000000002</v>
      </c>
      <c r="AL169">
        <v>3201.6099999999997</v>
      </c>
      <c r="AM169">
        <v>4842.9700000000103</v>
      </c>
      <c r="AN169">
        <v>1641.3600000000004</v>
      </c>
      <c r="AO169">
        <v>159</v>
      </c>
    </row>
    <row r="170" spans="1:41" x14ac:dyDescent="0.35">
      <c r="A170">
        <v>2024</v>
      </c>
      <c r="B170">
        <v>4</v>
      </c>
      <c r="C170">
        <v>17</v>
      </c>
      <c r="D170" s="14">
        <v>45403</v>
      </c>
      <c r="E170" t="s">
        <v>44</v>
      </c>
      <c r="F170" t="s">
        <v>47</v>
      </c>
      <c r="G170" t="s">
        <v>49</v>
      </c>
      <c r="H170">
        <v>12212.1</v>
      </c>
      <c r="I170">
        <v>12212.1</v>
      </c>
      <c r="J170">
        <v>0</v>
      </c>
      <c r="K170">
        <v>892.54000000000019</v>
      </c>
      <c r="L170">
        <v>892.54000000000019</v>
      </c>
      <c r="M170">
        <v>0</v>
      </c>
      <c r="N170">
        <v>171.91000000000005</v>
      </c>
      <c r="O170">
        <v>171.91000000000005</v>
      </c>
      <c r="P170">
        <v>0</v>
      </c>
      <c r="Q170">
        <v>-3971.7499999999995</v>
      </c>
      <c r="R170">
        <v>-3971.7499999999995</v>
      </c>
      <c r="S170">
        <v>0</v>
      </c>
      <c r="T170">
        <v>-80</v>
      </c>
      <c r="U170">
        <v>-80</v>
      </c>
      <c r="V170">
        <v>0</v>
      </c>
      <c r="W170">
        <v>-5</v>
      </c>
      <c r="X170">
        <v>-5</v>
      </c>
      <c r="Y170">
        <v>0</v>
      </c>
      <c r="Z170">
        <v>9219.8000000000011</v>
      </c>
      <c r="AA170">
        <v>9219.8000000000011</v>
      </c>
      <c r="AB170">
        <v>0</v>
      </c>
      <c r="AC170">
        <v>378.37000000000006</v>
      </c>
      <c r="AD170">
        <v>119.19999999999999</v>
      </c>
      <c r="AE170">
        <v>-259.17</v>
      </c>
      <c r="AF170">
        <v>8841.4300000000021</v>
      </c>
      <c r="AG170">
        <v>9100.6</v>
      </c>
      <c r="AH170">
        <v>259.17000000000007</v>
      </c>
      <c r="AI170">
        <v>1760.389999999999</v>
      </c>
      <c r="AJ170">
        <v>0</v>
      </c>
      <c r="AK170">
        <v>-1760.389999999999</v>
      </c>
      <c r="AL170">
        <v>7081.0400000000054</v>
      </c>
      <c r="AM170">
        <v>9100.6</v>
      </c>
      <c r="AN170">
        <v>2019.5600000000004</v>
      </c>
      <c r="AO170">
        <v>168</v>
      </c>
    </row>
    <row r="171" spans="1:41" x14ac:dyDescent="0.35">
      <c r="A171">
        <v>2024</v>
      </c>
      <c r="B171">
        <v>4</v>
      </c>
      <c r="C171">
        <v>17</v>
      </c>
      <c r="D171" s="14">
        <v>45404</v>
      </c>
      <c r="E171" t="s">
        <v>44</v>
      </c>
      <c r="F171" t="s">
        <v>47</v>
      </c>
      <c r="G171" t="s">
        <v>49</v>
      </c>
      <c r="H171">
        <v>7709.05</v>
      </c>
      <c r="I171">
        <v>7709.05</v>
      </c>
      <c r="J171">
        <v>0</v>
      </c>
      <c r="K171">
        <v>164.85</v>
      </c>
      <c r="L171">
        <v>164.85</v>
      </c>
      <c r="M171">
        <v>0</v>
      </c>
      <c r="N171">
        <v>127.95000000000002</v>
      </c>
      <c r="O171">
        <v>127.95000000000002</v>
      </c>
      <c r="P171">
        <v>0</v>
      </c>
      <c r="Q171">
        <v>-2886.9999999999995</v>
      </c>
      <c r="R171">
        <v>-2886.9999999999995</v>
      </c>
      <c r="S171">
        <v>0</v>
      </c>
      <c r="T171">
        <v>-26</v>
      </c>
      <c r="U171">
        <v>-26</v>
      </c>
      <c r="V171">
        <v>0</v>
      </c>
      <c r="W171">
        <v>-5</v>
      </c>
      <c r="X171">
        <v>-5</v>
      </c>
      <c r="Y171">
        <v>0</v>
      </c>
      <c r="Z171">
        <v>5083.8500000000004</v>
      </c>
      <c r="AA171">
        <v>5083.8500000000004</v>
      </c>
      <c r="AB171">
        <v>0</v>
      </c>
      <c r="AC171">
        <v>199.63</v>
      </c>
      <c r="AD171">
        <v>80.430000000000007</v>
      </c>
      <c r="AE171">
        <v>-119.2</v>
      </c>
      <c r="AF171">
        <v>4884.2200000000012</v>
      </c>
      <c r="AG171">
        <v>5003.420000000001</v>
      </c>
      <c r="AH171">
        <v>119.19999999999999</v>
      </c>
      <c r="AI171">
        <v>1040.94</v>
      </c>
      <c r="AJ171">
        <v>0</v>
      </c>
      <c r="AK171">
        <v>-1040.94</v>
      </c>
      <c r="AL171">
        <v>3843.28</v>
      </c>
      <c r="AM171">
        <v>5003.420000000001</v>
      </c>
      <c r="AN171">
        <v>1160.1399999999999</v>
      </c>
      <c r="AO171">
        <v>97</v>
      </c>
    </row>
    <row r="172" spans="1:41" x14ac:dyDescent="0.35">
      <c r="A172">
        <v>2024</v>
      </c>
      <c r="B172">
        <v>4</v>
      </c>
      <c r="C172">
        <v>17</v>
      </c>
      <c r="D172" s="14">
        <v>45405</v>
      </c>
      <c r="E172" t="s">
        <v>44</v>
      </c>
      <c r="F172" t="s">
        <v>47</v>
      </c>
      <c r="G172" t="s">
        <v>49</v>
      </c>
      <c r="H172">
        <v>1116</v>
      </c>
      <c r="I172">
        <v>1116</v>
      </c>
      <c r="J172">
        <v>0</v>
      </c>
      <c r="K172">
        <v>0.46</v>
      </c>
      <c r="L172">
        <v>0.46</v>
      </c>
      <c r="M172">
        <v>0</v>
      </c>
      <c r="N172">
        <v>8.99</v>
      </c>
      <c r="O172">
        <v>8.99</v>
      </c>
      <c r="P172">
        <v>0</v>
      </c>
      <c r="Q172">
        <v>-523.80000000000007</v>
      </c>
      <c r="R172">
        <v>-523.80000000000007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601.64999999999986</v>
      </c>
      <c r="AA172">
        <v>601.64999999999986</v>
      </c>
      <c r="AB172">
        <v>0</v>
      </c>
      <c r="AC172">
        <v>85.56</v>
      </c>
      <c r="AD172">
        <v>5.13</v>
      </c>
      <c r="AE172">
        <v>-80.430000000000007</v>
      </c>
      <c r="AF172">
        <v>516.0899999999998</v>
      </c>
      <c r="AG172">
        <v>596.51999999999987</v>
      </c>
      <c r="AH172">
        <v>80.429999999999993</v>
      </c>
      <c r="AI172">
        <v>29.310000000000002</v>
      </c>
      <c r="AJ172">
        <v>0</v>
      </c>
      <c r="AK172">
        <v>-29.310000000000002</v>
      </c>
      <c r="AL172">
        <v>486.77999999999992</v>
      </c>
      <c r="AM172">
        <v>596.51999999999987</v>
      </c>
      <c r="AN172">
        <v>109.73999999999998</v>
      </c>
      <c r="AO172">
        <v>13</v>
      </c>
    </row>
    <row r="173" spans="1:41" x14ac:dyDescent="0.35">
      <c r="A173">
        <v>2024</v>
      </c>
      <c r="B173">
        <v>4</v>
      </c>
      <c r="C173">
        <v>17</v>
      </c>
      <c r="D173" s="14">
        <v>45406</v>
      </c>
      <c r="E173" t="s">
        <v>44</v>
      </c>
      <c r="F173" t="s">
        <v>47</v>
      </c>
      <c r="G173" t="s">
        <v>49</v>
      </c>
      <c r="H173">
        <v>2811.1</v>
      </c>
      <c r="I173">
        <v>2811.1</v>
      </c>
      <c r="J173">
        <v>0</v>
      </c>
      <c r="K173">
        <v>21.72</v>
      </c>
      <c r="L173">
        <v>21.72</v>
      </c>
      <c r="M173">
        <v>0</v>
      </c>
      <c r="N173">
        <v>69.960000000000008</v>
      </c>
      <c r="O173">
        <v>69.960000000000008</v>
      </c>
      <c r="P173">
        <v>0</v>
      </c>
      <c r="Q173">
        <v>-1059.8499999999999</v>
      </c>
      <c r="R173">
        <v>-1059.8499999999999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1842.9299999999998</v>
      </c>
      <c r="AA173">
        <v>1842.9299999999998</v>
      </c>
      <c r="AB173">
        <v>0</v>
      </c>
      <c r="AC173">
        <v>136.69999999999999</v>
      </c>
      <c r="AD173">
        <v>131.57</v>
      </c>
      <c r="AE173">
        <v>-5.13</v>
      </c>
      <c r="AF173">
        <v>1706.2299999999998</v>
      </c>
      <c r="AG173">
        <v>1711.36</v>
      </c>
      <c r="AH173">
        <v>5.1300000000000026</v>
      </c>
      <c r="AI173">
        <v>68.63000000000001</v>
      </c>
      <c r="AJ173">
        <v>0</v>
      </c>
      <c r="AK173">
        <v>-68.63000000000001</v>
      </c>
      <c r="AL173">
        <v>1637.6</v>
      </c>
      <c r="AM173">
        <v>1711.36</v>
      </c>
      <c r="AN173">
        <v>73.759999999999977</v>
      </c>
      <c r="AO173">
        <v>31</v>
      </c>
    </row>
    <row r="174" spans="1:41" x14ac:dyDescent="0.35">
      <c r="A174">
        <v>2024</v>
      </c>
      <c r="B174">
        <v>4</v>
      </c>
      <c r="C174">
        <v>17</v>
      </c>
      <c r="D174" s="14">
        <v>45407</v>
      </c>
      <c r="E174" t="s">
        <v>44</v>
      </c>
      <c r="F174" t="s">
        <v>47</v>
      </c>
      <c r="G174" t="s">
        <v>49</v>
      </c>
      <c r="H174">
        <v>10774.050000000014</v>
      </c>
      <c r="I174">
        <v>10774.050000000014</v>
      </c>
      <c r="J174">
        <v>0</v>
      </c>
      <c r="K174">
        <v>514.75999999999976</v>
      </c>
      <c r="L174">
        <v>514.75999999999976</v>
      </c>
      <c r="M174">
        <v>0</v>
      </c>
      <c r="N174">
        <v>159.90000000000003</v>
      </c>
      <c r="O174">
        <v>159.90000000000003</v>
      </c>
      <c r="P174">
        <v>0</v>
      </c>
      <c r="Q174">
        <v>-3792.2000000000003</v>
      </c>
      <c r="R174">
        <v>-3792.2000000000003</v>
      </c>
      <c r="S174">
        <v>0</v>
      </c>
      <c r="T174">
        <v>-12.5</v>
      </c>
      <c r="U174">
        <v>-12.5</v>
      </c>
      <c r="V174">
        <v>0</v>
      </c>
      <c r="W174">
        <v>0</v>
      </c>
      <c r="X174">
        <v>0</v>
      </c>
      <c r="Y174">
        <v>0</v>
      </c>
      <c r="Z174">
        <v>7644.0100000000048</v>
      </c>
      <c r="AA174">
        <v>7644.0100000000048</v>
      </c>
      <c r="AB174">
        <v>0</v>
      </c>
      <c r="AC174">
        <v>543.49999999999989</v>
      </c>
      <c r="AD174">
        <v>411.93</v>
      </c>
      <c r="AE174">
        <v>-131.57</v>
      </c>
      <c r="AF174">
        <v>7100.5100000000011</v>
      </c>
      <c r="AG174">
        <v>7232.0800000000008</v>
      </c>
      <c r="AH174">
        <v>131.57</v>
      </c>
      <c r="AI174">
        <v>1487.0700000000018</v>
      </c>
      <c r="AJ174">
        <v>0</v>
      </c>
      <c r="AK174">
        <v>-1487.0700000000018</v>
      </c>
      <c r="AL174">
        <v>5613.4400000000005</v>
      </c>
      <c r="AM174">
        <v>7232.0800000000008</v>
      </c>
      <c r="AN174">
        <v>1618.6400000000019</v>
      </c>
      <c r="AO174">
        <v>182</v>
      </c>
    </row>
    <row r="175" spans="1:41" x14ac:dyDescent="0.35">
      <c r="A175">
        <v>2024</v>
      </c>
      <c r="B175">
        <v>4</v>
      </c>
      <c r="C175">
        <v>17</v>
      </c>
      <c r="D175" s="14">
        <v>45408</v>
      </c>
      <c r="E175" t="s">
        <v>44</v>
      </c>
      <c r="F175" t="s">
        <v>47</v>
      </c>
      <c r="G175" t="s">
        <v>49</v>
      </c>
      <c r="H175">
        <v>10700.299999999996</v>
      </c>
      <c r="I175">
        <v>10700.299999999996</v>
      </c>
      <c r="J175">
        <v>0</v>
      </c>
      <c r="K175">
        <v>127.90999999999998</v>
      </c>
      <c r="L175">
        <v>127.90999999999998</v>
      </c>
      <c r="M175">
        <v>0</v>
      </c>
      <c r="N175">
        <v>211.88000000000005</v>
      </c>
      <c r="O175">
        <v>211.88000000000005</v>
      </c>
      <c r="P175">
        <v>0</v>
      </c>
      <c r="Q175">
        <v>-3641.8000000000006</v>
      </c>
      <c r="R175">
        <v>-3630.8000000000006</v>
      </c>
      <c r="S175">
        <v>11</v>
      </c>
      <c r="T175">
        <v>-5</v>
      </c>
      <c r="U175">
        <v>-5</v>
      </c>
      <c r="V175">
        <v>0</v>
      </c>
      <c r="W175">
        <v>-5</v>
      </c>
      <c r="X175">
        <v>-5</v>
      </c>
      <c r="Y175">
        <v>0</v>
      </c>
      <c r="Z175">
        <v>7388.2899999999972</v>
      </c>
      <c r="AA175">
        <v>7399.2899999999972</v>
      </c>
      <c r="AB175">
        <v>11</v>
      </c>
      <c r="AC175">
        <v>713.09999999999991</v>
      </c>
      <c r="AD175">
        <v>290.34000000000003</v>
      </c>
      <c r="AE175">
        <v>-422.76</v>
      </c>
      <c r="AF175">
        <v>6675.189999999996</v>
      </c>
      <c r="AG175">
        <v>7108.9499999999971</v>
      </c>
      <c r="AH175">
        <v>433.76</v>
      </c>
      <c r="AI175">
        <v>1137.3999999999996</v>
      </c>
      <c r="AJ175">
        <v>13.58</v>
      </c>
      <c r="AK175">
        <v>-1123.8199999999995</v>
      </c>
      <c r="AL175">
        <v>5537.7899999999991</v>
      </c>
      <c r="AM175">
        <v>7095.3699999999972</v>
      </c>
      <c r="AN175">
        <v>1557.5800000000002</v>
      </c>
      <c r="AO175">
        <v>138</v>
      </c>
    </row>
    <row r="176" spans="1:41" x14ac:dyDescent="0.35">
      <c r="A176">
        <v>2024</v>
      </c>
      <c r="B176">
        <v>4</v>
      </c>
      <c r="C176">
        <v>17</v>
      </c>
      <c r="D176" s="14">
        <v>45409</v>
      </c>
      <c r="E176" t="s">
        <v>44</v>
      </c>
      <c r="F176" t="s">
        <v>47</v>
      </c>
      <c r="G176" t="s">
        <v>49</v>
      </c>
      <c r="H176">
        <v>17730.600000000002</v>
      </c>
      <c r="I176">
        <v>17730.600000000002</v>
      </c>
      <c r="J176">
        <v>0</v>
      </c>
      <c r="K176">
        <v>177.38</v>
      </c>
      <c r="L176">
        <v>177.38</v>
      </c>
      <c r="M176">
        <v>0</v>
      </c>
      <c r="N176">
        <v>208.85000000000002</v>
      </c>
      <c r="O176">
        <v>208.85000000000002</v>
      </c>
      <c r="P176">
        <v>0</v>
      </c>
      <c r="Q176">
        <v>-6323.8000000000011</v>
      </c>
      <c r="R176">
        <v>-6318.8000000000011</v>
      </c>
      <c r="S176">
        <v>5</v>
      </c>
      <c r="T176">
        <v>-10.5</v>
      </c>
      <c r="U176">
        <v>-10.5</v>
      </c>
      <c r="V176">
        <v>0</v>
      </c>
      <c r="W176">
        <v>-25</v>
      </c>
      <c r="X176">
        <v>-25</v>
      </c>
      <c r="Y176">
        <v>0</v>
      </c>
      <c r="Z176">
        <v>11757.529999999999</v>
      </c>
      <c r="AA176">
        <v>11762.529999999999</v>
      </c>
      <c r="AB176">
        <v>5</v>
      </c>
      <c r="AC176">
        <v>390.2</v>
      </c>
      <c r="AD176">
        <v>99.86</v>
      </c>
      <c r="AE176">
        <v>-290.34000000000003</v>
      </c>
      <c r="AF176">
        <v>11367.33</v>
      </c>
      <c r="AG176">
        <v>11662.669999999998</v>
      </c>
      <c r="AH176">
        <v>295.34000000000003</v>
      </c>
      <c r="AI176">
        <v>2907.8699999999981</v>
      </c>
      <c r="AJ176">
        <v>0</v>
      </c>
      <c r="AK176">
        <v>-2907.8699999999981</v>
      </c>
      <c r="AL176">
        <v>8459.4599999999955</v>
      </c>
      <c r="AM176">
        <v>11662.669999999998</v>
      </c>
      <c r="AN176">
        <v>3203.2099999999982</v>
      </c>
      <c r="AO176">
        <v>232</v>
      </c>
    </row>
    <row r="177" spans="1:41" x14ac:dyDescent="0.35">
      <c r="A177">
        <v>2024</v>
      </c>
      <c r="B177">
        <v>4</v>
      </c>
      <c r="C177">
        <v>17</v>
      </c>
      <c r="D177" s="14">
        <v>45403</v>
      </c>
      <c r="E177" t="s">
        <v>44</v>
      </c>
      <c r="F177" t="s">
        <v>47</v>
      </c>
      <c r="G177" t="s">
        <v>50</v>
      </c>
      <c r="H177">
        <v>20113.150000000001</v>
      </c>
      <c r="I177">
        <v>20113.150000000001</v>
      </c>
      <c r="J177">
        <v>0</v>
      </c>
      <c r="K177">
        <v>490.47999999999973</v>
      </c>
      <c r="L177">
        <v>490.47999999999973</v>
      </c>
      <c r="M177">
        <v>0</v>
      </c>
      <c r="N177">
        <v>628.59000000000026</v>
      </c>
      <c r="O177">
        <v>628.59000000000026</v>
      </c>
      <c r="P177">
        <v>0</v>
      </c>
      <c r="Q177">
        <v>-6314</v>
      </c>
      <c r="R177">
        <v>-6256</v>
      </c>
      <c r="S177">
        <v>58</v>
      </c>
      <c r="T177">
        <v>-40</v>
      </c>
      <c r="U177">
        <v>-40</v>
      </c>
      <c r="V177">
        <v>0</v>
      </c>
      <c r="W177">
        <v>-15</v>
      </c>
      <c r="X177">
        <v>-15</v>
      </c>
      <c r="Y177">
        <v>0</v>
      </c>
      <c r="Z177">
        <v>14863.22</v>
      </c>
      <c r="AA177">
        <v>14921.22</v>
      </c>
      <c r="AB177">
        <v>58</v>
      </c>
      <c r="AC177">
        <v>2155.880000000001</v>
      </c>
      <c r="AD177">
        <v>1120.7999999999997</v>
      </c>
      <c r="AE177">
        <v>-1035.0800000000002</v>
      </c>
      <c r="AF177">
        <v>12707.34</v>
      </c>
      <c r="AG177">
        <v>13800.419999999998</v>
      </c>
      <c r="AH177">
        <v>1093.0800000000002</v>
      </c>
      <c r="AI177">
        <v>-735.82999999999959</v>
      </c>
      <c r="AJ177">
        <v>0</v>
      </c>
      <c r="AK177">
        <v>735.82999999999959</v>
      </c>
      <c r="AL177">
        <v>13443.170000000007</v>
      </c>
      <c r="AM177">
        <v>13800.419999999998</v>
      </c>
      <c r="AN177">
        <v>357.24999999999989</v>
      </c>
      <c r="AO177">
        <v>225</v>
      </c>
    </row>
    <row r="178" spans="1:41" x14ac:dyDescent="0.35">
      <c r="A178">
        <v>2024</v>
      </c>
      <c r="B178">
        <v>4</v>
      </c>
      <c r="C178">
        <v>17</v>
      </c>
      <c r="D178" s="14">
        <v>45404</v>
      </c>
      <c r="E178" t="s">
        <v>44</v>
      </c>
      <c r="F178" t="s">
        <v>47</v>
      </c>
      <c r="G178" t="s">
        <v>50</v>
      </c>
      <c r="H178">
        <v>18468.57</v>
      </c>
      <c r="I178">
        <v>18468.57</v>
      </c>
      <c r="J178">
        <v>0</v>
      </c>
      <c r="K178">
        <v>424.28999999999979</v>
      </c>
      <c r="L178">
        <v>424.28999999999979</v>
      </c>
      <c r="M178">
        <v>0</v>
      </c>
      <c r="N178">
        <v>805.52000000000032</v>
      </c>
      <c r="O178">
        <v>805.52000000000032</v>
      </c>
      <c r="P178">
        <v>0</v>
      </c>
      <c r="Q178">
        <v>-5478.57</v>
      </c>
      <c r="R178">
        <v>-5354.57</v>
      </c>
      <c r="S178">
        <v>124</v>
      </c>
      <c r="T178">
        <v>-15</v>
      </c>
      <c r="U178">
        <v>-15</v>
      </c>
      <c r="V178">
        <v>0</v>
      </c>
      <c r="W178">
        <v>-35</v>
      </c>
      <c r="X178">
        <v>-35</v>
      </c>
      <c r="Y178">
        <v>0</v>
      </c>
      <c r="Z178">
        <v>14169.809999999989</v>
      </c>
      <c r="AA178">
        <v>14293.809999999987</v>
      </c>
      <c r="AB178">
        <v>124</v>
      </c>
      <c r="AC178">
        <v>1988.5</v>
      </c>
      <c r="AD178">
        <v>867.7</v>
      </c>
      <c r="AE178">
        <v>-1120.8000000000002</v>
      </c>
      <c r="AF178">
        <v>12181.309999999996</v>
      </c>
      <c r="AG178">
        <v>13426.109999999995</v>
      </c>
      <c r="AH178">
        <v>1244.8000000000002</v>
      </c>
      <c r="AI178">
        <v>-570.38999999999987</v>
      </c>
      <c r="AJ178">
        <v>0</v>
      </c>
      <c r="AK178">
        <v>570.38999999999987</v>
      </c>
      <c r="AL178">
        <v>12751.699999999995</v>
      </c>
      <c r="AM178">
        <v>13426.109999999995</v>
      </c>
      <c r="AN178">
        <v>674.40999999999985</v>
      </c>
      <c r="AO178">
        <v>203</v>
      </c>
    </row>
    <row r="179" spans="1:41" x14ac:dyDescent="0.35">
      <c r="A179">
        <v>2024</v>
      </c>
      <c r="B179">
        <v>4</v>
      </c>
      <c r="C179">
        <v>17</v>
      </c>
      <c r="D179" s="14">
        <v>45405</v>
      </c>
      <c r="E179" t="s">
        <v>44</v>
      </c>
      <c r="F179" t="s">
        <v>47</v>
      </c>
      <c r="G179" t="s">
        <v>50</v>
      </c>
      <c r="H179">
        <v>15256.57</v>
      </c>
      <c r="I179">
        <v>15256.57</v>
      </c>
      <c r="J179">
        <v>0</v>
      </c>
      <c r="K179">
        <v>197.60999999999996</v>
      </c>
      <c r="L179">
        <v>197.60999999999996</v>
      </c>
      <c r="M179">
        <v>0</v>
      </c>
      <c r="N179">
        <v>544.67000000000019</v>
      </c>
      <c r="O179">
        <v>544.67000000000019</v>
      </c>
      <c r="P179">
        <v>0</v>
      </c>
      <c r="Q179">
        <v>-4903.57</v>
      </c>
      <c r="R179">
        <v>-4809.57</v>
      </c>
      <c r="S179">
        <v>94</v>
      </c>
      <c r="T179">
        <v>-5</v>
      </c>
      <c r="U179">
        <v>-5</v>
      </c>
      <c r="V179">
        <v>0</v>
      </c>
      <c r="W179">
        <v>-10</v>
      </c>
      <c r="X179">
        <v>-10</v>
      </c>
      <c r="Y179">
        <v>0</v>
      </c>
      <c r="Z179">
        <v>11080.279999999993</v>
      </c>
      <c r="AA179">
        <v>11174.279999999993</v>
      </c>
      <c r="AB179">
        <v>94</v>
      </c>
      <c r="AC179">
        <v>1468.8500000000004</v>
      </c>
      <c r="AD179">
        <v>630.14999999999986</v>
      </c>
      <c r="AE179">
        <v>-838.69999999999982</v>
      </c>
      <c r="AF179">
        <v>9611.4299999999948</v>
      </c>
      <c r="AG179">
        <v>10544.129999999994</v>
      </c>
      <c r="AH179">
        <v>932.6999999999997</v>
      </c>
      <c r="AI179">
        <v>-459.55999999999983</v>
      </c>
      <c r="AJ179">
        <v>0</v>
      </c>
      <c r="AK179">
        <v>459.55999999999983</v>
      </c>
      <c r="AL179">
        <v>10070.989999999998</v>
      </c>
      <c r="AM179">
        <v>10544.129999999994</v>
      </c>
      <c r="AN179">
        <v>473.14</v>
      </c>
      <c r="AO179">
        <v>168</v>
      </c>
    </row>
    <row r="180" spans="1:41" x14ac:dyDescent="0.35">
      <c r="A180">
        <v>2024</v>
      </c>
      <c r="B180">
        <v>4</v>
      </c>
      <c r="C180">
        <v>17</v>
      </c>
      <c r="D180" s="14">
        <v>45406</v>
      </c>
      <c r="E180" t="s">
        <v>44</v>
      </c>
      <c r="F180" t="s">
        <v>47</v>
      </c>
      <c r="G180" t="s">
        <v>50</v>
      </c>
      <c r="H180">
        <v>19482.099999999999</v>
      </c>
      <c r="I180">
        <v>19482.099999999999</v>
      </c>
      <c r="J180">
        <v>0</v>
      </c>
      <c r="K180">
        <v>338.0999999999998</v>
      </c>
      <c r="L180">
        <v>338.0999999999998</v>
      </c>
      <c r="M180">
        <v>0</v>
      </c>
      <c r="N180">
        <v>904.45000000000039</v>
      </c>
      <c r="O180">
        <v>904.45000000000039</v>
      </c>
      <c r="P180">
        <v>0</v>
      </c>
      <c r="Q180">
        <v>-5761.58</v>
      </c>
      <c r="R180">
        <v>-5732.880000000001</v>
      </c>
      <c r="S180">
        <v>28.699999999999996</v>
      </c>
      <c r="T180">
        <v>-35</v>
      </c>
      <c r="U180">
        <v>-35</v>
      </c>
      <c r="V180">
        <v>0</v>
      </c>
      <c r="W180">
        <v>-28.990000000000002</v>
      </c>
      <c r="X180">
        <v>-28.990000000000002</v>
      </c>
      <c r="Y180">
        <v>0</v>
      </c>
      <c r="Z180">
        <v>14899.079999999987</v>
      </c>
      <c r="AA180">
        <v>14927.779999999988</v>
      </c>
      <c r="AB180">
        <v>28.699999999999996</v>
      </c>
      <c r="AC180">
        <v>1853.2800000000013</v>
      </c>
      <c r="AD180">
        <v>1250.7600000000002</v>
      </c>
      <c r="AE180">
        <v>-602.5200000000001</v>
      </c>
      <c r="AF180">
        <v>13045.800000000001</v>
      </c>
      <c r="AG180">
        <v>13677.019999999991</v>
      </c>
      <c r="AH180">
        <v>631.22</v>
      </c>
      <c r="AI180">
        <v>-772.86999999999978</v>
      </c>
      <c r="AJ180">
        <v>0</v>
      </c>
      <c r="AK180">
        <v>772.86999999999978</v>
      </c>
      <c r="AL180">
        <v>13818.670000000004</v>
      </c>
      <c r="AM180">
        <v>13677.019999999991</v>
      </c>
      <c r="AN180">
        <v>-141.65000000000003</v>
      </c>
      <c r="AO180">
        <v>216</v>
      </c>
    </row>
    <row r="181" spans="1:41" x14ac:dyDescent="0.35">
      <c r="A181">
        <v>2024</v>
      </c>
      <c r="B181">
        <v>4</v>
      </c>
      <c r="C181">
        <v>17</v>
      </c>
      <c r="D181" s="14">
        <v>45407</v>
      </c>
      <c r="E181" t="s">
        <v>44</v>
      </c>
      <c r="F181" t="s">
        <v>47</v>
      </c>
      <c r="G181" t="s">
        <v>50</v>
      </c>
      <c r="H181">
        <v>20092.249999999996</v>
      </c>
      <c r="I181">
        <v>20092.249999999996</v>
      </c>
      <c r="J181">
        <v>0</v>
      </c>
      <c r="K181">
        <v>527.27999999999975</v>
      </c>
      <c r="L181">
        <v>527.27999999999975</v>
      </c>
      <c r="M181">
        <v>0</v>
      </c>
      <c r="N181">
        <v>1011.3900000000004</v>
      </c>
      <c r="O181">
        <v>1011.3900000000004</v>
      </c>
      <c r="P181">
        <v>0</v>
      </c>
      <c r="Q181">
        <v>-5931.68</v>
      </c>
      <c r="R181">
        <v>-5844.68</v>
      </c>
      <c r="S181">
        <v>87</v>
      </c>
      <c r="T181">
        <v>-35</v>
      </c>
      <c r="U181">
        <v>-35</v>
      </c>
      <c r="V181">
        <v>0</v>
      </c>
      <c r="W181">
        <v>-45.99</v>
      </c>
      <c r="X181">
        <v>-45.99</v>
      </c>
      <c r="Y181">
        <v>0</v>
      </c>
      <c r="Z181">
        <v>15618.249999999978</v>
      </c>
      <c r="AA181">
        <v>15705.249999999978</v>
      </c>
      <c r="AB181">
        <v>87</v>
      </c>
      <c r="AC181">
        <v>2135.6100000000029</v>
      </c>
      <c r="AD181">
        <v>884.84999999999991</v>
      </c>
      <c r="AE181">
        <v>-1250.7600000000002</v>
      </c>
      <c r="AF181">
        <v>13482.640000000003</v>
      </c>
      <c r="AG181">
        <v>14820.399999999991</v>
      </c>
      <c r="AH181">
        <v>1337.7600000000004</v>
      </c>
      <c r="AI181">
        <v>-559.95000000000016</v>
      </c>
      <c r="AJ181">
        <v>0</v>
      </c>
      <c r="AK181">
        <v>559.95000000000016</v>
      </c>
      <c r="AL181">
        <v>14042.590000000009</v>
      </c>
      <c r="AM181">
        <v>14820.399999999991</v>
      </c>
      <c r="AN181">
        <v>777.81</v>
      </c>
      <c r="AO181">
        <v>225</v>
      </c>
    </row>
    <row r="182" spans="1:41" x14ac:dyDescent="0.35">
      <c r="A182">
        <v>2024</v>
      </c>
      <c r="B182">
        <v>4</v>
      </c>
      <c r="C182">
        <v>17</v>
      </c>
      <c r="D182" s="14">
        <v>45408</v>
      </c>
      <c r="E182" t="s">
        <v>44</v>
      </c>
      <c r="F182" t="s">
        <v>47</v>
      </c>
      <c r="G182" t="s">
        <v>50</v>
      </c>
      <c r="H182">
        <v>19341.399999999998</v>
      </c>
      <c r="I182">
        <v>19341.399999999998</v>
      </c>
      <c r="J182">
        <v>0</v>
      </c>
      <c r="K182">
        <v>545.55999999999972</v>
      </c>
      <c r="L182">
        <v>545.55999999999972</v>
      </c>
      <c r="M182">
        <v>0</v>
      </c>
      <c r="N182">
        <v>991.42000000000041</v>
      </c>
      <c r="O182">
        <v>991.42000000000041</v>
      </c>
      <c r="P182">
        <v>0</v>
      </c>
      <c r="Q182">
        <v>-5539.34</v>
      </c>
      <c r="R182">
        <v>-5451.34</v>
      </c>
      <c r="S182">
        <v>88</v>
      </c>
      <c r="T182">
        <v>-45</v>
      </c>
      <c r="U182">
        <v>-45</v>
      </c>
      <c r="V182">
        <v>0</v>
      </c>
      <c r="W182">
        <v>-50</v>
      </c>
      <c r="X182">
        <v>-50</v>
      </c>
      <c r="Y182">
        <v>0</v>
      </c>
      <c r="Z182">
        <v>15244.039999999995</v>
      </c>
      <c r="AA182">
        <v>15332.039999999995</v>
      </c>
      <c r="AB182">
        <v>88</v>
      </c>
      <c r="AC182">
        <v>1717.2100000000005</v>
      </c>
      <c r="AD182">
        <v>809.86</v>
      </c>
      <c r="AE182">
        <v>-907.34999999999991</v>
      </c>
      <c r="AF182">
        <v>13526.830000000004</v>
      </c>
      <c r="AG182">
        <v>14522.179999999995</v>
      </c>
      <c r="AH182">
        <v>995.3499999999998</v>
      </c>
      <c r="AI182">
        <v>-525.47</v>
      </c>
      <c r="AJ182">
        <v>0</v>
      </c>
      <c r="AK182">
        <v>525.47</v>
      </c>
      <c r="AL182">
        <v>14052.30000000001</v>
      </c>
      <c r="AM182">
        <v>14522.179999999995</v>
      </c>
      <c r="AN182">
        <v>469.87999999999994</v>
      </c>
      <c r="AO182">
        <v>217</v>
      </c>
    </row>
    <row r="183" spans="1:41" x14ac:dyDescent="0.35">
      <c r="A183">
        <v>2024</v>
      </c>
      <c r="B183">
        <v>4</v>
      </c>
      <c r="C183">
        <v>17</v>
      </c>
      <c r="D183" s="14">
        <v>45409</v>
      </c>
      <c r="E183" t="s">
        <v>44</v>
      </c>
      <c r="F183" t="s">
        <v>47</v>
      </c>
      <c r="G183" t="s">
        <v>50</v>
      </c>
      <c r="H183">
        <v>19614.099999999999</v>
      </c>
      <c r="I183">
        <v>19614.099999999999</v>
      </c>
      <c r="J183">
        <v>0</v>
      </c>
      <c r="K183">
        <v>288.43999999999994</v>
      </c>
      <c r="L183">
        <v>288.43999999999994</v>
      </c>
      <c r="M183">
        <v>0</v>
      </c>
      <c r="N183">
        <v>915.4300000000004</v>
      </c>
      <c r="O183">
        <v>915.4300000000004</v>
      </c>
      <c r="P183">
        <v>0</v>
      </c>
      <c r="Q183">
        <v>-6093.35</v>
      </c>
      <c r="R183">
        <v>-5993.35</v>
      </c>
      <c r="S183">
        <v>100</v>
      </c>
      <c r="T183">
        <v>-5</v>
      </c>
      <c r="U183">
        <v>-5</v>
      </c>
      <c r="V183">
        <v>0</v>
      </c>
      <c r="W183">
        <v>-20</v>
      </c>
      <c r="X183">
        <v>-20</v>
      </c>
      <c r="Y183">
        <v>0</v>
      </c>
      <c r="Z183">
        <v>14699.619999999986</v>
      </c>
      <c r="AA183">
        <v>14799.619999999986</v>
      </c>
      <c r="AB183">
        <v>100.00000000000003</v>
      </c>
      <c r="AC183">
        <v>2069.3200000000015</v>
      </c>
      <c r="AD183">
        <v>1260.8300000000002</v>
      </c>
      <c r="AE183">
        <v>-808.4899999999999</v>
      </c>
      <c r="AF183">
        <v>12630.299999999994</v>
      </c>
      <c r="AG183">
        <v>13538.789999999994</v>
      </c>
      <c r="AH183">
        <v>908.48999999999978</v>
      </c>
      <c r="AI183">
        <v>-710.34000000000015</v>
      </c>
      <c r="AJ183">
        <v>0</v>
      </c>
      <c r="AK183">
        <v>710.34000000000015</v>
      </c>
      <c r="AL183">
        <v>13340.640000000009</v>
      </c>
      <c r="AM183">
        <v>13538.789999999994</v>
      </c>
      <c r="AN183">
        <v>198.14999999999981</v>
      </c>
      <c r="AO183">
        <v>219</v>
      </c>
    </row>
    <row r="184" spans="1:41" x14ac:dyDescent="0.35">
      <c r="A184">
        <v>2024</v>
      </c>
      <c r="B184">
        <v>4</v>
      </c>
      <c r="C184">
        <v>17</v>
      </c>
      <c r="D184" s="14">
        <v>45403</v>
      </c>
      <c r="E184" t="s">
        <v>44</v>
      </c>
      <c r="F184" t="s">
        <v>47</v>
      </c>
      <c r="G184" t="s">
        <v>51</v>
      </c>
      <c r="H184">
        <v>5230.6499999999987</v>
      </c>
      <c r="I184">
        <v>5230.6499999999987</v>
      </c>
      <c r="J184">
        <v>0</v>
      </c>
      <c r="K184">
        <v>370</v>
      </c>
      <c r="L184">
        <v>370</v>
      </c>
      <c r="M184">
        <v>0</v>
      </c>
      <c r="N184">
        <v>18.990000000000002</v>
      </c>
      <c r="O184">
        <v>18.990000000000002</v>
      </c>
      <c r="P184">
        <v>0</v>
      </c>
      <c r="Q184">
        <v>-667.29999999999984</v>
      </c>
      <c r="R184">
        <v>-667.29999999999984</v>
      </c>
      <c r="S184">
        <v>0</v>
      </c>
      <c r="T184">
        <v>-148</v>
      </c>
      <c r="U184">
        <v>-148</v>
      </c>
      <c r="V184">
        <v>0</v>
      </c>
      <c r="W184">
        <v>0</v>
      </c>
      <c r="X184">
        <v>0</v>
      </c>
      <c r="Y184">
        <v>0</v>
      </c>
      <c r="Z184">
        <v>4804.3399999999992</v>
      </c>
      <c r="AA184">
        <v>4804.3399999999992</v>
      </c>
      <c r="AB184">
        <v>0</v>
      </c>
      <c r="AC184">
        <v>99.96</v>
      </c>
      <c r="AD184">
        <v>16.66</v>
      </c>
      <c r="AE184">
        <v>-83.3</v>
      </c>
      <c r="AF184">
        <v>4704.38</v>
      </c>
      <c r="AG184">
        <v>4787.6799999999994</v>
      </c>
      <c r="AH184">
        <v>83.299999999999983</v>
      </c>
      <c r="AI184">
        <v>844.18000000000018</v>
      </c>
      <c r="AJ184">
        <v>0</v>
      </c>
      <c r="AK184">
        <v>-844.18000000000018</v>
      </c>
      <c r="AL184">
        <v>3860.2000000000007</v>
      </c>
      <c r="AM184">
        <v>4787.6799999999994</v>
      </c>
      <c r="AN184">
        <v>927.48000000000059</v>
      </c>
      <c r="AO184">
        <v>109</v>
      </c>
    </row>
    <row r="185" spans="1:41" x14ac:dyDescent="0.35">
      <c r="A185">
        <v>2024</v>
      </c>
      <c r="B185">
        <v>4</v>
      </c>
      <c r="C185">
        <v>17</v>
      </c>
      <c r="D185" s="14">
        <v>45404</v>
      </c>
      <c r="E185" t="s">
        <v>44</v>
      </c>
      <c r="F185" t="s">
        <v>47</v>
      </c>
      <c r="G185" t="s">
        <v>51</v>
      </c>
      <c r="H185">
        <v>2570.5</v>
      </c>
      <c r="I185">
        <v>2570.5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-627.79999999999995</v>
      </c>
      <c r="R185">
        <v>-627.79999999999995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1942.7000000000003</v>
      </c>
      <c r="AA185">
        <v>1942.7000000000003</v>
      </c>
      <c r="AB185">
        <v>0</v>
      </c>
      <c r="AC185">
        <v>24.990000000000002</v>
      </c>
      <c r="AE185">
        <v>-24.990000000000002</v>
      </c>
      <c r="AF185">
        <v>1917.7100000000005</v>
      </c>
      <c r="AG185">
        <v>1942.7000000000003</v>
      </c>
      <c r="AH185">
        <v>24.989999999999995</v>
      </c>
      <c r="AI185">
        <v>491.34000000000015</v>
      </c>
      <c r="AJ185">
        <v>5.79</v>
      </c>
      <c r="AK185">
        <v>-485.55000000000013</v>
      </c>
      <c r="AL185">
        <v>1426.3700000000001</v>
      </c>
      <c r="AM185">
        <v>1936.9100000000003</v>
      </c>
      <c r="AN185">
        <v>510.54</v>
      </c>
      <c r="AO185">
        <v>43</v>
      </c>
    </row>
    <row r="186" spans="1:41" x14ac:dyDescent="0.35">
      <c r="A186">
        <v>2024</v>
      </c>
      <c r="B186">
        <v>4</v>
      </c>
      <c r="C186">
        <v>17</v>
      </c>
      <c r="D186" s="14">
        <v>45406</v>
      </c>
      <c r="E186" t="s">
        <v>44</v>
      </c>
      <c r="F186" t="s">
        <v>47</v>
      </c>
      <c r="G186" t="s">
        <v>51</v>
      </c>
      <c r="H186">
        <v>2847.0999999999995</v>
      </c>
      <c r="I186">
        <v>2847.0999999999995</v>
      </c>
      <c r="J186">
        <v>0</v>
      </c>
      <c r="K186">
        <v>80</v>
      </c>
      <c r="L186">
        <v>80</v>
      </c>
      <c r="M186">
        <v>0</v>
      </c>
      <c r="N186">
        <v>0</v>
      </c>
      <c r="O186">
        <v>0</v>
      </c>
      <c r="P186">
        <v>0</v>
      </c>
      <c r="Q186">
        <v>-587</v>
      </c>
      <c r="R186">
        <v>-587</v>
      </c>
      <c r="S186">
        <v>0</v>
      </c>
      <c r="T186">
        <v>-32</v>
      </c>
      <c r="U186">
        <v>-32</v>
      </c>
      <c r="V186">
        <v>0</v>
      </c>
      <c r="W186">
        <v>0</v>
      </c>
      <c r="X186">
        <v>0</v>
      </c>
      <c r="Y186">
        <v>0</v>
      </c>
      <c r="Z186">
        <v>2308.0999999999995</v>
      </c>
      <c r="AA186">
        <v>2308.0999999999995</v>
      </c>
      <c r="AB186">
        <v>0</v>
      </c>
      <c r="AC186">
        <v>24.990000000000002</v>
      </c>
      <c r="AD186">
        <v>24.990000000000002</v>
      </c>
      <c r="AE186">
        <v>0</v>
      </c>
      <c r="AF186">
        <v>2283.1099999999992</v>
      </c>
      <c r="AG186">
        <v>2283.1099999999992</v>
      </c>
      <c r="AH186">
        <v>0</v>
      </c>
      <c r="AI186">
        <v>509.46</v>
      </c>
      <c r="AJ186">
        <v>0</v>
      </c>
      <c r="AK186">
        <v>-509.46</v>
      </c>
      <c r="AL186">
        <v>1773.6499999999996</v>
      </c>
      <c r="AM186">
        <v>2283.1099999999992</v>
      </c>
      <c r="AN186">
        <v>509.46</v>
      </c>
      <c r="AO186">
        <v>54</v>
      </c>
    </row>
    <row r="187" spans="1:41" x14ac:dyDescent="0.35">
      <c r="A187">
        <v>2024</v>
      </c>
      <c r="B187">
        <v>4</v>
      </c>
      <c r="C187">
        <v>17</v>
      </c>
      <c r="D187" s="14">
        <v>45407</v>
      </c>
      <c r="E187" t="s">
        <v>44</v>
      </c>
      <c r="F187" t="s">
        <v>47</v>
      </c>
      <c r="G187" t="s">
        <v>51</v>
      </c>
      <c r="H187">
        <v>3257.4500000000003</v>
      </c>
      <c r="I187">
        <v>3257.4500000000003</v>
      </c>
      <c r="J187">
        <v>0</v>
      </c>
      <c r="K187">
        <v>10</v>
      </c>
      <c r="L187">
        <v>10</v>
      </c>
      <c r="M187">
        <v>0</v>
      </c>
      <c r="N187">
        <v>0</v>
      </c>
      <c r="O187">
        <v>0</v>
      </c>
      <c r="P187">
        <v>0</v>
      </c>
      <c r="Q187">
        <v>-847.19999999999982</v>
      </c>
      <c r="R187">
        <v>-775.80000000000007</v>
      </c>
      <c r="S187">
        <v>71.400000000000006</v>
      </c>
      <c r="T187">
        <v>-4</v>
      </c>
      <c r="U187">
        <v>-4</v>
      </c>
      <c r="V187">
        <v>0</v>
      </c>
      <c r="W187">
        <v>0</v>
      </c>
      <c r="X187">
        <v>0</v>
      </c>
      <c r="Y187">
        <v>0</v>
      </c>
      <c r="Z187">
        <v>2416.25</v>
      </c>
      <c r="AA187">
        <v>2487.6500000000005</v>
      </c>
      <c r="AB187">
        <v>71.399999999999991</v>
      </c>
      <c r="AC187">
        <v>49.98</v>
      </c>
      <c r="AD187">
        <v>24.990000000000002</v>
      </c>
      <c r="AE187">
        <v>-24.990000000000002</v>
      </c>
      <c r="AF187">
        <v>2366.27</v>
      </c>
      <c r="AG187">
        <v>2462.6600000000003</v>
      </c>
      <c r="AH187">
        <v>96.389999999999986</v>
      </c>
      <c r="AI187">
        <v>611.66999999999996</v>
      </c>
      <c r="AJ187">
        <v>0</v>
      </c>
      <c r="AK187">
        <v>-611.66999999999996</v>
      </c>
      <c r="AL187">
        <v>1754.6</v>
      </c>
      <c r="AM187">
        <v>2462.6600000000003</v>
      </c>
      <c r="AN187">
        <v>708.06</v>
      </c>
      <c r="AO187">
        <v>50</v>
      </c>
    </row>
    <row r="188" spans="1:41" x14ac:dyDescent="0.35">
      <c r="A188">
        <v>2024</v>
      </c>
      <c r="B188">
        <v>4</v>
      </c>
      <c r="C188">
        <v>17</v>
      </c>
      <c r="D188" s="14">
        <v>45408</v>
      </c>
      <c r="E188" t="s">
        <v>44</v>
      </c>
      <c r="F188" t="s">
        <v>47</v>
      </c>
      <c r="G188" t="s">
        <v>51</v>
      </c>
      <c r="H188">
        <v>5629.3499999999995</v>
      </c>
      <c r="I188">
        <v>5629.3499999999995</v>
      </c>
      <c r="J188">
        <v>0</v>
      </c>
      <c r="K188">
        <v>22.5</v>
      </c>
      <c r="L188">
        <v>22.5</v>
      </c>
      <c r="M188">
        <v>0</v>
      </c>
      <c r="N188">
        <v>0</v>
      </c>
      <c r="O188">
        <v>0</v>
      </c>
      <c r="P188">
        <v>0</v>
      </c>
      <c r="Q188">
        <v>-1192.8000000000004</v>
      </c>
      <c r="R188">
        <v>-1192.8000000000004</v>
      </c>
      <c r="S188">
        <v>0</v>
      </c>
      <c r="T188">
        <v>-4</v>
      </c>
      <c r="U188">
        <v>-4</v>
      </c>
      <c r="V188">
        <v>0</v>
      </c>
      <c r="W188">
        <v>0</v>
      </c>
      <c r="X188">
        <v>0</v>
      </c>
      <c r="Y188">
        <v>0</v>
      </c>
      <c r="Z188">
        <v>4455.0500000000011</v>
      </c>
      <c r="AA188">
        <v>4455.0500000000011</v>
      </c>
      <c r="AB188">
        <v>0</v>
      </c>
      <c r="AC188">
        <v>24.990000000000002</v>
      </c>
      <c r="AE188">
        <v>-24.990000000000002</v>
      </c>
      <c r="AF188">
        <v>4430.0600000000013</v>
      </c>
      <c r="AG188">
        <v>4455.0500000000011</v>
      </c>
      <c r="AH188">
        <v>24.989999999999995</v>
      </c>
      <c r="AI188">
        <v>1100.8100000000009</v>
      </c>
      <c r="AJ188">
        <v>0</v>
      </c>
      <c r="AK188">
        <v>-1100.8100000000009</v>
      </c>
      <c r="AL188">
        <v>3329.2500000000027</v>
      </c>
      <c r="AM188">
        <v>4455.0500000000011</v>
      </c>
      <c r="AN188">
        <v>1125.8000000000009</v>
      </c>
      <c r="AO188">
        <v>94</v>
      </c>
    </row>
    <row r="189" spans="1:41" x14ac:dyDescent="0.35">
      <c r="A189">
        <v>2024</v>
      </c>
      <c r="B189">
        <v>4</v>
      </c>
      <c r="C189">
        <v>17</v>
      </c>
      <c r="D189" s="14">
        <v>45409</v>
      </c>
      <c r="E189" t="s">
        <v>44</v>
      </c>
      <c r="F189" t="s">
        <v>47</v>
      </c>
      <c r="G189" t="s">
        <v>51</v>
      </c>
      <c r="H189">
        <v>2724</v>
      </c>
      <c r="I189">
        <v>2724</v>
      </c>
      <c r="J189">
        <v>0</v>
      </c>
      <c r="K189">
        <v>20</v>
      </c>
      <c r="L189">
        <v>20</v>
      </c>
      <c r="M189">
        <v>0</v>
      </c>
      <c r="N189">
        <v>0</v>
      </c>
      <c r="O189">
        <v>0</v>
      </c>
      <c r="P189">
        <v>0</v>
      </c>
      <c r="Q189">
        <v>-777.54999999999984</v>
      </c>
      <c r="R189">
        <v>-813.24999999999989</v>
      </c>
      <c r="S189">
        <v>-35.700000000000003</v>
      </c>
      <c r="T189">
        <v>-8</v>
      </c>
      <c r="U189">
        <v>-8</v>
      </c>
      <c r="V189">
        <v>0</v>
      </c>
      <c r="W189">
        <v>0</v>
      </c>
      <c r="X189">
        <v>0</v>
      </c>
      <c r="Y189">
        <v>0</v>
      </c>
      <c r="Z189">
        <v>1958.4499999999998</v>
      </c>
      <c r="AA189">
        <v>1922.7499999999998</v>
      </c>
      <c r="AB189">
        <v>-35.699999999999996</v>
      </c>
      <c r="AC189">
        <v>16.66</v>
      </c>
      <c r="AD189">
        <v>8.33</v>
      </c>
      <c r="AE189">
        <v>-8.33</v>
      </c>
      <c r="AF189">
        <v>1941.79</v>
      </c>
      <c r="AG189">
        <v>1914.4199999999998</v>
      </c>
      <c r="AH189">
        <v>-27.369999999999997</v>
      </c>
      <c r="AI189">
        <v>394.73</v>
      </c>
      <c r="AJ189">
        <v>5.48</v>
      </c>
      <c r="AK189">
        <v>-389.25</v>
      </c>
      <c r="AL189">
        <v>1547.0599999999993</v>
      </c>
      <c r="AM189">
        <v>1908.9399999999998</v>
      </c>
      <c r="AN189">
        <v>361.88000000000005</v>
      </c>
      <c r="AO189">
        <v>43</v>
      </c>
    </row>
    <row r="190" spans="1:41" x14ac:dyDescent="0.35">
      <c r="A190">
        <v>2024</v>
      </c>
      <c r="B190">
        <v>4</v>
      </c>
      <c r="C190">
        <v>18</v>
      </c>
      <c r="D190" s="14">
        <v>45410</v>
      </c>
      <c r="E190" t="s">
        <v>41</v>
      </c>
      <c r="F190" t="s">
        <v>42</v>
      </c>
      <c r="G190" t="s">
        <v>43</v>
      </c>
      <c r="H190">
        <v>85916</v>
      </c>
      <c r="I190">
        <v>85916</v>
      </c>
      <c r="J190">
        <v>0</v>
      </c>
      <c r="K190">
        <v>1015.6100000000104</v>
      </c>
      <c r="L190">
        <v>1022.6100000000109</v>
      </c>
      <c r="M190">
        <v>7</v>
      </c>
      <c r="N190">
        <v>2262.2899999999977</v>
      </c>
      <c r="O190">
        <v>2262.2899999999977</v>
      </c>
      <c r="P190">
        <v>0</v>
      </c>
      <c r="Q190">
        <v>-8712</v>
      </c>
      <c r="R190">
        <v>-7817</v>
      </c>
      <c r="S190">
        <v>895</v>
      </c>
      <c r="T190">
        <v>-2.56</v>
      </c>
      <c r="U190">
        <v>-3.0200000000000005</v>
      </c>
      <c r="V190">
        <v>-0.46</v>
      </c>
      <c r="W190">
        <v>-86.98</v>
      </c>
      <c r="X190">
        <v>-86.98</v>
      </c>
      <c r="Y190">
        <v>0</v>
      </c>
      <c r="Z190">
        <v>80392.359999999942</v>
      </c>
      <c r="AA190">
        <v>81293.89999999998</v>
      </c>
      <c r="AB190">
        <v>901.54</v>
      </c>
      <c r="AC190">
        <v>21730.889999999894</v>
      </c>
      <c r="AD190">
        <v>12445.009999999998</v>
      </c>
      <c r="AE190">
        <v>-9285.8800000000228</v>
      </c>
      <c r="AF190">
        <v>58661.470000000205</v>
      </c>
      <c r="AG190">
        <v>68848.889999999854</v>
      </c>
      <c r="AH190">
        <v>10187.420000000011</v>
      </c>
      <c r="AI190">
        <v>-6363.4099999999962</v>
      </c>
      <c r="AJ190">
        <v>0</v>
      </c>
      <c r="AK190">
        <v>6363.4099999999962</v>
      </c>
      <c r="AL190">
        <v>65024.880000000157</v>
      </c>
      <c r="AM190">
        <v>68848.889999999854</v>
      </c>
      <c r="AN190">
        <v>3824.0100000000211</v>
      </c>
      <c r="AO190">
        <v>1483</v>
      </c>
    </row>
    <row r="191" spans="1:41" x14ac:dyDescent="0.35">
      <c r="A191">
        <v>2024</v>
      </c>
      <c r="B191">
        <v>4</v>
      </c>
      <c r="C191">
        <v>18</v>
      </c>
      <c r="D191" s="14">
        <v>45411</v>
      </c>
      <c r="E191" t="s">
        <v>41</v>
      </c>
      <c r="F191" t="s">
        <v>42</v>
      </c>
      <c r="G191" t="s">
        <v>43</v>
      </c>
      <c r="H191">
        <v>87191</v>
      </c>
      <c r="I191">
        <v>87191</v>
      </c>
      <c r="J191">
        <v>0</v>
      </c>
      <c r="K191">
        <v>889.51000000000352</v>
      </c>
      <c r="L191">
        <v>889.51000000000352</v>
      </c>
      <c r="M191">
        <v>0</v>
      </c>
      <c r="N191">
        <v>2470.1499999999933</v>
      </c>
      <c r="O191">
        <v>2438.1699999999942</v>
      </c>
      <c r="P191">
        <v>-31.98</v>
      </c>
      <c r="Q191">
        <v>-9350.25</v>
      </c>
      <c r="R191">
        <v>-8820.25</v>
      </c>
      <c r="S191">
        <v>530</v>
      </c>
      <c r="T191">
        <v>-3.96</v>
      </c>
      <c r="U191">
        <v>-3.96</v>
      </c>
      <c r="V191">
        <v>0</v>
      </c>
      <c r="W191">
        <v>-82.97</v>
      </c>
      <c r="X191">
        <v>-82.97</v>
      </c>
      <c r="Y191">
        <v>0</v>
      </c>
      <c r="Z191">
        <v>81113.48</v>
      </c>
      <c r="AA191">
        <v>81611.5</v>
      </c>
      <c r="AB191">
        <v>498.02</v>
      </c>
      <c r="AC191">
        <v>23553.35999999976</v>
      </c>
      <c r="AD191">
        <v>11260.009999999998</v>
      </c>
      <c r="AE191">
        <v>-12293.349999999997</v>
      </c>
      <c r="AF191">
        <v>57560.120000000075</v>
      </c>
      <c r="AG191">
        <v>70351.489999999947</v>
      </c>
      <c r="AH191">
        <v>12791.369999999988</v>
      </c>
      <c r="AI191">
        <v>-5872.169999999991</v>
      </c>
      <c r="AJ191">
        <v>0</v>
      </c>
      <c r="AK191">
        <v>5872.169999999991</v>
      </c>
      <c r="AL191">
        <v>63432.290000000059</v>
      </c>
      <c r="AM191">
        <v>70351.489999999947</v>
      </c>
      <c r="AN191">
        <v>6919.2000000000517</v>
      </c>
      <c r="AO191">
        <v>1516</v>
      </c>
    </row>
    <row r="192" spans="1:41" x14ac:dyDescent="0.35">
      <c r="A192">
        <v>2024</v>
      </c>
      <c r="B192">
        <v>4</v>
      </c>
      <c r="C192">
        <v>18</v>
      </c>
      <c r="D192" s="14">
        <v>45412</v>
      </c>
      <c r="E192" t="s">
        <v>41</v>
      </c>
      <c r="F192" t="s">
        <v>42</v>
      </c>
      <c r="G192" t="s">
        <v>43</v>
      </c>
      <c r="H192">
        <v>77440.75</v>
      </c>
      <c r="I192">
        <v>77440.75</v>
      </c>
      <c r="J192">
        <v>0</v>
      </c>
      <c r="K192">
        <v>788.09000000000287</v>
      </c>
      <c r="L192">
        <v>788.09000000000287</v>
      </c>
      <c r="M192">
        <v>0</v>
      </c>
      <c r="N192">
        <v>2013.4500000000012</v>
      </c>
      <c r="O192">
        <v>2013.4500000000012</v>
      </c>
      <c r="P192">
        <v>0</v>
      </c>
      <c r="Q192">
        <v>-8025.5</v>
      </c>
      <c r="R192">
        <v>-7031.5</v>
      </c>
      <c r="S192">
        <v>994</v>
      </c>
      <c r="T192">
        <v>-3.97</v>
      </c>
      <c r="U192">
        <v>-3.97</v>
      </c>
      <c r="V192">
        <v>0</v>
      </c>
      <c r="W192">
        <v>-66.98</v>
      </c>
      <c r="X192">
        <v>-66.98</v>
      </c>
      <c r="Y192">
        <v>0</v>
      </c>
      <c r="Z192">
        <v>72145.839999999778</v>
      </c>
      <c r="AA192">
        <v>73139.839999999793</v>
      </c>
      <c r="AB192">
        <v>994</v>
      </c>
      <c r="AC192">
        <v>21245.299999999872</v>
      </c>
      <c r="AD192">
        <v>10148.320000000014</v>
      </c>
      <c r="AE192">
        <v>-11096.980000000003</v>
      </c>
      <c r="AF192">
        <v>50900.540000000125</v>
      </c>
      <c r="AG192">
        <v>62991.519999999917</v>
      </c>
      <c r="AH192">
        <v>12090.979999999989</v>
      </c>
      <c r="AI192">
        <v>-5351.89</v>
      </c>
      <c r="AJ192">
        <v>0</v>
      </c>
      <c r="AK192">
        <v>5351.89</v>
      </c>
      <c r="AL192">
        <v>56252.429999999964</v>
      </c>
      <c r="AM192">
        <v>62991.519999999917</v>
      </c>
      <c r="AN192">
        <v>6739.0900000000338</v>
      </c>
      <c r="AO192">
        <v>1346</v>
      </c>
    </row>
    <row r="193" spans="1:41" x14ac:dyDescent="0.35">
      <c r="A193">
        <v>2024</v>
      </c>
      <c r="B193">
        <v>4</v>
      </c>
      <c r="C193">
        <v>18</v>
      </c>
      <c r="D193" s="14">
        <v>45410</v>
      </c>
      <c r="E193" t="s">
        <v>44</v>
      </c>
      <c r="F193" t="s">
        <v>42</v>
      </c>
      <c r="G193" t="s">
        <v>45</v>
      </c>
      <c r="H193">
        <v>112268.5</v>
      </c>
      <c r="I193">
        <v>112268.5</v>
      </c>
      <c r="J193">
        <v>0</v>
      </c>
      <c r="K193">
        <v>875.65000000000202</v>
      </c>
      <c r="L193">
        <v>875.65000000000202</v>
      </c>
      <c r="M193">
        <v>0</v>
      </c>
      <c r="N193">
        <v>5051.6399999999567</v>
      </c>
      <c r="O193">
        <v>5051.6399999999567</v>
      </c>
      <c r="P193">
        <v>0</v>
      </c>
      <c r="Q193">
        <v>-18564.25</v>
      </c>
      <c r="R193">
        <v>-18139.25</v>
      </c>
      <c r="S193">
        <v>425</v>
      </c>
      <c r="T193">
        <v>-3.4800000000000004</v>
      </c>
      <c r="U193">
        <v>-3.4800000000000004</v>
      </c>
      <c r="V193">
        <v>0</v>
      </c>
      <c r="W193">
        <v>-54</v>
      </c>
      <c r="X193">
        <v>-54</v>
      </c>
      <c r="Y193">
        <v>0</v>
      </c>
      <c r="Z193">
        <v>99574.060000000347</v>
      </c>
      <c r="AA193">
        <v>99999.060000000347</v>
      </c>
      <c r="AB193">
        <v>425</v>
      </c>
      <c r="AC193">
        <v>18769.639999999872</v>
      </c>
      <c r="AD193">
        <v>11026.339999999995</v>
      </c>
      <c r="AE193">
        <v>-7743.3000000000193</v>
      </c>
      <c r="AF193">
        <v>80804.43000000027</v>
      </c>
      <c r="AG193">
        <v>88972.730000000316</v>
      </c>
      <c r="AH193">
        <v>8168.3000000000193</v>
      </c>
      <c r="AI193">
        <v>-5573.1900000000014</v>
      </c>
      <c r="AJ193">
        <v>0</v>
      </c>
      <c r="AK193">
        <v>5573.1900000000014</v>
      </c>
      <c r="AL193">
        <v>86377.62000000001</v>
      </c>
      <c r="AM193">
        <v>88972.730000000316</v>
      </c>
      <c r="AN193">
        <v>2595.1100000000069</v>
      </c>
      <c r="AO193">
        <v>1449</v>
      </c>
    </row>
    <row r="194" spans="1:41" x14ac:dyDescent="0.35">
      <c r="A194">
        <v>2024</v>
      </c>
      <c r="B194">
        <v>4</v>
      </c>
      <c r="C194">
        <v>18</v>
      </c>
      <c r="D194" s="14">
        <v>45411</v>
      </c>
      <c r="E194" t="s">
        <v>44</v>
      </c>
      <c r="F194" t="s">
        <v>42</v>
      </c>
      <c r="G194" t="s">
        <v>45</v>
      </c>
      <c r="H194">
        <v>119549.32</v>
      </c>
      <c r="I194">
        <v>119549.32</v>
      </c>
      <c r="J194">
        <v>0</v>
      </c>
      <c r="K194">
        <v>931.50000000000534</v>
      </c>
      <c r="L194">
        <v>931.50000000000534</v>
      </c>
      <c r="M194">
        <v>0</v>
      </c>
      <c r="N194">
        <v>5555.3299999999508</v>
      </c>
      <c r="O194">
        <v>5555.3299999999508</v>
      </c>
      <c r="P194">
        <v>0</v>
      </c>
      <c r="Q194">
        <v>-20653.82</v>
      </c>
      <c r="R194">
        <v>-20528.82</v>
      </c>
      <c r="S194">
        <v>125</v>
      </c>
      <c r="T194">
        <v>-11.920000000000003</v>
      </c>
      <c r="U194">
        <v>-11.920000000000003</v>
      </c>
      <c r="V194">
        <v>0</v>
      </c>
      <c r="W194">
        <v>-112.09</v>
      </c>
      <c r="X194">
        <v>-112.09</v>
      </c>
      <c r="Y194">
        <v>0</v>
      </c>
      <c r="Z194">
        <v>105258.32000000065</v>
      </c>
      <c r="AA194">
        <v>105383.32000000065</v>
      </c>
      <c r="AB194">
        <v>125</v>
      </c>
      <c r="AC194">
        <v>20641.809999999856</v>
      </c>
      <c r="AD194">
        <v>9731.0299999999988</v>
      </c>
      <c r="AE194">
        <v>-10910.77999999999</v>
      </c>
      <c r="AF194">
        <v>84616.510000000257</v>
      </c>
      <c r="AG194">
        <v>95652.290000000401</v>
      </c>
      <c r="AH194">
        <v>11035.779999999988</v>
      </c>
      <c r="AI194">
        <v>-5222.1700000000092</v>
      </c>
      <c r="AJ194">
        <v>0</v>
      </c>
      <c r="AK194">
        <v>5222.1700000000092</v>
      </c>
      <c r="AL194">
        <v>89838.68000000024</v>
      </c>
      <c r="AM194">
        <v>95652.290000000401</v>
      </c>
      <c r="AN194">
        <v>5813.6100000000179</v>
      </c>
      <c r="AO194">
        <v>1530</v>
      </c>
    </row>
    <row r="195" spans="1:41" x14ac:dyDescent="0.35">
      <c r="A195">
        <v>2024</v>
      </c>
      <c r="B195">
        <v>4</v>
      </c>
      <c r="C195">
        <v>18</v>
      </c>
      <c r="D195" s="14">
        <v>45412</v>
      </c>
      <c r="E195" t="s">
        <v>44</v>
      </c>
      <c r="F195" t="s">
        <v>42</v>
      </c>
      <c r="G195" t="s">
        <v>45</v>
      </c>
      <c r="H195">
        <v>91786.57</v>
      </c>
      <c r="I195">
        <v>91786.57</v>
      </c>
      <c r="J195">
        <v>0</v>
      </c>
      <c r="K195">
        <v>753.1</v>
      </c>
      <c r="L195">
        <v>753.1</v>
      </c>
      <c r="M195">
        <v>0</v>
      </c>
      <c r="N195">
        <v>4146.2999999999702</v>
      </c>
      <c r="O195">
        <v>4098.3299999999708</v>
      </c>
      <c r="P195">
        <v>-47.97</v>
      </c>
      <c r="Q195">
        <v>-16302.32</v>
      </c>
      <c r="R195">
        <v>-15737.32</v>
      </c>
      <c r="S195">
        <v>565</v>
      </c>
      <c r="T195">
        <v>-4.1900000000000004</v>
      </c>
      <c r="U195">
        <v>-4.1900000000000004</v>
      </c>
      <c r="V195">
        <v>0</v>
      </c>
      <c r="W195">
        <v>-54.6</v>
      </c>
      <c r="X195">
        <v>-54.6</v>
      </c>
      <c r="Y195">
        <v>0</v>
      </c>
      <c r="Z195">
        <v>80324.86</v>
      </c>
      <c r="AA195">
        <v>80841.890000000014</v>
      </c>
      <c r="AB195">
        <v>517.03</v>
      </c>
      <c r="AC195">
        <v>16110.249999999913</v>
      </c>
      <c r="AD195">
        <v>6725.700000000018</v>
      </c>
      <c r="AE195">
        <v>-9384.5500000000029</v>
      </c>
      <c r="AF195">
        <v>64214.610000000052</v>
      </c>
      <c r="AG195">
        <v>74116.190000000017</v>
      </c>
      <c r="AH195">
        <v>9901.5799999999963</v>
      </c>
      <c r="AI195">
        <v>-3741.3899999999944</v>
      </c>
      <c r="AJ195">
        <v>0</v>
      </c>
      <c r="AK195">
        <v>3741.3899999999944</v>
      </c>
      <c r="AL195">
        <v>67955.999999999956</v>
      </c>
      <c r="AM195">
        <v>74116.190000000017</v>
      </c>
      <c r="AN195">
        <v>6160.1900000000214</v>
      </c>
      <c r="AO195">
        <v>1174</v>
      </c>
    </row>
    <row r="196" spans="1:41" x14ac:dyDescent="0.35">
      <c r="A196">
        <v>2024</v>
      </c>
      <c r="B196">
        <v>4</v>
      </c>
      <c r="C196">
        <v>18</v>
      </c>
      <c r="D196" s="14">
        <v>45410</v>
      </c>
      <c r="E196" t="s">
        <v>44</v>
      </c>
      <c r="F196" t="s">
        <v>42</v>
      </c>
      <c r="G196" t="s">
        <v>46</v>
      </c>
      <c r="H196">
        <v>40623.989999999962</v>
      </c>
      <c r="I196">
        <v>40623.989999999962</v>
      </c>
      <c r="J196">
        <v>0</v>
      </c>
      <c r="K196">
        <v>276.13999999999976</v>
      </c>
      <c r="L196">
        <v>276.13999999999976</v>
      </c>
      <c r="M196">
        <v>0</v>
      </c>
      <c r="N196">
        <v>1499.0500000000006</v>
      </c>
      <c r="O196">
        <v>1499.0500000000006</v>
      </c>
      <c r="P196">
        <v>0</v>
      </c>
      <c r="Q196">
        <v>-14140.029999999972</v>
      </c>
      <c r="R196">
        <v>-13871.029999999972</v>
      </c>
      <c r="S196">
        <v>269</v>
      </c>
      <c r="T196">
        <v>-0.95000000000000007</v>
      </c>
      <c r="U196">
        <v>-0.95000000000000007</v>
      </c>
      <c r="V196">
        <v>0</v>
      </c>
      <c r="W196">
        <v>-5</v>
      </c>
      <c r="X196">
        <v>-5</v>
      </c>
      <c r="Y196">
        <v>0</v>
      </c>
      <c r="Z196">
        <v>28253.200000000026</v>
      </c>
      <c r="AA196">
        <v>28522.200000000023</v>
      </c>
      <c r="AB196">
        <v>269</v>
      </c>
      <c r="AC196">
        <v>7536.0100000000202</v>
      </c>
      <c r="AD196">
        <v>4011.1700000000069</v>
      </c>
      <c r="AE196">
        <v>-3524.8400000000056</v>
      </c>
      <c r="AF196">
        <v>20717.190000000046</v>
      </c>
      <c r="AG196">
        <v>24511.030000000035</v>
      </c>
      <c r="AH196">
        <v>3793.8400000000051</v>
      </c>
      <c r="AI196">
        <v>-1103.7699999999998</v>
      </c>
      <c r="AJ196">
        <v>0</v>
      </c>
      <c r="AK196">
        <v>1103.7699999999998</v>
      </c>
      <c r="AL196">
        <v>21820.960000000017</v>
      </c>
      <c r="AM196">
        <v>24511.030000000035</v>
      </c>
      <c r="AN196">
        <v>2690.0700000000033</v>
      </c>
      <c r="AO196">
        <v>488</v>
      </c>
    </row>
    <row r="197" spans="1:41" x14ac:dyDescent="0.35">
      <c r="A197">
        <v>2024</v>
      </c>
      <c r="B197">
        <v>4</v>
      </c>
      <c r="C197">
        <v>18</v>
      </c>
      <c r="D197" s="14">
        <v>45411</v>
      </c>
      <c r="E197" t="s">
        <v>44</v>
      </c>
      <c r="F197" t="s">
        <v>42</v>
      </c>
      <c r="G197" t="s">
        <v>46</v>
      </c>
      <c r="H197">
        <v>35696.939999999966</v>
      </c>
      <c r="I197">
        <v>35696.939999999966</v>
      </c>
      <c r="J197">
        <v>0</v>
      </c>
      <c r="K197">
        <v>151.43000000000004</v>
      </c>
      <c r="L197">
        <v>151.43000000000004</v>
      </c>
      <c r="M197">
        <v>0</v>
      </c>
      <c r="N197">
        <v>1013.3200000000005</v>
      </c>
      <c r="O197">
        <v>997.3300000000005</v>
      </c>
      <c r="P197">
        <v>-15.99</v>
      </c>
      <c r="Q197">
        <v>-13061.819999999974</v>
      </c>
      <c r="R197">
        <v>-13056.819999999974</v>
      </c>
      <c r="S197">
        <v>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23799.869999999995</v>
      </c>
      <c r="AA197">
        <v>23788.879999999997</v>
      </c>
      <c r="AB197">
        <v>-10.989999999999995</v>
      </c>
      <c r="AC197">
        <v>6688.5100000000184</v>
      </c>
      <c r="AD197">
        <v>2742.1000000000031</v>
      </c>
      <c r="AE197">
        <v>-3946.410000000008</v>
      </c>
      <c r="AF197">
        <v>17111.360000000037</v>
      </c>
      <c r="AG197">
        <v>21046.780000000013</v>
      </c>
      <c r="AH197">
        <v>3935.4200000000078</v>
      </c>
      <c r="AI197">
        <v>-955.40999999999985</v>
      </c>
      <c r="AJ197">
        <v>0</v>
      </c>
      <c r="AK197">
        <v>955.40999999999985</v>
      </c>
      <c r="AL197">
        <v>18066.770000000033</v>
      </c>
      <c r="AM197">
        <v>21046.780000000013</v>
      </c>
      <c r="AN197">
        <v>2980.0100000000034</v>
      </c>
      <c r="AO197">
        <v>416</v>
      </c>
    </row>
    <row r="198" spans="1:41" x14ac:dyDescent="0.35">
      <c r="A198">
        <v>2024</v>
      </c>
      <c r="B198">
        <v>4</v>
      </c>
      <c r="C198">
        <v>18</v>
      </c>
      <c r="D198" s="14">
        <v>45412</v>
      </c>
      <c r="E198" t="s">
        <v>44</v>
      </c>
      <c r="F198" t="s">
        <v>42</v>
      </c>
      <c r="G198" t="s">
        <v>46</v>
      </c>
      <c r="H198">
        <v>24469.469999999979</v>
      </c>
      <c r="I198">
        <v>24469.469999999979</v>
      </c>
      <c r="J198">
        <v>0</v>
      </c>
      <c r="K198">
        <v>110.41999999999982</v>
      </c>
      <c r="L198">
        <v>110.41999999999982</v>
      </c>
      <c r="M198">
        <v>0</v>
      </c>
      <c r="N198">
        <v>564.61000000000024</v>
      </c>
      <c r="O198">
        <v>564.61000000000024</v>
      </c>
      <c r="P198">
        <v>0</v>
      </c>
      <c r="Q198">
        <v>-8942.7499999999927</v>
      </c>
      <c r="R198">
        <v>-8694.7499999999927</v>
      </c>
      <c r="S198">
        <v>248</v>
      </c>
      <c r="T198">
        <v>0</v>
      </c>
      <c r="U198">
        <v>0</v>
      </c>
      <c r="V198">
        <v>0</v>
      </c>
      <c r="W198">
        <v>-5</v>
      </c>
      <c r="X198">
        <v>-5</v>
      </c>
      <c r="Y198">
        <v>0</v>
      </c>
      <c r="Z198">
        <v>16196.749999999984</v>
      </c>
      <c r="AA198">
        <v>16444.749999999982</v>
      </c>
      <c r="AB198">
        <v>248</v>
      </c>
      <c r="AC198">
        <v>4433.7200000000084</v>
      </c>
      <c r="AD198">
        <v>1912.4299999999992</v>
      </c>
      <c r="AE198">
        <v>-2521.2900000000013</v>
      </c>
      <c r="AF198">
        <v>11763.030000000006</v>
      </c>
      <c r="AG198">
        <v>14532.319999999998</v>
      </c>
      <c r="AH198">
        <v>2769.2900000000018</v>
      </c>
      <c r="AI198">
        <v>-732.26000000000022</v>
      </c>
      <c r="AJ198">
        <v>0</v>
      </c>
      <c r="AK198">
        <v>732.26000000000022</v>
      </c>
      <c r="AL198">
        <v>12495.290000000008</v>
      </c>
      <c r="AM198">
        <v>14532.319999999998</v>
      </c>
      <c r="AN198">
        <v>2037.0299999999997</v>
      </c>
      <c r="AO198">
        <v>281</v>
      </c>
    </row>
    <row r="199" spans="1:41" x14ac:dyDescent="0.35">
      <c r="A199">
        <v>2024</v>
      </c>
      <c r="B199">
        <v>4</v>
      </c>
      <c r="C199">
        <v>18</v>
      </c>
      <c r="D199" s="14">
        <v>45410</v>
      </c>
      <c r="E199" t="s">
        <v>44</v>
      </c>
      <c r="F199" t="s">
        <v>47</v>
      </c>
      <c r="G199" t="s">
        <v>48</v>
      </c>
      <c r="H199">
        <v>6815.2000000000198</v>
      </c>
      <c r="I199">
        <v>6815.2000000000198</v>
      </c>
      <c r="J199">
        <v>0</v>
      </c>
      <c r="K199">
        <v>504.84999999999991</v>
      </c>
      <c r="L199">
        <v>474.14999999999992</v>
      </c>
      <c r="M199">
        <v>-30.7</v>
      </c>
      <c r="N199">
        <v>18.990000000000002</v>
      </c>
      <c r="O199">
        <v>18.990000000000002</v>
      </c>
      <c r="P199">
        <v>0</v>
      </c>
      <c r="Q199">
        <v>-839.89999999999986</v>
      </c>
      <c r="R199">
        <v>-839.89999999999986</v>
      </c>
      <c r="S199">
        <v>0</v>
      </c>
      <c r="T199">
        <v>-10.5</v>
      </c>
      <c r="U199">
        <v>-10.5</v>
      </c>
      <c r="V199">
        <v>0</v>
      </c>
      <c r="W199">
        <v>-5</v>
      </c>
      <c r="X199">
        <v>-5</v>
      </c>
      <c r="Y199">
        <v>0</v>
      </c>
      <c r="Z199">
        <v>6483.6400000000158</v>
      </c>
      <c r="AA199">
        <v>6452.940000000016</v>
      </c>
      <c r="AB199">
        <v>-30.7</v>
      </c>
      <c r="AC199">
        <v>27.63</v>
      </c>
      <c r="AE199">
        <v>-27.63</v>
      </c>
      <c r="AF199">
        <v>6456.0100000000148</v>
      </c>
      <c r="AG199">
        <v>6452.940000000016</v>
      </c>
      <c r="AH199">
        <v>-3.0700000000000003</v>
      </c>
      <c r="AI199">
        <v>2304.4399999999982</v>
      </c>
      <c r="AJ199">
        <v>0</v>
      </c>
      <c r="AK199">
        <v>-2304.4399999999982</v>
      </c>
      <c r="AL199">
        <v>4151.5699999999988</v>
      </c>
      <c r="AM199">
        <v>6452.940000000016</v>
      </c>
      <c r="AN199">
        <v>2301.3699999999985</v>
      </c>
      <c r="AO199">
        <v>195</v>
      </c>
    </row>
    <row r="200" spans="1:41" x14ac:dyDescent="0.35">
      <c r="A200">
        <v>2024</v>
      </c>
      <c r="B200">
        <v>4</v>
      </c>
      <c r="C200">
        <v>18</v>
      </c>
      <c r="D200" s="14">
        <v>45411</v>
      </c>
      <c r="E200" t="s">
        <v>44</v>
      </c>
      <c r="F200" t="s">
        <v>47</v>
      </c>
      <c r="G200" t="s">
        <v>48</v>
      </c>
      <c r="H200">
        <v>9983.5000000000018</v>
      </c>
      <c r="I200">
        <v>9983.5000000000018</v>
      </c>
      <c r="J200">
        <v>0</v>
      </c>
      <c r="K200">
        <v>63.65</v>
      </c>
      <c r="L200">
        <v>63.65</v>
      </c>
      <c r="M200">
        <v>0</v>
      </c>
      <c r="N200">
        <v>27.980000000000004</v>
      </c>
      <c r="O200">
        <v>27.980000000000004</v>
      </c>
      <c r="P200">
        <v>0</v>
      </c>
      <c r="Q200">
        <v>-2760.8999999999996</v>
      </c>
      <c r="R200">
        <v>-2750.8999999999996</v>
      </c>
      <c r="S200">
        <v>10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7314.2300000000032</v>
      </c>
      <c r="AA200">
        <v>7324.2300000000032</v>
      </c>
      <c r="AB200">
        <v>10</v>
      </c>
      <c r="AE200">
        <v>0</v>
      </c>
      <c r="AF200">
        <v>7314.2300000000032</v>
      </c>
      <c r="AG200">
        <v>7324.2300000000032</v>
      </c>
      <c r="AH200">
        <v>10</v>
      </c>
      <c r="AI200">
        <v>1581.9399999999985</v>
      </c>
      <c r="AJ200">
        <v>0</v>
      </c>
      <c r="AK200">
        <v>-1581.9399999999985</v>
      </c>
      <c r="AL200">
        <v>5732.2900000000018</v>
      </c>
      <c r="AM200">
        <v>7324.2300000000032</v>
      </c>
      <c r="AN200">
        <v>1591.9399999999982</v>
      </c>
      <c r="AO200">
        <v>165</v>
      </c>
    </row>
    <row r="201" spans="1:41" x14ac:dyDescent="0.35">
      <c r="A201">
        <v>2024</v>
      </c>
      <c r="B201">
        <v>4</v>
      </c>
      <c r="C201">
        <v>18</v>
      </c>
      <c r="D201" s="14">
        <v>45412</v>
      </c>
      <c r="E201" t="s">
        <v>44</v>
      </c>
      <c r="F201" t="s">
        <v>47</v>
      </c>
      <c r="G201" t="s">
        <v>48</v>
      </c>
      <c r="H201">
        <v>495.05</v>
      </c>
      <c r="I201">
        <v>495.05</v>
      </c>
      <c r="J201">
        <v>0</v>
      </c>
      <c r="K201">
        <v>0</v>
      </c>
      <c r="L201">
        <v>0</v>
      </c>
      <c r="M201">
        <v>0</v>
      </c>
      <c r="N201">
        <v>15.99</v>
      </c>
      <c r="O201">
        <v>15.99</v>
      </c>
      <c r="P201">
        <v>0</v>
      </c>
      <c r="Q201">
        <v>-96.399999999999991</v>
      </c>
      <c r="R201">
        <v>-96.399999999999991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414.64</v>
      </c>
      <c r="AA201">
        <v>414.64</v>
      </c>
      <c r="AB201">
        <v>0</v>
      </c>
      <c r="AE201">
        <v>0</v>
      </c>
      <c r="AF201">
        <v>414.64</v>
      </c>
      <c r="AG201">
        <v>414.64</v>
      </c>
      <c r="AH201">
        <v>0</v>
      </c>
      <c r="AI201">
        <v>45.75</v>
      </c>
      <c r="AJ201">
        <v>0</v>
      </c>
      <c r="AK201">
        <v>-45.75</v>
      </c>
      <c r="AL201">
        <v>368.89000000000004</v>
      </c>
      <c r="AM201">
        <v>414.64</v>
      </c>
      <c r="AN201">
        <v>45.749999999999979</v>
      </c>
      <c r="AO201">
        <v>9</v>
      </c>
    </row>
    <row r="202" spans="1:41" x14ac:dyDescent="0.35">
      <c r="A202">
        <v>2024</v>
      </c>
      <c r="B202">
        <v>4</v>
      </c>
      <c r="C202">
        <v>18</v>
      </c>
      <c r="D202" s="14">
        <v>45410</v>
      </c>
      <c r="E202" t="s">
        <v>44</v>
      </c>
      <c r="F202" t="s">
        <v>47</v>
      </c>
      <c r="G202" t="s">
        <v>49</v>
      </c>
      <c r="H202">
        <v>12324.25</v>
      </c>
      <c r="I202">
        <v>12324.25</v>
      </c>
      <c r="J202">
        <v>0</v>
      </c>
      <c r="K202">
        <v>298.08</v>
      </c>
      <c r="L202">
        <v>298.08</v>
      </c>
      <c r="M202">
        <v>0</v>
      </c>
      <c r="N202">
        <v>188.87000000000003</v>
      </c>
      <c r="O202">
        <v>188.87000000000003</v>
      </c>
      <c r="P202">
        <v>0</v>
      </c>
      <c r="Q202">
        <v>-4776.4599999999973</v>
      </c>
      <c r="R202">
        <v>-4772.4599999999973</v>
      </c>
      <c r="S202">
        <v>4</v>
      </c>
      <c r="T202">
        <v>-40.65</v>
      </c>
      <c r="U202">
        <v>-40.65</v>
      </c>
      <c r="V202">
        <v>0</v>
      </c>
      <c r="W202">
        <v>-15</v>
      </c>
      <c r="X202">
        <v>-15</v>
      </c>
      <c r="Y202">
        <v>0</v>
      </c>
      <c r="Z202">
        <v>7979.0899999999992</v>
      </c>
      <c r="AA202">
        <v>7983.0899999999992</v>
      </c>
      <c r="AB202">
        <v>4</v>
      </c>
      <c r="AC202">
        <v>291.9500000000001</v>
      </c>
      <c r="AD202">
        <v>194.43000000000006</v>
      </c>
      <c r="AE202">
        <v>-97.52</v>
      </c>
      <c r="AF202">
        <v>7687.14</v>
      </c>
      <c r="AG202">
        <v>7788.6600000000008</v>
      </c>
      <c r="AH202">
        <v>101.52000000000001</v>
      </c>
      <c r="AI202">
        <v>1374.2700000000007</v>
      </c>
      <c r="AJ202">
        <v>-2.86</v>
      </c>
      <c r="AK202">
        <v>-1377.1300000000006</v>
      </c>
      <c r="AL202">
        <v>6312.8700000000008</v>
      </c>
      <c r="AM202">
        <v>7791.52</v>
      </c>
      <c r="AN202">
        <v>1478.6500000000005</v>
      </c>
      <c r="AO202">
        <v>144</v>
      </c>
    </row>
    <row r="203" spans="1:41" x14ac:dyDescent="0.35">
      <c r="A203">
        <v>2024</v>
      </c>
      <c r="B203">
        <v>4</v>
      </c>
      <c r="C203">
        <v>18</v>
      </c>
      <c r="D203" s="14">
        <v>45411</v>
      </c>
      <c r="E203" t="s">
        <v>44</v>
      </c>
      <c r="F203" t="s">
        <v>47</v>
      </c>
      <c r="G203" t="s">
        <v>49</v>
      </c>
      <c r="H203">
        <v>7431</v>
      </c>
      <c r="I203">
        <v>7431</v>
      </c>
      <c r="J203">
        <v>0</v>
      </c>
      <c r="K203">
        <v>132.76000000000002</v>
      </c>
      <c r="L203">
        <v>132.76000000000002</v>
      </c>
      <c r="M203">
        <v>0</v>
      </c>
      <c r="N203">
        <v>111.92999999999999</v>
      </c>
      <c r="O203">
        <v>111.92999999999999</v>
      </c>
      <c r="P203">
        <v>0</v>
      </c>
      <c r="Q203">
        <v>-2495.699999999998</v>
      </c>
      <c r="R203">
        <v>-2495.699999999998</v>
      </c>
      <c r="S203">
        <v>0</v>
      </c>
      <c r="T203">
        <v>-18.8</v>
      </c>
      <c r="U203">
        <v>-18.8</v>
      </c>
      <c r="V203">
        <v>0</v>
      </c>
      <c r="W203">
        <v>-18.990000000000002</v>
      </c>
      <c r="X203">
        <v>-18.990000000000002</v>
      </c>
      <c r="Y203">
        <v>0</v>
      </c>
      <c r="Z203">
        <v>5142.2000000000007</v>
      </c>
      <c r="AA203">
        <v>5142.2000000000007</v>
      </c>
      <c r="AB203">
        <v>0</v>
      </c>
      <c r="AC203">
        <v>246.35</v>
      </c>
      <c r="AD203">
        <v>54.75</v>
      </c>
      <c r="AE203">
        <v>-191.6</v>
      </c>
      <c r="AF203">
        <v>4895.8499999999995</v>
      </c>
      <c r="AG203">
        <v>5087.4500000000007</v>
      </c>
      <c r="AH203">
        <v>191.6</v>
      </c>
      <c r="AI203">
        <v>904.06999999999903</v>
      </c>
      <c r="AJ203">
        <v>0</v>
      </c>
      <c r="AK203">
        <v>-904.06999999999903</v>
      </c>
      <c r="AL203">
        <v>3991.7800000000025</v>
      </c>
      <c r="AM203">
        <v>5087.4500000000007</v>
      </c>
      <c r="AN203">
        <v>1095.6699999999989</v>
      </c>
      <c r="AO203">
        <v>94</v>
      </c>
    </row>
    <row r="204" spans="1:41" x14ac:dyDescent="0.35">
      <c r="A204">
        <v>2024</v>
      </c>
      <c r="B204">
        <v>4</v>
      </c>
      <c r="C204">
        <v>18</v>
      </c>
      <c r="D204" s="14">
        <v>45412</v>
      </c>
      <c r="E204" t="s">
        <v>44</v>
      </c>
      <c r="F204" t="s">
        <v>47</v>
      </c>
      <c r="G204" t="s">
        <v>49</v>
      </c>
      <c r="H204">
        <v>2024</v>
      </c>
      <c r="I204">
        <v>2024</v>
      </c>
      <c r="J204">
        <v>0</v>
      </c>
      <c r="K204">
        <v>27.41</v>
      </c>
      <c r="L204">
        <v>27.41</v>
      </c>
      <c r="M204">
        <v>0</v>
      </c>
      <c r="N204">
        <v>34.980000000000004</v>
      </c>
      <c r="O204">
        <v>34.980000000000004</v>
      </c>
      <c r="P204">
        <v>0</v>
      </c>
      <c r="Q204">
        <v>-910.05000000000007</v>
      </c>
      <c r="R204">
        <v>-910.05000000000007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1176.3399999999999</v>
      </c>
      <c r="AA204">
        <v>1176.3399999999999</v>
      </c>
      <c r="AB204">
        <v>0</v>
      </c>
      <c r="AC204">
        <v>134.31</v>
      </c>
      <c r="AD204">
        <v>79.56</v>
      </c>
      <c r="AE204">
        <v>-54.75</v>
      </c>
      <c r="AF204">
        <v>1042.0299999999997</v>
      </c>
      <c r="AG204">
        <v>1096.78</v>
      </c>
      <c r="AH204">
        <v>54.75</v>
      </c>
      <c r="AI204">
        <v>247.36000000000004</v>
      </c>
      <c r="AJ204">
        <v>0</v>
      </c>
      <c r="AK204">
        <v>-247.36000000000004</v>
      </c>
      <c r="AL204">
        <v>794.6700000000003</v>
      </c>
      <c r="AM204">
        <v>1096.78</v>
      </c>
      <c r="AN204">
        <v>302.11</v>
      </c>
      <c r="AO204">
        <v>20</v>
      </c>
    </row>
    <row r="205" spans="1:41" x14ac:dyDescent="0.35">
      <c r="A205">
        <v>2024</v>
      </c>
      <c r="B205">
        <v>4</v>
      </c>
      <c r="C205">
        <v>18</v>
      </c>
      <c r="D205" s="14">
        <v>45410</v>
      </c>
      <c r="E205" t="s">
        <v>44</v>
      </c>
      <c r="F205" t="s">
        <v>47</v>
      </c>
      <c r="G205" t="s">
        <v>50</v>
      </c>
      <c r="H205">
        <v>21716.05</v>
      </c>
      <c r="I205">
        <v>21716.05</v>
      </c>
      <c r="J205">
        <v>0</v>
      </c>
      <c r="K205">
        <v>404.51999999999981</v>
      </c>
      <c r="L205">
        <v>404.51999999999981</v>
      </c>
      <c r="M205">
        <v>0</v>
      </c>
      <c r="N205">
        <v>1093.3300000000004</v>
      </c>
      <c r="O205">
        <v>1093.3300000000004</v>
      </c>
      <c r="P205">
        <v>0</v>
      </c>
      <c r="Q205">
        <v>-6768.05</v>
      </c>
      <c r="R205">
        <v>-6608.05</v>
      </c>
      <c r="S205">
        <v>160</v>
      </c>
      <c r="T205">
        <v>-5</v>
      </c>
      <c r="U205">
        <v>-5</v>
      </c>
      <c r="V205">
        <v>0</v>
      </c>
      <c r="W205">
        <v>-25</v>
      </c>
      <c r="X205">
        <v>-25</v>
      </c>
      <c r="Y205">
        <v>0</v>
      </c>
      <c r="Z205">
        <v>16415.849999999984</v>
      </c>
      <c r="AA205">
        <v>16575.849999999988</v>
      </c>
      <c r="AB205">
        <v>160</v>
      </c>
      <c r="AC205">
        <v>2440.1100000000024</v>
      </c>
      <c r="AD205">
        <v>1193.78</v>
      </c>
      <c r="AE205">
        <v>-1246.33</v>
      </c>
      <c r="AF205">
        <v>13975.74</v>
      </c>
      <c r="AG205">
        <v>15382.069999999989</v>
      </c>
      <c r="AH205">
        <v>1406.33</v>
      </c>
      <c r="AI205">
        <v>-817.89000000000033</v>
      </c>
      <c r="AJ205">
        <v>0</v>
      </c>
      <c r="AK205">
        <v>817.89000000000033</v>
      </c>
      <c r="AL205">
        <v>14793.630000000006</v>
      </c>
      <c r="AM205">
        <v>15382.069999999989</v>
      </c>
      <c r="AN205">
        <v>588.43999999999983</v>
      </c>
      <c r="AO205">
        <v>254</v>
      </c>
    </row>
    <row r="206" spans="1:41" x14ac:dyDescent="0.35">
      <c r="A206">
        <v>2024</v>
      </c>
      <c r="B206">
        <v>4</v>
      </c>
      <c r="C206">
        <v>18</v>
      </c>
      <c r="D206" s="14">
        <v>45411</v>
      </c>
      <c r="E206" t="s">
        <v>44</v>
      </c>
      <c r="F206" t="s">
        <v>47</v>
      </c>
      <c r="G206" t="s">
        <v>50</v>
      </c>
      <c r="H206">
        <v>17742</v>
      </c>
      <c r="I206">
        <v>17742</v>
      </c>
      <c r="J206">
        <v>0</v>
      </c>
      <c r="K206">
        <v>338.50999999999948</v>
      </c>
      <c r="L206">
        <v>338.50999999999948</v>
      </c>
      <c r="M206">
        <v>0</v>
      </c>
      <c r="N206">
        <v>733.53000000000031</v>
      </c>
      <c r="O206">
        <v>733.53000000000031</v>
      </c>
      <c r="P206">
        <v>0</v>
      </c>
      <c r="Q206">
        <v>-5449.5</v>
      </c>
      <c r="R206">
        <v>-5439.5</v>
      </c>
      <c r="S206">
        <v>10</v>
      </c>
      <c r="T206">
        <v>-5</v>
      </c>
      <c r="U206">
        <v>-5</v>
      </c>
      <c r="V206">
        <v>0</v>
      </c>
      <c r="W206">
        <v>-20</v>
      </c>
      <c r="X206">
        <v>-20</v>
      </c>
      <c r="Y206">
        <v>0</v>
      </c>
      <c r="Z206">
        <v>13339.539999999999</v>
      </c>
      <c r="AA206">
        <v>13349.539999999999</v>
      </c>
      <c r="AB206">
        <v>10</v>
      </c>
      <c r="AC206">
        <v>2306.2400000000039</v>
      </c>
      <c r="AD206">
        <v>1112.4600000000005</v>
      </c>
      <c r="AE206">
        <v>-1193.7800000000007</v>
      </c>
      <c r="AF206">
        <v>11033.299999999997</v>
      </c>
      <c r="AG206">
        <v>12237.080000000005</v>
      </c>
      <c r="AH206">
        <v>1203.7800000000007</v>
      </c>
      <c r="AI206">
        <v>-728.85</v>
      </c>
      <c r="AJ206">
        <v>0</v>
      </c>
      <c r="AK206">
        <v>728.85</v>
      </c>
      <c r="AL206">
        <v>11762.150000000001</v>
      </c>
      <c r="AM206">
        <v>12237.080000000005</v>
      </c>
      <c r="AN206">
        <v>474.93</v>
      </c>
      <c r="AO206">
        <v>200</v>
      </c>
    </row>
    <row r="207" spans="1:41" x14ac:dyDescent="0.35">
      <c r="A207">
        <v>2024</v>
      </c>
      <c r="B207">
        <v>4</v>
      </c>
      <c r="C207">
        <v>18</v>
      </c>
      <c r="D207" s="14">
        <v>45412</v>
      </c>
      <c r="E207" t="s">
        <v>44</v>
      </c>
      <c r="F207" t="s">
        <v>47</v>
      </c>
      <c r="G207" t="s">
        <v>50</v>
      </c>
      <c r="H207">
        <v>14829</v>
      </c>
      <c r="I207">
        <v>14829</v>
      </c>
      <c r="J207">
        <v>0</v>
      </c>
      <c r="K207">
        <v>244.50000000000011</v>
      </c>
      <c r="L207">
        <v>244.50000000000011</v>
      </c>
      <c r="M207">
        <v>0</v>
      </c>
      <c r="N207">
        <v>553.6500000000002</v>
      </c>
      <c r="O207">
        <v>553.6500000000002</v>
      </c>
      <c r="P207">
        <v>0</v>
      </c>
      <c r="Q207">
        <v>-4374.55</v>
      </c>
      <c r="R207">
        <v>-4237.55</v>
      </c>
      <c r="S207">
        <v>137</v>
      </c>
      <c r="T207">
        <v>-5</v>
      </c>
      <c r="U207">
        <v>-5</v>
      </c>
      <c r="V207">
        <v>0</v>
      </c>
      <c r="W207">
        <v>-5</v>
      </c>
      <c r="X207">
        <v>-5</v>
      </c>
      <c r="Y207">
        <v>0</v>
      </c>
      <c r="Z207">
        <v>11242.599999999989</v>
      </c>
      <c r="AA207">
        <v>11379.599999999989</v>
      </c>
      <c r="AB207">
        <v>137</v>
      </c>
      <c r="AC207">
        <v>2021.5900000000017</v>
      </c>
      <c r="AD207">
        <v>921.87999999999988</v>
      </c>
      <c r="AE207">
        <v>-1099.7099999999998</v>
      </c>
      <c r="AF207">
        <v>9221.0099999999911</v>
      </c>
      <c r="AG207">
        <v>10457.719999999996</v>
      </c>
      <c r="AH207">
        <v>1236.71</v>
      </c>
      <c r="AI207">
        <v>-630.35999999999967</v>
      </c>
      <c r="AJ207">
        <v>0</v>
      </c>
      <c r="AK207">
        <v>630.35999999999967</v>
      </c>
      <c r="AL207">
        <v>9851.3699999999972</v>
      </c>
      <c r="AM207">
        <v>10457.719999999996</v>
      </c>
      <c r="AN207">
        <v>606.35000000000014</v>
      </c>
      <c r="AO207">
        <v>172</v>
      </c>
    </row>
    <row r="208" spans="1:41" x14ac:dyDescent="0.35">
      <c r="A208">
        <v>2024</v>
      </c>
      <c r="B208">
        <v>4</v>
      </c>
      <c r="C208">
        <v>18</v>
      </c>
      <c r="D208" s="14">
        <v>45410</v>
      </c>
      <c r="E208" t="s">
        <v>44</v>
      </c>
      <c r="F208" t="s">
        <v>47</v>
      </c>
      <c r="G208" t="s">
        <v>51</v>
      </c>
      <c r="H208">
        <v>2728.2999999999993</v>
      </c>
      <c r="I208">
        <v>2728.2999999999993</v>
      </c>
      <c r="J208">
        <v>0</v>
      </c>
      <c r="K208">
        <v>112.46000000000001</v>
      </c>
      <c r="L208">
        <v>112.46000000000001</v>
      </c>
      <c r="M208">
        <v>0</v>
      </c>
      <c r="N208">
        <v>0</v>
      </c>
      <c r="O208">
        <v>0</v>
      </c>
      <c r="P208">
        <v>0</v>
      </c>
      <c r="Q208">
        <v>-462.7</v>
      </c>
      <c r="R208">
        <v>-534.09999999999991</v>
      </c>
      <c r="S208">
        <v>-71.400000000000006</v>
      </c>
      <c r="T208">
        <v>-44</v>
      </c>
      <c r="U208">
        <v>-44</v>
      </c>
      <c r="V208">
        <v>0</v>
      </c>
      <c r="W208">
        <v>0</v>
      </c>
      <c r="X208">
        <v>0</v>
      </c>
      <c r="Y208">
        <v>0</v>
      </c>
      <c r="Z208">
        <v>2334.0599999999995</v>
      </c>
      <c r="AA208">
        <v>2262.6599999999994</v>
      </c>
      <c r="AB208">
        <v>-71.399999999999991</v>
      </c>
      <c r="AC208">
        <v>38.449999999999996</v>
      </c>
      <c r="AD208">
        <v>30.119999999999997</v>
      </c>
      <c r="AE208">
        <v>-8.33</v>
      </c>
      <c r="AF208">
        <v>2295.6099999999997</v>
      </c>
      <c r="AG208">
        <v>2232.5399999999995</v>
      </c>
      <c r="AH208">
        <v>-63.069999999999993</v>
      </c>
      <c r="AI208">
        <v>288.02000000000004</v>
      </c>
      <c r="AJ208">
        <v>0</v>
      </c>
      <c r="AK208">
        <v>-288.02000000000004</v>
      </c>
      <c r="AL208">
        <v>2007.59</v>
      </c>
      <c r="AM208">
        <v>2232.5399999999995</v>
      </c>
      <c r="AN208">
        <v>224.95</v>
      </c>
      <c r="AO208">
        <v>51</v>
      </c>
    </row>
    <row r="209" spans="1:41" x14ac:dyDescent="0.35">
      <c r="A209">
        <v>2024</v>
      </c>
      <c r="B209">
        <v>4</v>
      </c>
      <c r="C209">
        <v>18</v>
      </c>
      <c r="D209" s="14">
        <v>45411</v>
      </c>
      <c r="E209" t="s">
        <v>44</v>
      </c>
      <c r="F209" t="s">
        <v>47</v>
      </c>
      <c r="G209" t="s">
        <v>51</v>
      </c>
      <c r="H209">
        <v>5217.75</v>
      </c>
      <c r="I209">
        <v>5217.75</v>
      </c>
      <c r="J209">
        <v>0</v>
      </c>
      <c r="K209">
        <v>0.46</v>
      </c>
      <c r="L209">
        <v>0.46</v>
      </c>
      <c r="M209">
        <v>0</v>
      </c>
      <c r="N209">
        <v>0</v>
      </c>
      <c r="O209">
        <v>0</v>
      </c>
      <c r="P209">
        <v>0</v>
      </c>
      <c r="Q209">
        <v>-935.15999999999985</v>
      </c>
      <c r="R209">
        <v>-935.15999999999985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4283.05</v>
      </c>
      <c r="AA209">
        <v>4283.05</v>
      </c>
      <c r="AB209">
        <v>0</v>
      </c>
      <c r="AC209">
        <v>55.11</v>
      </c>
      <c r="AE209">
        <v>-55.11</v>
      </c>
      <c r="AF209">
        <v>4227.9399999999996</v>
      </c>
      <c r="AG209">
        <v>4283.05</v>
      </c>
      <c r="AH209">
        <v>55.11</v>
      </c>
      <c r="AI209">
        <v>923.88999999999965</v>
      </c>
      <c r="AJ209">
        <v>16.440000000000001</v>
      </c>
      <c r="AK209">
        <v>-907.44999999999959</v>
      </c>
      <c r="AL209">
        <v>3304.0499999999988</v>
      </c>
      <c r="AM209">
        <v>4266.6100000000006</v>
      </c>
      <c r="AN209">
        <v>962.55999999999972</v>
      </c>
      <c r="AO209">
        <v>91</v>
      </c>
    </row>
    <row r="210" spans="1:41" x14ac:dyDescent="0.35">
      <c r="A210">
        <v>2024</v>
      </c>
      <c r="B210">
        <v>4</v>
      </c>
      <c r="C210">
        <v>18</v>
      </c>
      <c r="D210" s="14">
        <v>45412</v>
      </c>
      <c r="E210" t="s">
        <v>44</v>
      </c>
      <c r="F210" t="s">
        <v>47</v>
      </c>
      <c r="G210" t="s">
        <v>51</v>
      </c>
      <c r="H210">
        <v>1060</v>
      </c>
      <c r="I210">
        <v>1060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-371.8</v>
      </c>
      <c r="R210">
        <v>-371.8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688.2</v>
      </c>
      <c r="AA210">
        <v>688.2</v>
      </c>
      <c r="AB210">
        <v>0</v>
      </c>
      <c r="AE210">
        <v>0</v>
      </c>
      <c r="AF210">
        <v>688.2</v>
      </c>
      <c r="AG210">
        <v>688.2</v>
      </c>
      <c r="AH210">
        <v>0</v>
      </c>
      <c r="AI210">
        <v>80.679999999999993</v>
      </c>
      <c r="AJ210">
        <v>0</v>
      </c>
      <c r="AK210">
        <v>-80.679999999999993</v>
      </c>
      <c r="AL210">
        <v>607.52</v>
      </c>
      <c r="AM210">
        <v>688.2</v>
      </c>
      <c r="AN210">
        <v>80.679999999999993</v>
      </c>
      <c r="AO210">
        <v>15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218"/>
  <sheetViews>
    <sheetView workbookViewId="0"/>
  </sheetViews>
  <sheetFormatPr defaultRowHeight="14.5" x14ac:dyDescent="0.35"/>
  <cols>
    <col min="1" max="3" width="13" customWidth="1"/>
    <col min="4" max="4" width="12" customWidth="1"/>
    <col min="5" max="5" width="13" customWidth="1"/>
    <col min="6" max="6" width="8" customWidth="1"/>
    <col min="7" max="7" width="12" customWidth="1"/>
    <col min="8" max="19" width="13" customWidth="1"/>
    <col min="20" max="20" width="16" customWidth="1"/>
    <col min="21" max="21" width="17" customWidth="1"/>
    <col min="22" max="22" width="16" customWidth="1"/>
    <col min="23" max="28" width="13" customWidth="1"/>
    <col min="29" max="29" width="18" customWidth="1"/>
    <col min="30" max="30" width="19" customWidth="1"/>
    <col min="31" max="31" width="18" customWidth="1"/>
    <col min="32" max="41" width="13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2024</v>
      </c>
      <c r="B2">
        <v>3</v>
      </c>
      <c r="C2">
        <v>9</v>
      </c>
      <c r="D2" s="14">
        <v>45352</v>
      </c>
      <c r="E2" t="s">
        <v>41</v>
      </c>
      <c r="F2" t="s">
        <v>42</v>
      </c>
      <c r="G2" t="s">
        <v>43</v>
      </c>
      <c r="H2">
        <v>69777</v>
      </c>
      <c r="I2">
        <v>69777</v>
      </c>
      <c r="J2">
        <v>0</v>
      </c>
      <c r="K2">
        <v>866.50000000000728</v>
      </c>
      <c r="L2">
        <v>866.50000000000728</v>
      </c>
      <c r="M2">
        <v>0</v>
      </c>
      <c r="N2">
        <v>2068.5100000000007</v>
      </c>
      <c r="O2">
        <v>2068.5100000000007</v>
      </c>
      <c r="P2">
        <v>0</v>
      </c>
      <c r="Q2">
        <v>-7007.76</v>
      </c>
      <c r="R2">
        <v>-6406.76</v>
      </c>
      <c r="S2">
        <v>601</v>
      </c>
      <c r="T2">
        <v>-2.35</v>
      </c>
      <c r="U2">
        <v>-2.35</v>
      </c>
      <c r="V2">
        <v>0</v>
      </c>
      <c r="W2">
        <v>-75.989999999999995</v>
      </c>
      <c r="X2">
        <v>-75.989999999999995</v>
      </c>
      <c r="Y2">
        <v>0</v>
      </c>
      <c r="Z2">
        <v>65625.909999999567</v>
      </c>
      <c r="AA2">
        <v>66226.909999999581</v>
      </c>
      <c r="AB2">
        <v>601</v>
      </c>
      <c r="AC2">
        <v>17965.759999999922</v>
      </c>
      <c r="AD2">
        <v>8403.8600000000315</v>
      </c>
      <c r="AE2">
        <v>-9561.9000000000178</v>
      </c>
      <c r="AF2">
        <v>47660.150000000271</v>
      </c>
      <c r="AG2">
        <v>57823.050000000025</v>
      </c>
      <c r="AH2">
        <v>10162.900000000009</v>
      </c>
      <c r="AI2">
        <v>-4405.0599999999949</v>
      </c>
      <c r="AJ2">
        <v>0</v>
      </c>
      <c r="AK2">
        <v>4405.0599999999949</v>
      </c>
      <c r="AL2">
        <v>52065.210000000188</v>
      </c>
      <c r="AM2">
        <v>57823.050000000025</v>
      </c>
      <c r="AN2">
        <v>5757.8400000000438</v>
      </c>
      <c r="AO2">
        <v>1232</v>
      </c>
    </row>
    <row r="3" spans="1:41" x14ac:dyDescent="0.35">
      <c r="A3">
        <v>2024</v>
      </c>
      <c r="B3">
        <v>3</v>
      </c>
      <c r="C3">
        <v>9</v>
      </c>
      <c r="D3" s="14">
        <v>45353</v>
      </c>
      <c r="E3" t="s">
        <v>41</v>
      </c>
      <c r="F3" t="s">
        <v>42</v>
      </c>
      <c r="G3" t="s">
        <v>43</v>
      </c>
      <c r="H3">
        <v>66323.75</v>
      </c>
      <c r="I3">
        <v>66323.75</v>
      </c>
      <c r="J3">
        <v>0</v>
      </c>
      <c r="K3">
        <v>894.07000000000426</v>
      </c>
      <c r="L3">
        <v>894.07000000000426</v>
      </c>
      <c r="M3">
        <v>0</v>
      </c>
      <c r="N3">
        <v>1906.680000000001</v>
      </c>
      <c r="O3">
        <v>1890.690000000001</v>
      </c>
      <c r="P3">
        <v>-15.99</v>
      </c>
      <c r="Q3">
        <v>-7013.51</v>
      </c>
      <c r="R3">
        <v>-6380.51</v>
      </c>
      <c r="S3">
        <v>633</v>
      </c>
      <c r="T3">
        <v>-4.7100000000000009</v>
      </c>
      <c r="U3">
        <v>-4.7100000000000009</v>
      </c>
      <c r="V3">
        <v>0</v>
      </c>
      <c r="W3">
        <v>-50.99</v>
      </c>
      <c r="X3">
        <v>-50.99</v>
      </c>
      <c r="Y3">
        <v>0</v>
      </c>
      <c r="Z3">
        <v>62055.289999999615</v>
      </c>
      <c r="AA3">
        <v>62672.29999999961</v>
      </c>
      <c r="AB3">
        <v>617.01</v>
      </c>
      <c r="AC3">
        <v>17143.919999999936</v>
      </c>
      <c r="AD3">
        <v>8697.1200000000317</v>
      </c>
      <c r="AE3">
        <v>-8446.8000000000266</v>
      </c>
      <c r="AF3">
        <v>44911.370000000374</v>
      </c>
      <c r="AG3">
        <v>53975.18000000008</v>
      </c>
      <c r="AH3">
        <v>9063.8100000000195</v>
      </c>
      <c r="AI3">
        <v>-4433.3499999999949</v>
      </c>
      <c r="AJ3">
        <v>0</v>
      </c>
      <c r="AK3">
        <v>4433.3499999999949</v>
      </c>
      <c r="AL3">
        <v>49344.720000000227</v>
      </c>
      <c r="AM3">
        <v>53975.18000000008</v>
      </c>
      <c r="AN3">
        <v>4630.4600000000328</v>
      </c>
      <c r="AO3">
        <v>1180</v>
      </c>
    </row>
    <row r="4" spans="1:41" x14ac:dyDescent="0.35">
      <c r="A4">
        <v>2024</v>
      </c>
      <c r="B4">
        <v>3</v>
      </c>
      <c r="C4">
        <v>9</v>
      </c>
      <c r="D4" s="14">
        <v>45352</v>
      </c>
      <c r="E4" t="s">
        <v>44</v>
      </c>
      <c r="F4" t="s">
        <v>42</v>
      </c>
      <c r="G4" t="s">
        <v>45</v>
      </c>
      <c r="H4">
        <v>103503</v>
      </c>
      <c r="I4">
        <v>103503</v>
      </c>
      <c r="J4">
        <v>0</v>
      </c>
      <c r="K4">
        <v>824.27000000000487</v>
      </c>
      <c r="L4">
        <v>824.27000000000487</v>
      </c>
      <c r="M4">
        <v>0</v>
      </c>
      <c r="N4">
        <v>4951.8299999999608</v>
      </c>
      <c r="O4">
        <v>4925.8499999999613</v>
      </c>
      <c r="P4">
        <v>-25.98</v>
      </c>
      <c r="Q4">
        <v>-19010.46</v>
      </c>
      <c r="R4">
        <v>-18656.46</v>
      </c>
      <c r="S4">
        <v>354</v>
      </c>
      <c r="T4">
        <v>-4.1000000000000005</v>
      </c>
      <c r="U4">
        <v>-4.1000000000000005</v>
      </c>
      <c r="V4">
        <v>0</v>
      </c>
      <c r="W4">
        <v>-133</v>
      </c>
      <c r="X4">
        <v>-133</v>
      </c>
      <c r="Y4">
        <v>0</v>
      </c>
      <c r="Z4">
        <v>90131.540000000314</v>
      </c>
      <c r="AA4">
        <v>90459.560000000332</v>
      </c>
      <c r="AB4">
        <v>328.02</v>
      </c>
      <c r="AC4">
        <v>14046.199999999932</v>
      </c>
      <c r="AD4">
        <v>7060.9400000000333</v>
      </c>
      <c r="AE4">
        <v>-6985.2600000000302</v>
      </c>
      <c r="AF4">
        <v>76085.340000000448</v>
      </c>
      <c r="AG4">
        <v>83398.620000000286</v>
      </c>
      <c r="AH4">
        <v>7313.2800000000307</v>
      </c>
      <c r="AI4">
        <v>-3942.8500000000045</v>
      </c>
      <c r="AJ4">
        <v>0</v>
      </c>
      <c r="AK4">
        <v>3942.8500000000045</v>
      </c>
      <c r="AL4">
        <v>80028.190000000235</v>
      </c>
      <c r="AM4">
        <v>83398.620000000286</v>
      </c>
      <c r="AN4">
        <v>3370.4300000000121</v>
      </c>
      <c r="AO4">
        <v>1340</v>
      </c>
    </row>
    <row r="5" spans="1:41" x14ac:dyDescent="0.35">
      <c r="A5">
        <v>2024</v>
      </c>
      <c r="B5">
        <v>3</v>
      </c>
      <c r="C5">
        <v>9</v>
      </c>
      <c r="D5" s="14">
        <v>45353</v>
      </c>
      <c r="E5" t="s">
        <v>44</v>
      </c>
      <c r="F5" t="s">
        <v>42</v>
      </c>
      <c r="G5" t="s">
        <v>45</v>
      </c>
      <c r="H5">
        <v>104051</v>
      </c>
      <c r="I5">
        <v>104055</v>
      </c>
      <c r="J5">
        <v>4</v>
      </c>
      <c r="K5">
        <v>758.29000000000121</v>
      </c>
      <c r="L5">
        <v>758.29000000000121</v>
      </c>
      <c r="M5">
        <v>0</v>
      </c>
      <c r="N5">
        <v>4822.9299999999621</v>
      </c>
      <c r="O5">
        <v>4790.9499999999625</v>
      </c>
      <c r="P5">
        <v>-31.98</v>
      </c>
      <c r="Q5">
        <v>-19323</v>
      </c>
      <c r="R5">
        <v>-18991.5</v>
      </c>
      <c r="S5">
        <v>331.5</v>
      </c>
      <c r="T5">
        <v>-6.0600000000000005</v>
      </c>
      <c r="U5">
        <v>-6.0600000000000005</v>
      </c>
      <c r="V5">
        <v>0</v>
      </c>
      <c r="W5">
        <v>-75</v>
      </c>
      <c r="X5">
        <v>-75</v>
      </c>
      <c r="Y5">
        <v>0</v>
      </c>
      <c r="Z5">
        <v>90228.160000000178</v>
      </c>
      <c r="AA5">
        <v>90531.680000000168</v>
      </c>
      <c r="AB5">
        <v>303.52</v>
      </c>
      <c r="AC5">
        <v>13453.929999999958</v>
      </c>
      <c r="AD5">
        <v>6505.5500000000293</v>
      </c>
      <c r="AE5">
        <v>-6948.380000000031</v>
      </c>
      <c r="AF5">
        <v>76774.230000000534</v>
      </c>
      <c r="AG5">
        <v>84026.130000000325</v>
      </c>
      <c r="AH5">
        <v>7251.9000000000324</v>
      </c>
      <c r="AI5">
        <v>-3743.2599999999998</v>
      </c>
      <c r="AJ5">
        <v>0</v>
      </c>
      <c r="AK5">
        <v>3743.2599999999998</v>
      </c>
      <c r="AL5">
        <v>80517.490000000413</v>
      </c>
      <c r="AM5">
        <v>84026.130000000325</v>
      </c>
      <c r="AN5">
        <v>3508.6400000000176</v>
      </c>
      <c r="AO5">
        <v>1357</v>
      </c>
    </row>
    <row r="6" spans="1:41" x14ac:dyDescent="0.35">
      <c r="A6">
        <v>2024</v>
      </c>
      <c r="B6">
        <v>3</v>
      </c>
      <c r="C6">
        <v>9</v>
      </c>
      <c r="D6" s="14">
        <v>45352</v>
      </c>
      <c r="E6" t="s">
        <v>44</v>
      </c>
      <c r="F6" t="s">
        <v>42</v>
      </c>
      <c r="G6" t="s">
        <v>46</v>
      </c>
      <c r="H6">
        <v>43039.380000000026</v>
      </c>
      <c r="I6">
        <v>43039.380000000026</v>
      </c>
      <c r="J6">
        <v>0</v>
      </c>
      <c r="K6">
        <v>249.1100000000001</v>
      </c>
      <c r="L6">
        <v>254.1100000000001</v>
      </c>
      <c r="M6">
        <v>5</v>
      </c>
      <c r="N6">
        <v>1183.2700000000004</v>
      </c>
      <c r="O6">
        <v>1183.2700000000004</v>
      </c>
      <c r="P6">
        <v>0</v>
      </c>
      <c r="Q6">
        <v>-15693.280000000015</v>
      </c>
      <c r="R6">
        <v>-15030.280000000017</v>
      </c>
      <c r="S6">
        <v>663</v>
      </c>
      <c r="T6">
        <v>-0.1</v>
      </c>
      <c r="U6">
        <v>-0.1</v>
      </c>
      <c r="V6">
        <v>0</v>
      </c>
      <c r="W6">
        <v>-5</v>
      </c>
      <c r="X6">
        <v>-5</v>
      </c>
      <c r="Y6">
        <v>0</v>
      </c>
      <c r="Z6">
        <v>28773.380000000005</v>
      </c>
      <c r="AA6">
        <v>29441.380000000005</v>
      </c>
      <c r="AB6">
        <v>668</v>
      </c>
      <c r="AC6">
        <v>6812.9900000000252</v>
      </c>
      <c r="AD6">
        <v>3389.8700000000076</v>
      </c>
      <c r="AE6">
        <v>-3423.1200000000081</v>
      </c>
      <c r="AF6">
        <v>21960.390000000039</v>
      </c>
      <c r="AG6">
        <v>26051.510000000017</v>
      </c>
      <c r="AH6">
        <v>4091.120000000009</v>
      </c>
      <c r="AI6">
        <v>-1321.8999999999999</v>
      </c>
      <c r="AJ6">
        <v>0</v>
      </c>
      <c r="AK6">
        <v>1321.8999999999999</v>
      </c>
      <c r="AL6">
        <v>23282.290000000023</v>
      </c>
      <c r="AM6">
        <v>26051.510000000017</v>
      </c>
      <c r="AN6">
        <v>2769.2200000000034</v>
      </c>
      <c r="AO6">
        <v>516</v>
      </c>
    </row>
    <row r="7" spans="1:41" x14ac:dyDescent="0.35">
      <c r="A7">
        <v>2024</v>
      </c>
      <c r="B7">
        <v>3</v>
      </c>
      <c r="C7">
        <v>9</v>
      </c>
      <c r="D7" s="14">
        <v>45353</v>
      </c>
      <c r="E7" t="s">
        <v>44</v>
      </c>
      <c r="F7" t="s">
        <v>42</v>
      </c>
      <c r="G7" t="s">
        <v>46</v>
      </c>
      <c r="H7">
        <v>45324.670000000042</v>
      </c>
      <c r="I7">
        <v>45324.670000000042</v>
      </c>
      <c r="J7">
        <v>0</v>
      </c>
      <c r="K7">
        <v>287.3399999999998</v>
      </c>
      <c r="L7">
        <v>287.3399999999998</v>
      </c>
      <c r="M7">
        <v>0</v>
      </c>
      <c r="N7">
        <v>1184.2600000000004</v>
      </c>
      <c r="O7">
        <v>1184.2600000000004</v>
      </c>
      <c r="P7">
        <v>0</v>
      </c>
      <c r="Q7">
        <v>-16218.740000000036</v>
      </c>
      <c r="R7">
        <v>-16071.490000000036</v>
      </c>
      <c r="S7">
        <v>147.25</v>
      </c>
      <c r="T7">
        <v>-0.1</v>
      </c>
      <c r="U7">
        <v>-0.1</v>
      </c>
      <c r="V7">
        <v>0</v>
      </c>
      <c r="W7">
        <v>-5</v>
      </c>
      <c r="X7">
        <v>-5</v>
      </c>
      <c r="Y7">
        <v>0</v>
      </c>
      <c r="Z7">
        <v>30572.429999999997</v>
      </c>
      <c r="AA7">
        <v>30719.679999999997</v>
      </c>
      <c r="AB7">
        <v>147.25</v>
      </c>
      <c r="AC7">
        <v>6718.1600000000253</v>
      </c>
      <c r="AD7">
        <v>3425.1500000000078</v>
      </c>
      <c r="AE7">
        <v>-3293.0100000000075</v>
      </c>
      <c r="AF7">
        <v>23854.270000000051</v>
      </c>
      <c r="AG7">
        <v>27294.530000000024</v>
      </c>
      <c r="AH7">
        <v>3440.2600000000084</v>
      </c>
      <c r="AI7">
        <v>-1063.3400000000001</v>
      </c>
      <c r="AJ7">
        <v>0</v>
      </c>
      <c r="AK7">
        <v>1063.3400000000001</v>
      </c>
      <c r="AL7">
        <v>24917.610000000037</v>
      </c>
      <c r="AM7">
        <v>27294.530000000024</v>
      </c>
      <c r="AN7">
        <v>2376.9200000000023</v>
      </c>
      <c r="AO7">
        <v>553</v>
      </c>
    </row>
    <row r="8" spans="1:41" x14ac:dyDescent="0.35">
      <c r="A8">
        <v>2024</v>
      </c>
      <c r="B8">
        <v>3</v>
      </c>
      <c r="C8">
        <v>9</v>
      </c>
      <c r="D8" s="14">
        <v>45352</v>
      </c>
      <c r="E8" t="s">
        <v>44</v>
      </c>
      <c r="F8" t="s">
        <v>47</v>
      </c>
      <c r="G8" t="s">
        <v>48</v>
      </c>
      <c r="H8">
        <v>6864.5300000000125</v>
      </c>
      <c r="I8">
        <v>6864.5300000000125</v>
      </c>
      <c r="J8">
        <v>0</v>
      </c>
      <c r="K8">
        <v>549.46999999999991</v>
      </c>
      <c r="L8">
        <v>549.46999999999991</v>
      </c>
      <c r="M8">
        <v>0</v>
      </c>
      <c r="N8">
        <v>34.980000000000004</v>
      </c>
      <c r="O8">
        <v>34.980000000000004</v>
      </c>
      <c r="P8">
        <v>0</v>
      </c>
      <c r="Q8">
        <v>-1176.45</v>
      </c>
      <c r="R8">
        <v>-1176.45</v>
      </c>
      <c r="S8">
        <v>0</v>
      </c>
      <c r="T8">
        <v>-15.13</v>
      </c>
      <c r="U8">
        <v>-15.13</v>
      </c>
      <c r="V8">
        <v>0</v>
      </c>
      <c r="W8">
        <v>0</v>
      </c>
      <c r="X8">
        <v>0</v>
      </c>
      <c r="Y8">
        <v>0</v>
      </c>
      <c r="Z8">
        <v>6257.4000000000078</v>
      </c>
      <c r="AA8">
        <v>6257.4000000000078</v>
      </c>
      <c r="AB8">
        <v>0</v>
      </c>
      <c r="AC8">
        <v>36.18</v>
      </c>
      <c r="AD8">
        <v>28.68</v>
      </c>
      <c r="AE8">
        <v>-7.5</v>
      </c>
      <c r="AF8">
        <v>6221.2200000000075</v>
      </c>
      <c r="AG8">
        <v>6228.7200000000075</v>
      </c>
      <c r="AH8">
        <v>7.5</v>
      </c>
      <c r="AI8">
        <v>2184.6899999999991</v>
      </c>
      <c r="AJ8">
        <v>0</v>
      </c>
      <c r="AK8">
        <v>-2184.6899999999991</v>
      </c>
      <c r="AL8">
        <v>4036.5300000000043</v>
      </c>
      <c r="AM8">
        <v>6228.7200000000075</v>
      </c>
      <c r="AN8">
        <v>2192.1899999999991</v>
      </c>
      <c r="AO8">
        <v>201</v>
      </c>
    </row>
    <row r="9" spans="1:41" x14ac:dyDescent="0.35">
      <c r="A9">
        <v>2024</v>
      </c>
      <c r="B9">
        <v>3</v>
      </c>
      <c r="C9">
        <v>9</v>
      </c>
      <c r="D9" s="14">
        <v>45353</v>
      </c>
      <c r="E9" t="s">
        <v>44</v>
      </c>
      <c r="F9" t="s">
        <v>47</v>
      </c>
      <c r="G9" t="s">
        <v>48</v>
      </c>
      <c r="H9">
        <v>9842.2000000000062</v>
      </c>
      <c r="I9">
        <v>9842.2000000000062</v>
      </c>
      <c r="J9">
        <v>0</v>
      </c>
      <c r="K9">
        <v>764.4000000000002</v>
      </c>
      <c r="L9">
        <v>887.20000000000039</v>
      </c>
      <c r="M9">
        <v>122.80000000000001</v>
      </c>
      <c r="N9">
        <v>24.98</v>
      </c>
      <c r="O9">
        <v>24.98</v>
      </c>
      <c r="P9">
        <v>0</v>
      </c>
      <c r="Q9">
        <v>-1274.8999999999996</v>
      </c>
      <c r="R9">
        <v>-1274.8999999999996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9356.6800000000057</v>
      </c>
      <c r="AA9">
        <v>9479.4800000000014</v>
      </c>
      <c r="AB9">
        <v>122.8</v>
      </c>
      <c r="AC9">
        <v>28.68</v>
      </c>
      <c r="AE9">
        <v>-28.68</v>
      </c>
      <c r="AF9">
        <v>9328.0000000000055</v>
      </c>
      <c r="AG9">
        <v>9479.4800000000014</v>
      </c>
      <c r="AH9">
        <v>151.48000000000002</v>
      </c>
      <c r="AI9">
        <v>3082.6599999999971</v>
      </c>
      <c r="AJ9">
        <v>0</v>
      </c>
      <c r="AK9">
        <v>-3082.6599999999971</v>
      </c>
      <c r="AL9">
        <v>6245.3399999999929</v>
      </c>
      <c r="AM9">
        <v>9479.4800000000014</v>
      </c>
      <c r="AN9">
        <v>3234.1399999999985</v>
      </c>
      <c r="AO9">
        <v>293</v>
      </c>
    </row>
    <row r="10" spans="1:41" x14ac:dyDescent="0.35">
      <c r="A10">
        <v>2024</v>
      </c>
      <c r="B10">
        <v>3</v>
      </c>
      <c r="C10">
        <v>9</v>
      </c>
      <c r="D10" s="14">
        <v>45352</v>
      </c>
      <c r="E10" t="s">
        <v>44</v>
      </c>
      <c r="F10" t="s">
        <v>47</v>
      </c>
      <c r="G10" t="s">
        <v>49</v>
      </c>
      <c r="H10">
        <v>15165.25</v>
      </c>
      <c r="I10">
        <v>15165.25</v>
      </c>
      <c r="J10">
        <v>0</v>
      </c>
      <c r="K10">
        <v>150.16000000000003</v>
      </c>
      <c r="L10">
        <v>150.16000000000003</v>
      </c>
      <c r="M10">
        <v>0</v>
      </c>
      <c r="N10">
        <v>215.90000000000003</v>
      </c>
      <c r="O10">
        <v>215.90000000000003</v>
      </c>
      <c r="P10">
        <v>0</v>
      </c>
      <c r="Q10">
        <v>-5564.4999999999991</v>
      </c>
      <c r="R10">
        <v>-5554.4999999999991</v>
      </c>
      <c r="S10">
        <v>10</v>
      </c>
      <c r="T10">
        <v>-25</v>
      </c>
      <c r="U10">
        <v>-25</v>
      </c>
      <c r="V10">
        <v>0</v>
      </c>
      <c r="W10">
        <v>0</v>
      </c>
      <c r="X10">
        <v>0</v>
      </c>
      <c r="Y10">
        <v>0</v>
      </c>
      <c r="Z10">
        <v>9941.8099999999977</v>
      </c>
      <c r="AA10">
        <v>9951.8099999999977</v>
      </c>
      <c r="AB10">
        <v>10</v>
      </c>
      <c r="AC10">
        <v>720.49999999999966</v>
      </c>
      <c r="AD10">
        <v>150.20999999999998</v>
      </c>
      <c r="AE10">
        <v>-570.28999999999962</v>
      </c>
      <c r="AF10">
        <v>9221.3099999999959</v>
      </c>
      <c r="AG10">
        <v>9801.5999999999985</v>
      </c>
      <c r="AH10">
        <v>580.28999999999962</v>
      </c>
      <c r="AI10">
        <v>1641.3000000000002</v>
      </c>
      <c r="AJ10">
        <v>10.66</v>
      </c>
      <c r="AK10">
        <v>-1630.6400000000003</v>
      </c>
      <c r="AL10">
        <v>7580.0099999999911</v>
      </c>
      <c r="AM10">
        <v>9790.9399999999987</v>
      </c>
      <c r="AN10">
        <v>2210.9300000000035</v>
      </c>
      <c r="AO10">
        <v>191</v>
      </c>
    </row>
    <row r="11" spans="1:41" x14ac:dyDescent="0.35">
      <c r="A11">
        <v>2024</v>
      </c>
      <c r="B11">
        <v>3</v>
      </c>
      <c r="C11">
        <v>9</v>
      </c>
      <c r="D11" s="14">
        <v>45353</v>
      </c>
      <c r="E11" t="s">
        <v>44</v>
      </c>
      <c r="F11" t="s">
        <v>47</v>
      </c>
      <c r="G11" t="s">
        <v>49</v>
      </c>
      <c r="H11">
        <v>14528.45</v>
      </c>
      <c r="I11">
        <v>14528.45</v>
      </c>
      <c r="J11">
        <v>0</v>
      </c>
      <c r="K11">
        <v>94.460000000000008</v>
      </c>
      <c r="L11">
        <v>125.15999999999998</v>
      </c>
      <c r="M11">
        <v>30.7</v>
      </c>
      <c r="N11">
        <v>182.89000000000001</v>
      </c>
      <c r="O11">
        <v>182.89000000000001</v>
      </c>
      <c r="P11">
        <v>0</v>
      </c>
      <c r="Q11">
        <v>-4595.7000000000007</v>
      </c>
      <c r="R11">
        <v>-4585.7000000000007</v>
      </c>
      <c r="S11">
        <v>10</v>
      </c>
      <c r="T11">
        <v>-5</v>
      </c>
      <c r="U11">
        <v>-5</v>
      </c>
      <c r="V11">
        <v>0</v>
      </c>
      <c r="W11">
        <v>-10</v>
      </c>
      <c r="X11">
        <v>-10</v>
      </c>
      <c r="Y11">
        <v>0</v>
      </c>
      <c r="Z11">
        <v>10195.099999999995</v>
      </c>
      <c r="AA11">
        <v>10235.799999999996</v>
      </c>
      <c r="AB11">
        <v>40.700000000000003</v>
      </c>
      <c r="AC11">
        <v>415.7</v>
      </c>
      <c r="AD11">
        <v>265.48999999999995</v>
      </c>
      <c r="AE11">
        <v>-150.21</v>
      </c>
      <c r="AF11">
        <v>9779.3999999999924</v>
      </c>
      <c r="AG11">
        <v>9970.3099999999922</v>
      </c>
      <c r="AH11">
        <v>190.91000000000003</v>
      </c>
      <c r="AI11">
        <v>1481.0899999999983</v>
      </c>
      <c r="AJ11">
        <v>0</v>
      </c>
      <c r="AK11">
        <v>-1481.0899999999983</v>
      </c>
      <c r="AL11">
        <v>8298.309999999994</v>
      </c>
      <c r="AM11">
        <v>9970.3099999999922</v>
      </c>
      <c r="AN11">
        <v>1671.999999999998</v>
      </c>
      <c r="AO11">
        <v>170</v>
      </c>
    </row>
    <row r="12" spans="1:41" x14ac:dyDescent="0.35">
      <c r="A12">
        <v>2024</v>
      </c>
      <c r="B12">
        <v>3</v>
      </c>
      <c r="C12">
        <v>9</v>
      </c>
      <c r="D12" s="14">
        <v>45352</v>
      </c>
      <c r="E12" t="s">
        <v>44</v>
      </c>
      <c r="F12" t="s">
        <v>47</v>
      </c>
      <c r="G12" t="s">
        <v>50</v>
      </c>
      <c r="H12">
        <v>23787.199999999997</v>
      </c>
      <c r="I12">
        <v>23787.199999999997</v>
      </c>
      <c r="J12">
        <v>0</v>
      </c>
      <c r="K12">
        <v>479.84999999999951</v>
      </c>
      <c r="L12">
        <v>479.84999999999951</v>
      </c>
      <c r="M12">
        <v>0</v>
      </c>
      <c r="N12">
        <v>1154.2800000000004</v>
      </c>
      <c r="O12">
        <v>1154.2800000000004</v>
      </c>
      <c r="P12">
        <v>0</v>
      </c>
      <c r="Q12">
        <v>-7037.25</v>
      </c>
      <c r="R12">
        <v>-6939.25</v>
      </c>
      <c r="S12">
        <v>98</v>
      </c>
      <c r="T12">
        <v>-35</v>
      </c>
      <c r="U12">
        <v>-35</v>
      </c>
      <c r="V12">
        <v>0</v>
      </c>
      <c r="W12">
        <v>-67.97</v>
      </c>
      <c r="X12">
        <v>-67.97</v>
      </c>
      <c r="Y12">
        <v>0</v>
      </c>
      <c r="Z12">
        <v>18281.109999999993</v>
      </c>
      <c r="AA12">
        <v>18379.109999999993</v>
      </c>
      <c r="AB12">
        <v>98</v>
      </c>
      <c r="AC12">
        <v>2439.6700000000028</v>
      </c>
      <c r="AD12">
        <v>1059.0999999999999</v>
      </c>
      <c r="AE12">
        <v>-1380.5700000000006</v>
      </c>
      <c r="AF12">
        <v>15841.439999999999</v>
      </c>
      <c r="AG12">
        <v>17320.009999999991</v>
      </c>
      <c r="AH12">
        <v>1478.5700000000006</v>
      </c>
      <c r="AI12">
        <v>-669.45</v>
      </c>
      <c r="AJ12">
        <v>0</v>
      </c>
      <c r="AK12">
        <v>669.45</v>
      </c>
      <c r="AL12">
        <v>16510.89000000001</v>
      </c>
      <c r="AM12">
        <v>17320.009999999991</v>
      </c>
      <c r="AN12">
        <v>809.11999999999989</v>
      </c>
      <c r="AO12">
        <v>275</v>
      </c>
    </row>
    <row r="13" spans="1:41" x14ac:dyDescent="0.35">
      <c r="A13">
        <v>2024</v>
      </c>
      <c r="B13">
        <v>3</v>
      </c>
      <c r="C13">
        <v>9</v>
      </c>
      <c r="D13" s="14">
        <v>45353</v>
      </c>
      <c r="E13" t="s">
        <v>44</v>
      </c>
      <c r="F13" t="s">
        <v>47</v>
      </c>
      <c r="G13" t="s">
        <v>50</v>
      </c>
      <c r="H13">
        <v>22486.58</v>
      </c>
      <c r="I13">
        <v>22486.58</v>
      </c>
      <c r="J13">
        <v>0</v>
      </c>
      <c r="K13">
        <v>642.58999999999969</v>
      </c>
      <c r="L13">
        <v>642.58999999999969</v>
      </c>
      <c r="M13">
        <v>0</v>
      </c>
      <c r="N13">
        <v>942.4400000000004</v>
      </c>
      <c r="O13">
        <v>942.4400000000004</v>
      </c>
      <c r="P13">
        <v>0</v>
      </c>
      <c r="Q13">
        <v>-6734.15</v>
      </c>
      <c r="R13">
        <v>-6665.15</v>
      </c>
      <c r="S13">
        <v>69</v>
      </c>
      <c r="T13">
        <v>-65</v>
      </c>
      <c r="U13">
        <v>-65</v>
      </c>
      <c r="V13">
        <v>0</v>
      </c>
      <c r="W13">
        <v>-85.97</v>
      </c>
      <c r="X13">
        <v>-85.97</v>
      </c>
      <c r="Y13">
        <v>0</v>
      </c>
      <c r="Z13">
        <v>17186.489999999994</v>
      </c>
      <c r="AA13">
        <v>17255.489999999994</v>
      </c>
      <c r="AB13">
        <v>69</v>
      </c>
      <c r="AC13">
        <v>2581.2900000000045</v>
      </c>
      <c r="AD13">
        <v>1541.0700000000022</v>
      </c>
      <c r="AE13">
        <v>-1040.22</v>
      </c>
      <c r="AF13">
        <v>14605.200000000006</v>
      </c>
      <c r="AG13">
        <v>15714.420000000006</v>
      </c>
      <c r="AH13">
        <v>1109.2199999999996</v>
      </c>
      <c r="AI13">
        <v>-934.31000000000029</v>
      </c>
      <c r="AJ13">
        <v>0</v>
      </c>
      <c r="AK13">
        <v>934.31000000000029</v>
      </c>
      <c r="AL13">
        <v>15539.510000000004</v>
      </c>
      <c r="AM13">
        <v>15714.420000000006</v>
      </c>
      <c r="AN13">
        <v>174.90999999999997</v>
      </c>
      <c r="AO13">
        <v>258</v>
      </c>
    </row>
    <row r="14" spans="1:41" x14ac:dyDescent="0.35">
      <c r="A14">
        <v>2024</v>
      </c>
      <c r="B14">
        <v>3</v>
      </c>
      <c r="C14">
        <v>9</v>
      </c>
      <c r="D14" s="14">
        <v>45352</v>
      </c>
      <c r="E14" t="s">
        <v>44</v>
      </c>
      <c r="F14" t="s">
        <v>47</v>
      </c>
      <c r="G14" t="s">
        <v>51</v>
      </c>
      <c r="H14">
        <v>5526.8500000000013</v>
      </c>
      <c r="I14">
        <v>5526.8500000000013</v>
      </c>
      <c r="J14">
        <v>0</v>
      </c>
      <c r="K14">
        <v>30.95</v>
      </c>
      <c r="L14">
        <v>30.95</v>
      </c>
      <c r="M14">
        <v>0</v>
      </c>
      <c r="N14">
        <v>0</v>
      </c>
      <c r="O14">
        <v>0</v>
      </c>
      <c r="P14">
        <v>0</v>
      </c>
      <c r="Q14">
        <v>-1372.35</v>
      </c>
      <c r="R14">
        <v>-1372.35</v>
      </c>
      <c r="S14">
        <v>0</v>
      </c>
      <c r="T14">
        <v>-12</v>
      </c>
      <c r="U14">
        <v>-12</v>
      </c>
      <c r="V14">
        <v>0</v>
      </c>
      <c r="W14">
        <v>0</v>
      </c>
      <c r="X14">
        <v>0</v>
      </c>
      <c r="Y14">
        <v>0</v>
      </c>
      <c r="Z14">
        <v>4173.4500000000007</v>
      </c>
      <c r="AA14">
        <v>4173.4500000000007</v>
      </c>
      <c r="AB14">
        <v>0</v>
      </c>
      <c r="AC14">
        <v>86.699999999999989</v>
      </c>
      <c r="AD14">
        <v>63.32</v>
      </c>
      <c r="AE14">
        <v>-23.38</v>
      </c>
      <c r="AF14">
        <v>4086.7500000000014</v>
      </c>
      <c r="AG14">
        <v>4110.130000000001</v>
      </c>
      <c r="AH14">
        <v>23.38</v>
      </c>
      <c r="AI14">
        <v>1301.3200000000004</v>
      </c>
      <c r="AJ14">
        <v>0</v>
      </c>
      <c r="AK14">
        <v>-1301.3200000000004</v>
      </c>
      <c r="AL14">
        <v>2785.43</v>
      </c>
      <c r="AM14">
        <v>4110.130000000001</v>
      </c>
      <c r="AN14">
        <v>1324.7000000000005</v>
      </c>
      <c r="AO14">
        <v>93</v>
      </c>
    </row>
    <row r="15" spans="1:41" x14ac:dyDescent="0.35">
      <c r="A15">
        <v>2024</v>
      </c>
      <c r="B15">
        <v>3</v>
      </c>
      <c r="C15">
        <v>9</v>
      </c>
      <c r="D15" s="14">
        <v>45353</v>
      </c>
      <c r="E15" t="s">
        <v>44</v>
      </c>
      <c r="F15" t="s">
        <v>47</v>
      </c>
      <c r="G15" t="s">
        <v>51</v>
      </c>
      <c r="H15">
        <v>4118.3500000000004</v>
      </c>
      <c r="I15">
        <v>4108.1000000000004</v>
      </c>
      <c r="J15">
        <v>-10.25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-919.25</v>
      </c>
      <c r="R15">
        <v>-919.25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3199.1</v>
      </c>
      <c r="AA15">
        <v>3188.85</v>
      </c>
      <c r="AB15">
        <v>-10.25</v>
      </c>
      <c r="AC15">
        <v>108.86999999999999</v>
      </c>
      <c r="AD15">
        <v>45.55</v>
      </c>
      <c r="AE15">
        <v>-63.319999999999993</v>
      </c>
      <c r="AF15">
        <v>3090.23</v>
      </c>
      <c r="AG15">
        <v>3143.2999999999997</v>
      </c>
      <c r="AH15">
        <v>53.069999999999993</v>
      </c>
      <c r="AI15">
        <v>1028.22</v>
      </c>
      <c r="AJ15">
        <v>0</v>
      </c>
      <c r="AK15">
        <v>-1028.22</v>
      </c>
      <c r="AL15">
        <v>2062.0099999999998</v>
      </c>
      <c r="AM15">
        <v>3143.2999999999997</v>
      </c>
      <c r="AN15">
        <v>1081.2900000000002</v>
      </c>
      <c r="AO15">
        <v>74</v>
      </c>
    </row>
    <row r="16" spans="1:41" x14ac:dyDescent="0.35">
      <c r="A16">
        <v>2024</v>
      </c>
      <c r="B16">
        <v>3</v>
      </c>
      <c r="C16">
        <v>10</v>
      </c>
      <c r="D16" s="14">
        <v>45354</v>
      </c>
      <c r="E16" t="s">
        <v>41</v>
      </c>
      <c r="F16" t="s">
        <v>42</v>
      </c>
      <c r="G16" t="s">
        <v>43</v>
      </c>
      <c r="H16">
        <v>82049.5</v>
      </c>
      <c r="I16">
        <v>82049.5</v>
      </c>
      <c r="J16">
        <v>0</v>
      </c>
      <c r="K16">
        <v>1120.9400000000119</v>
      </c>
      <c r="L16">
        <v>1120.9400000000119</v>
      </c>
      <c r="M16">
        <v>0</v>
      </c>
      <c r="N16">
        <v>2195.4399999999987</v>
      </c>
      <c r="O16">
        <v>2195.4399999999987</v>
      </c>
      <c r="P16">
        <v>0</v>
      </c>
      <c r="Q16">
        <v>-8536.130000000001</v>
      </c>
      <c r="R16">
        <v>-8064.13</v>
      </c>
      <c r="S16">
        <v>472</v>
      </c>
      <c r="T16">
        <v>-5.4300000000000006</v>
      </c>
      <c r="U16">
        <v>-5.4300000000000006</v>
      </c>
      <c r="V16">
        <v>0</v>
      </c>
      <c r="W16">
        <v>-75.989999999999995</v>
      </c>
      <c r="X16">
        <v>-75.989999999999995</v>
      </c>
      <c r="Y16">
        <v>0</v>
      </c>
      <c r="Z16">
        <v>76748.329999999871</v>
      </c>
      <c r="AA16">
        <v>77220.329999999885</v>
      </c>
      <c r="AB16">
        <v>472</v>
      </c>
      <c r="AC16">
        <v>22487.259999999809</v>
      </c>
      <c r="AD16">
        <v>13754.029999999979</v>
      </c>
      <c r="AE16">
        <v>-8733.2300000000287</v>
      </c>
      <c r="AF16">
        <v>54261.07000000032</v>
      </c>
      <c r="AG16">
        <v>63466.30000000001</v>
      </c>
      <c r="AH16">
        <v>9205.230000000025</v>
      </c>
      <c r="AI16">
        <v>-6847.2799999999952</v>
      </c>
      <c r="AJ16">
        <v>0</v>
      </c>
      <c r="AK16">
        <v>6847.2799999999952</v>
      </c>
      <c r="AL16">
        <v>61108.350000000195</v>
      </c>
      <c r="AM16">
        <v>63466.30000000001</v>
      </c>
      <c r="AN16">
        <v>2357.9500000000144</v>
      </c>
      <c r="AO16">
        <v>1447</v>
      </c>
    </row>
    <row r="17" spans="1:41" x14ac:dyDescent="0.35">
      <c r="A17">
        <v>2024</v>
      </c>
      <c r="B17">
        <v>3</v>
      </c>
      <c r="C17">
        <v>10</v>
      </c>
      <c r="D17" s="14">
        <v>45355</v>
      </c>
      <c r="E17" t="s">
        <v>41</v>
      </c>
      <c r="F17" t="s">
        <v>42</v>
      </c>
      <c r="G17" t="s">
        <v>43</v>
      </c>
      <c r="H17">
        <v>101145</v>
      </c>
      <c r="I17">
        <v>101145</v>
      </c>
      <c r="J17">
        <v>0</v>
      </c>
      <c r="K17">
        <v>1085.3600000000063</v>
      </c>
      <c r="L17">
        <v>1085.3600000000063</v>
      </c>
      <c r="M17">
        <v>0</v>
      </c>
      <c r="N17">
        <v>2562.1999999999935</v>
      </c>
      <c r="O17">
        <v>2562.1999999999935</v>
      </c>
      <c r="P17">
        <v>0</v>
      </c>
      <c r="Q17">
        <v>-10381.75</v>
      </c>
      <c r="R17">
        <v>-9079.75</v>
      </c>
      <c r="S17">
        <v>1302</v>
      </c>
      <c r="T17">
        <v>-3.18</v>
      </c>
      <c r="U17">
        <v>-3.18</v>
      </c>
      <c r="V17">
        <v>0</v>
      </c>
      <c r="W17">
        <v>-90</v>
      </c>
      <c r="X17">
        <v>-90</v>
      </c>
      <c r="Y17">
        <v>0</v>
      </c>
      <c r="Z17">
        <v>94317.630000000325</v>
      </c>
      <c r="AA17">
        <v>95619.630000000368</v>
      </c>
      <c r="AB17">
        <v>1302</v>
      </c>
      <c r="AC17">
        <v>26617.969999999714</v>
      </c>
      <c r="AD17">
        <v>13024.719999999985</v>
      </c>
      <c r="AE17">
        <v>-13593.249999999989</v>
      </c>
      <c r="AF17">
        <v>67699.660000000469</v>
      </c>
      <c r="AG17">
        <v>82594.91000000028</v>
      </c>
      <c r="AH17">
        <v>14895.249999999978</v>
      </c>
      <c r="AI17">
        <v>-6775.3799999999956</v>
      </c>
      <c r="AJ17">
        <v>0</v>
      </c>
      <c r="AK17">
        <v>6775.3799999999956</v>
      </c>
      <c r="AL17">
        <v>74475.040000000226</v>
      </c>
      <c r="AM17">
        <v>82594.91000000028</v>
      </c>
      <c r="AN17">
        <v>8119.8700000000354</v>
      </c>
      <c r="AO17">
        <v>1766</v>
      </c>
    </row>
    <row r="18" spans="1:41" x14ac:dyDescent="0.35">
      <c r="A18">
        <v>2024</v>
      </c>
      <c r="B18">
        <v>3</v>
      </c>
      <c r="C18">
        <v>10</v>
      </c>
      <c r="D18" s="14">
        <v>45356</v>
      </c>
      <c r="E18" t="s">
        <v>41</v>
      </c>
      <c r="F18" t="s">
        <v>42</v>
      </c>
      <c r="G18" t="s">
        <v>43</v>
      </c>
      <c r="H18">
        <v>110131.75</v>
      </c>
      <c r="I18">
        <v>110131.75</v>
      </c>
      <c r="J18">
        <v>0</v>
      </c>
      <c r="K18">
        <v>1020.9800000000103</v>
      </c>
      <c r="L18">
        <v>1020.9800000000103</v>
      </c>
      <c r="M18">
        <v>0</v>
      </c>
      <c r="N18">
        <v>2614.2599999999929</v>
      </c>
      <c r="O18">
        <v>2614.2599999999929</v>
      </c>
      <c r="P18">
        <v>0</v>
      </c>
      <c r="Q18">
        <v>-11476.75</v>
      </c>
      <c r="R18">
        <v>-10029.75</v>
      </c>
      <c r="S18">
        <v>1447</v>
      </c>
      <c r="T18">
        <v>-0.71</v>
      </c>
      <c r="U18">
        <v>-0.71</v>
      </c>
      <c r="V18">
        <v>0</v>
      </c>
      <c r="W18">
        <v>-75</v>
      </c>
      <c r="X18">
        <v>-75</v>
      </c>
      <c r="Y18">
        <v>0</v>
      </c>
      <c r="Z18">
        <v>102214.53000000049</v>
      </c>
      <c r="AA18">
        <v>103661.53000000055</v>
      </c>
      <c r="AB18">
        <v>1447</v>
      </c>
      <c r="AC18">
        <v>29329.199999999764</v>
      </c>
      <c r="AD18">
        <v>16550.419999999966</v>
      </c>
      <c r="AE18">
        <v>-12778.779999999988</v>
      </c>
      <c r="AF18">
        <v>72885.330000000336</v>
      </c>
      <c r="AG18">
        <v>87111.110000000321</v>
      </c>
      <c r="AH18">
        <v>14225.779999999982</v>
      </c>
      <c r="AI18">
        <v>-8335.0699999999924</v>
      </c>
      <c r="AJ18">
        <v>0</v>
      </c>
      <c r="AK18">
        <v>8335.0699999999924</v>
      </c>
      <c r="AL18">
        <v>81220.400000000358</v>
      </c>
      <c r="AM18">
        <v>87111.110000000321</v>
      </c>
      <c r="AN18">
        <v>5890.7100000000273</v>
      </c>
      <c r="AO18">
        <v>1920</v>
      </c>
    </row>
    <row r="19" spans="1:41" x14ac:dyDescent="0.35">
      <c r="A19">
        <v>2024</v>
      </c>
      <c r="B19">
        <v>3</v>
      </c>
      <c r="C19">
        <v>10</v>
      </c>
      <c r="D19" s="14">
        <v>45357</v>
      </c>
      <c r="E19" t="s">
        <v>41</v>
      </c>
      <c r="F19" t="s">
        <v>42</v>
      </c>
      <c r="G19" t="s">
        <v>43</v>
      </c>
      <c r="H19">
        <v>112860.5</v>
      </c>
      <c r="I19">
        <v>112860.5</v>
      </c>
      <c r="J19">
        <v>0</v>
      </c>
      <c r="K19">
        <v>1230.2300000000091</v>
      </c>
      <c r="L19">
        <v>1230.2300000000091</v>
      </c>
      <c r="M19">
        <v>0</v>
      </c>
      <c r="N19">
        <v>2750.1499999999905</v>
      </c>
      <c r="O19">
        <v>2750.1499999999905</v>
      </c>
      <c r="P19">
        <v>0</v>
      </c>
      <c r="Q19">
        <v>-11218.5</v>
      </c>
      <c r="R19">
        <v>-10052.5</v>
      </c>
      <c r="S19">
        <v>1166</v>
      </c>
      <c r="T19">
        <v>-0.69000000000000006</v>
      </c>
      <c r="U19">
        <v>-0.69000000000000006</v>
      </c>
      <c r="V19">
        <v>0</v>
      </c>
      <c r="W19">
        <v>-90.990000000000009</v>
      </c>
      <c r="X19">
        <v>-90.990000000000009</v>
      </c>
      <c r="Y19">
        <v>0</v>
      </c>
      <c r="Z19">
        <v>105530.70000000074</v>
      </c>
      <c r="AA19">
        <v>106696.70000000075</v>
      </c>
      <c r="AB19">
        <v>1166</v>
      </c>
      <c r="AC19">
        <v>30415.289999999713</v>
      </c>
      <c r="AD19">
        <v>13887.309999999978</v>
      </c>
      <c r="AE19">
        <v>-16527.979999999949</v>
      </c>
      <c r="AF19">
        <v>75115.410000000236</v>
      </c>
      <c r="AG19">
        <v>92809.390000000349</v>
      </c>
      <c r="AH19">
        <v>17693.97999999993</v>
      </c>
      <c r="AI19">
        <v>-6858.8599999999933</v>
      </c>
      <c r="AJ19">
        <v>0</v>
      </c>
      <c r="AK19">
        <v>6858.8599999999933</v>
      </c>
      <c r="AL19">
        <v>81974.270000000164</v>
      </c>
      <c r="AM19">
        <v>92809.390000000349</v>
      </c>
      <c r="AN19">
        <v>10835.119999999966</v>
      </c>
      <c r="AO19">
        <v>1954</v>
      </c>
    </row>
    <row r="20" spans="1:41" x14ac:dyDescent="0.35">
      <c r="A20">
        <v>2024</v>
      </c>
      <c r="B20">
        <v>3</v>
      </c>
      <c r="C20">
        <v>10</v>
      </c>
      <c r="D20" s="14">
        <v>45358</v>
      </c>
      <c r="E20" t="s">
        <v>41</v>
      </c>
      <c r="F20" t="s">
        <v>42</v>
      </c>
      <c r="G20" t="s">
        <v>43</v>
      </c>
      <c r="H20">
        <v>94581.25</v>
      </c>
      <c r="I20">
        <v>94581.25</v>
      </c>
      <c r="J20">
        <v>0</v>
      </c>
      <c r="K20">
        <v>1151.1800000000101</v>
      </c>
      <c r="L20">
        <v>1151.1800000000101</v>
      </c>
      <c r="M20">
        <v>0</v>
      </c>
      <c r="N20">
        <v>2668.1699999999919</v>
      </c>
      <c r="O20">
        <v>2636.1899999999923</v>
      </c>
      <c r="P20">
        <v>-31.98</v>
      </c>
      <c r="Q20">
        <v>-9560</v>
      </c>
      <c r="R20">
        <v>-8548</v>
      </c>
      <c r="S20">
        <v>1012</v>
      </c>
      <c r="T20">
        <v>-0.89</v>
      </c>
      <c r="U20">
        <v>-0.89</v>
      </c>
      <c r="V20">
        <v>0</v>
      </c>
      <c r="W20">
        <v>-106.97999999999999</v>
      </c>
      <c r="X20">
        <v>-106.97999999999999</v>
      </c>
      <c r="Y20">
        <v>0</v>
      </c>
      <c r="Z20">
        <v>88732.7300000002</v>
      </c>
      <c r="AA20">
        <v>89712.750000000189</v>
      </c>
      <c r="AB20">
        <v>980.02</v>
      </c>
      <c r="AC20">
        <v>25879.969999999823</v>
      </c>
      <c r="AD20">
        <v>12146.029999999999</v>
      </c>
      <c r="AE20">
        <v>-13733.939999999979</v>
      </c>
      <c r="AF20">
        <v>62852.760000000206</v>
      </c>
      <c r="AG20">
        <v>77566.720000000045</v>
      </c>
      <c r="AH20">
        <v>14713.959999999977</v>
      </c>
      <c r="AI20">
        <v>-5928.23</v>
      </c>
      <c r="AJ20">
        <v>0</v>
      </c>
      <c r="AK20">
        <v>5928.23</v>
      </c>
      <c r="AL20">
        <v>68780.99000000002</v>
      </c>
      <c r="AM20">
        <v>77566.720000000045</v>
      </c>
      <c r="AN20">
        <v>8785.7300000000087</v>
      </c>
      <c r="AO20">
        <v>1633</v>
      </c>
    </row>
    <row r="21" spans="1:41" x14ac:dyDescent="0.35">
      <c r="A21">
        <v>2024</v>
      </c>
      <c r="B21">
        <v>3</v>
      </c>
      <c r="C21">
        <v>10</v>
      </c>
      <c r="D21" s="14">
        <v>45359</v>
      </c>
      <c r="E21" t="s">
        <v>41</v>
      </c>
      <c r="F21" t="s">
        <v>42</v>
      </c>
      <c r="G21" t="s">
        <v>43</v>
      </c>
      <c r="H21">
        <v>87941.75</v>
      </c>
      <c r="I21">
        <v>87941.75</v>
      </c>
      <c r="J21">
        <v>0</v>
      </c>
      <c r="K21">
        <v>1145.6900000000066</v>
      </c>
      <c r="L21">
        <v>1145.6900000000066</v>
      </c>
      <c r="M21">
        <v>0</v>
      </c>
      <c r="N21">
        <v>2221.4899999999984</v>
      </c>
      <c r="O21">
        <v>2221.4899999999984</v>
      </c>
      <c r="P21">
        <v>0</v>
      </c>
      <c r="Q21">
        <v>-9087.5</v>
      </c>
      <c r="R21">
        <v>-7947.5</v>
      </c>
      <c r="S21">
        <v>1140</v>
      </c>
      <c r="T21">
        <v>-9.620000000000001</v>
      </c>
      <c r="U21">
        <v>-9.620000000000001</v>
      </c>
      <c r="V21">
        <v>0</v>
      </c>
      <c r="W21">
        <v>-70.990000000000009</v>
      </c>
      <c r="X21">
        <v>-70.990000000000009</v>
      </c>
      <c r="Y21">
        <v>0</v>
      </c>
      <c r="Z21">
        <v>82140.820000000051</v>
      </c>
      <c r="AA21">
        <v>83280.820000000123</v>
      </c>
      <c r="AB21">
        <v>1140</v>
      </c>
      <c r="AC21">
        <v>24604.979999999836</v>
      </c>
      <c r="AD21">
        <v>12539.609999999991</v>
      </c>
      <c r="AE21">
        <v>-12065.36999999999</v>
      </c>
      <c r="AF21">
        <v>57535.8400000002</v>
      </c>
      <c r="AG21">
        <v>70741.210000000021</v>
      </c>
      <c r="AH21">
        <v>13205.369999999988</v>
      </c>
      <c r="AI21">
        <v>-6396.8699999999899</v>
      </c>
      <c r="AJ21">
        <v>0</v>
      </c>
      <c r="AK21">
        <v>6396.8699999999899</v>
      </c>
      <c r="AL21">
        <v>63932.710000000101</v>
      </c>
      <c r="AM21">
        <v>70741.210000000021</v>
      </c>
      <c r="AN21">
        <v>6808.5000000000373</v>
      </c>
      <c r="AO21">
        <v>1532</v>
      </c>
    </row>
    <row r="22" spans="1:41" x14ac:dyDescent="0.35">
      <c r="A22">
        <v>2024</v>
      </c>
      <c r="B22">
        <v>3</v>
      </c>
      <c r="C22">
        <v>10</v>
      </c>
      <c r="D22" s="14">
        <v>45360</v>
      </c>
      <c r="E22" t="s">
        <v>41</v>
      </c>
      <c r="F22" t="s">
        <v>42</v>
      </c>
      <c r="G22" t="s">
        <v>43</v>
      </c>
      <c r="H22">
        <v>95300</v>
      </c>
      <c r="I22">
        <v>95300</v>
      </c>
      <c r="J22">
        <v>0</v>
      </c>
      <c r="K22">
        <v>1210.4000000000124</v>
      </c>
      <c r="L22">
        <v>1210.4000000000124</v>
      </c>
      <c r="M22">
        <v>0</v>
      </c>
      <c r="N22">
        <v>2316.3799999999969</v>
      </c>
      <c r="O22">
        <v>2316.3799999999969</v>
      </c>
      <c r="P22">
        <v>0</v>
      </c>
      <c r="Q22">
        <v>-10167.4</v>
      </c>
      <c r="R22">
        <v>-9181.4</v>
      </c>
      <c r="S22">
        <v>986</v>
      </c>
      <c r="T22">
        <v>-12.3</v>
      </c>
      <c r="U22">
        <v>-12.3</v>
      </c>
      <c r="V22">
        <v>0</v>
      </c>
      <c r="W22">
        <v>-70</v>
      </c>
      <c r="X22">
        <v>-70</v>
      </c>
      <c r="Y22">
        <v>0</v>
      </c>
      <c r="Z22">
        <v>88577.080000000147</v>
      </c>
      <c r="AA22">
        <v>89563.080000000147</v>
      </c>
      <c r="AB22">
        <v>986</v>
      </c>
      <c r="AC22">
        <v>27389.829999999805</v>
      </c>
      <c r="AD22">
        <v>14993.489999999969</v>
      </c>
      <c r="AE22">
        <v>-12396.339999999989</v>
      </c>
      <c r="AF22">
        <v>61187.250000000131</v>
      </c>
      <c r="AG22">
        <v>74569.589999999938</v>
      </c>
      <c r="AH22">
        <v>13382.339999999986</v>
      </c>
      <c r="AI22">
        <v>-7487.8700000000063</v>
      </c>
      <c r="AJ22">
        <v>-1.1500000000000001</v>
      </c>
      <c r="AK22">
        <v>7486.7200000000057</v>
      </c>
      <c r="AL22">
        <v>68675.120000000199</v>
      </c>
      <c r="AM22">
        <v>74570.739999999932</v>
      </c>
      <c r="AN22">
        <v>5895.6200000000181</v>
      </c>
      <c r="AO22">
        <v>1665</v>
      </c>
    </row>
    <row r="23" spans="1:41" x14ac:dyDescent="0.35">
      <c r="A23">
        <v>2024</v>
      </c>
      <c r="B23">
        <v>3</v>
      </c>
      <c r="C23">
        <v>10</v>
      </c>
      <c r="D23" s="14">
        <v>45354</v>
      </c>
      <c r="E23" t="s">
        <v>44</v>
      </c>
      <c r="F23" t="s">
        <v>42</v>
      </c>
      <c r="G23" t="s">
        <v>45</v>
      </c>
      <c r="H23">
        <v>115861.25</v>
      </c>
      <c r="I23">
        <v>115861.25</v>
      </c>
      <c r="J23">
        <v>0</v>
      </c>
      <c r="K23">
        <v>954.00000000000421</v>
      </c>
      <c r="L23">
        <v>954.00000000000421</v>
      </c>
      <c r="M23">
        <v>0</v>
      </c>
      <c r="N23">
        <v>5033.7699999999586</v>
      </c>
      <c r="O23">
        <v>5014.7799999999588</v>
      </c>
      <c r="P23">
        <v>-18.990000000000002</v>
      </c>
      <c r="Q23">
        <v>-21727.21</v>
      </c>
      <c r="R23">
        <v>-21425.21</v>
      </c>
      <c r="S23">
        <v>302</v>
      </c>
      <c r="T23">
        <v>-1.3199999999999998</v>
      </c>
      <c r="U23">
        <v>-1.3199999999999998</v>
      </c>
      <c r="V23">
        <v>0</v>
      </c>
      <c r="W23">
        <v>-105.60000000000001</v>
      </c>
      <c r="X23">
        <v>-105.60000000000001</v>
      </c>
      <c r="Y23">
        <v>0</v>
      </c>
      <c r="Z23">
        <v>100014.89000000032</v>
      </c>
      <c r="AA23">
        <v>100297.90000000033</v>
      </c>
      <c r="AB23">
        <v>283.01</v>
      </c>
      <c r="AC23">
        <v>18354.8299999999</v>
      </c>
      <c r="AD23">
        <v>11873.789999999988</v>
      </c>
      <c r="AE23">
        <v>-6481.0400000000282</v>
      </c>
      <c r="AF23">
        <v>81660.060000000463</v>
      </c>
      <c r="AG23">
        <v>88424.110000000161</v>
      </c>
      <c r="AH23">
        <v>6764.0500000000293</v>
      </c>
      <c r="AI23">
        <v>-6072.7100000000028</v>
      </c>
      <c r="AJ23">
        <v>0</v>
      </c>
      <c r="AK23">
        <v>6072.7100000000028</v>
      </c>
      <c r="AL23">
        <v>87732.770000000295</v>
      </c>
      <c r="AM23">
        <v>88424.110000000161</v>
      </c>
      <c r="AN23">
        <v>691.33999999999969</v>
      </c>
      <c r="AO23">
        <v>1512</v>
      </c>
    </row>
    <row r="24" spans="1:41" x14ac:dyDescent="0.35">
      <c r="A24">
        <v>2024</v>
      </c>
      <c r="B24">
        <v>3</v>
      </c>
      <c r="C24">
        <v>10</v>
      </c>
      <c r="D24" s="14">
        <v>45355</v>
      </c>
      <c r="E24" t="s">
        <v>44</v>
      </c>
      <c r="F24" t="s">
        <v>42</v>
      </c>
      <c r="G24" t="s">
        <v>45</v>
      </c>
      <c r="H24">
        <v>140266.75</v>
      </c>
      <c r="I24">
        <v>140266.75</v>
      </c>
      <c r="J24">
        <v>0</v>
      </c>
      <c r="K24">
        <v>1032.2600000000082</v>
      </c>
      <c r="L24">
        <v>1032.2600000000082</v>
      </c>
      <c r="M24">
        <v>0</v>
      </c>
      <c r="N24">
        <v>6719.6599999999353</v>
      </c>
      <c r="O24">
        <v>6690.6799999999357</v>
      </c>
      <c r="P24">
        <v>-28.98</v>
      </c>
      <c r="Q24">
        <v>-27086.41</v>
      </c>
      <c r="R24">
        <v>-26481.41</v>
      </c>
      <c r="S24">
        <v>605</v>
      </c>
      <c r="T24">
        <v>-10.190000000000003</v>
      </c>
      <c r="U24">
        <v>-10.190000000000003</v>
      </c>
      <c r="V24">
        <v>0</v>
      </c>
      <c r="W24">
        <v>-149.19999999999999</v>
      </c>
      <c r="X24">
        <v>-134.69999999999999</v>
      </c>
      <c r="Y24">
        <v>14.5</v>
      </c>
      <c r="Z24">
        <v>120772.87000000088</v>
      </c>
      <c r="AA24">
        <v>121363.3900000009</v>
      </c>
      <c r="AB24">
        <v>590.52</v>
      </c>
      <c r="AC24">
        <v>23979.239999999805</v>
      </c>
      <c r="AD24">
        <v>12377.009999999977</v>
      </c>
      <c r="AE24">
        <v>-11602.229999999994</v>
      </c>
      <c r="AF24">
        <v>96793.630000000543</v>
      </c>
      <c r="AG24">
        <v>108986.3800000007</v>
      </c>
      <c r="AH24">
        <v>12192.749999999993</v>
      </c>
      <c r="AI24">
        <v>-6103.7999999999993</v>
      </c>
      <c r="AJ24">
        <v>0</v>
      </c>
      <c r="AK24">
        <v>6103.7999999999993</v>
      </c>
      <c r="AL24">
        <v>102897.42999999995</v>
      </c>
      <c r="AM24">
        <v>108986.3800000007</v>
      </c>
      <c r="AN24">
        <v>6088.9500000000253</v>
      </c>
      <c r="AO24">
        <v>1798</v>
      </c>
    </row>
    <row r="25" spans="1:41" x14ac:dyDescent="0.35">
      <c r="A25">
        <v>2024</v>
      </c>
      <c r="B25">
        <v>3</v>
      </c>
      <c r="C25">
        <v>10</v>
      </c>
      <c r="D25" s="14">
        <v>45356</v>
      </c>
      <c r="E25" t="s">
        <v>44</v>
      </c>
      <c r="F25" t="s">
        <v>42</v>
      </c>
      <c r="G25" t="s">
        <v>45</v>
      </c>
      <c r="H25">
        <v>133125.25</v>
      </c>
      <c r="I25">
        <v>133125.25</v>
      </c>
      <c r="J25">
        <v>0</v>
      </c>
      <c r="K25">
        <v>891.01000000000499</v>
      </c>
      <c r="L25">
        <v>891.01000000000499</v>
      </c>
      <c r="M25">
        <v>0</v>
      </c>
      <c r="N25">
        <v>5850.2199999999475</v>
      </c>
      <c r="O25">
        <v>5834.2299999999477</v>
      </c>
      <c r="P25">
        <v>-15.99</v>
      </c>
      <c r="Q25">
        <v>-25357.7</v>
      </c>
      <c r="R25">
        <v>-24714.7</v>
      </c>
      <c r="S25">
        <v>643</v>
      </c>
      <c r="T25">
        <v>-2.2000000000000002</v>
      </c>
      <c r="U25">
        <v>-2.2000000000000002</v>
      </c>
      <c r="V25">
        <v>0</v>
      </c>
      <c r="W25">
        <v>-129.5</v>
      </c>
      <c r="X25">
        <v>-129.5</v>
      </c>
      <c r="Y25">
        <v>0</v>
      </c>
      <c r="Z25">
        <v>114377.08000000063</v>
      </c>
      <c r="AA25">
        <v>115004.09000000064</v>
      </c>
      <c r="AB25">
        <v>627.01</v>
      </c>
      <c r="AC25">
        <v>23022.699999999859</v>
      </c>
      <c r="AD25">
        <v>10902.669999999989</v>
      </c>
      <c r="AE25">
        <v>-12120.029999999984</v>
      </c>
      <c r="AF25">
        <v>91354.380000000339</v>
      </c>
      <c r="AG25">
        <v>104101.42000000043</v>
      </c>
      <c r="AH25">
        <v>12747.039999999981</v>
      </c>
      <c r="AI25">
        <v>-5377.2600000000084</v>
      </c>
      <c r="AJ25">
        <v>0</v>
      </c>
      <c r="AK25">
        <v>5377.2600000000084</v>
      </c>
      <c r="AL25">
        <v>96731.640000000043</v>
      </c>
      <c r="AM25">
        <v>104101.42000000043</v>
      </c>
      <c r="AN25">
        <v>7369.7800000000225</v>
      </c>
      <c r="AO25">
        <v>1701</v>
      </c>
    </row>
    <row r="26" spans="1:41" x14ac:dyDescent="0.35">
      <c r="A26">
        <v>2024</v>
      </c>
      <c r="B26">
        <v>3</v>
      </c>
      <c r="C26">
        <v>10</v>
      </c>
      <c r="D26" s="14">
        <v>45357</v>
      </c>
      <c r="E26" t="s">
        <v>44</v>
      </c>
      <c r="F26" t="s">
        <v>42</v>
      </c>
      <c r="G26" t="s">
        <v>45</v>
      </c>
      <c r="H26">
        <v>132177.43</v>
      </c>
      <c r="I26">
        <v>132177.43</v>
      </c>
      <c r="J26">
        <v>0</v>
      </c>
      <c r="K26">
        <v>954.78000000000861</v>
      </c>
      <c r="L26">
        <v>954.78000000000861</v>
      </c>
      <c r="M26">
        <v>0</v>
      </c>
      <c r="N26">
        <v>5425.519999999955</v>
      </c>
      <c r="O26">
        <v>5345.5699999999561</v>
      </c>
      <c r="P26">
        <v>-79.95</v>
      </c>
      <c r="Q26">
        <v>-24735.93</v>
      </c>
      <c r="R26">
        <v>-24217.93</v>
      </c>
      <c r="S26">
        <v>518</v>
      </c>
      <c r="T26">
        <v>-12.760000000000002</v>
      </c>
      <c r="U26">
        <v>-12.760000000000002</v>
      </c>
      <c r="V26">
        <v>0</v>
      </c>
      <c r="W26">
        <v>-88.09</v>
      </c>
      <c r="X26">
        <v>-88.09</v>
      </c>
      <c r="Y26">
        <v>0</v>
      </c>
      <c r="Z26">
        <v>113720.95000000074</v>
      </c>
      <c r="AA26">
        <v>114159.00000000071</v>
      </c>
      <c r="AB26">
        <v>438.04999999999995</v>
      </c>
      <c r="AC26">
        <v>22540.899999999863</v>
      </c>
      <c r="AD26">
        <v>11877.179999999977</v>
      </c>
      <c r="AE26">
        <v>-10663.719999999994</v>
      </c>
      <c r="AF26">
        <v>91180.050000000425</v>
      </c>
      <c r="AG26">
        <v>102281.82000000044</v>
      </c>
      <c r="AH26">
        <v>11101.76999999999</v>
      </c>
      <c r="AI26">
        <v>-5801.2800000000043</v>
      </c>
      <c r="AJ26">
        <v>0</v>
      </c>
      <c r="AK26">
        <v>5801.2800000000043</v>
      </c>
      <c r="AL26">
        <v>96981.330000000191</v>
      </c>
      <c r="AM26">
        <v>102281.82000000044</v>
      </c>
      <c r="AN26">
        <v>5300.4900000000134</v>
      </c>
      <c r="AO26">
        <v>1707</v>
      </c>
    </row>
    <row r="27" spans="1:41" x14ac:dyDescent="0.35">
      <c r="A27">
        <v>2024</v>
      </c>
      <c r="B27">
        <v>3</v>
      </c>
      <c r="C27">
        <v>10</v>
      </c>
      <c r="D27" s="14">
        <v>45358</v>
      </c>
      <c r="E27" t="s">
        <v>44</v>
      </c>
      <c r="F27" t="s">
        <v>42</v>
      </c>
      <c r="G27" t="s">
        <v>45</v>
      </c>
      <c r="H27">
        <v>125158.43</v>
      </c>
      <c r="I27">
        <v>125158.43</v>
      </c>
      <c r="J27">
        <v>0</v>
      </c>
      <c r="K27">
        <v>929.55000000000291</v>
      </c>
      <c r="L27">
        <v>929.55000000000291</v>
      </c>
      <c r="M27">
        <v>0</v>
      </c>
      <c r="N27">
        <v>5148.6199999999571</v>
      </c>
      <c r="O27">
        <v>5132.6299999999574</v>
      </c>
      <c r="P27">
        <v>-15.99</v>
      </c>
      <c r="Q27">
        <v>-22858.93</v>
      </c>
      <c r="R27">
        <v>-22124.93</v>
      </c>
      <c r="S27">
        <v>734</v>
      </c>
      <c r="T27">
        <v>-27.08</v>
      </c>
      <c r="U27">
        <v>-26.619999999999997</v>
      </c>
      <c r="V27">
        <v>0.46</v>
      </c>
      <c r="W27">
        <v>-74.28</v>
      </c>
      <c r="X27">
        <v>-74.28</v>
      </c>
      <c r="Y27">
        <v>0</v>
      </c>
      <c r="Z27">
        <v>108276.31000000054</v>
      </c>
      <c r="AA27">
        <v>108994.78000000054</v>
      </c>
      <c r="AB27">
        <v>718.47</v>
      </c>
      <c r="AC27">
        <v>22272.47999999988</v>
      </c>
      <c r="AD27">
        <v>10580.480000000001</v>
      </c>
      <c r="AE27">
        <v>-11691.999999999984</v>
      </c>
      <c r="AF27">
        <v>86003.830000000482</v>
      </c>
      <c r="AG27">
        <v>98414.300000000527</v>
      </c>
      <c r="AH27">
        <v>12410.469999999978</v>
      </c>
      <c r="AI27">
        <v>-5069.1500000000015</v>
      </c>
      <c r="AJ27">
        <v>0</v>
      </c>
      <c r="AK27">
        <v>5069.1500000000015</v>
      </c>
      <c r="AL27">
        <v>91072.980000000156</v>
      </c>
      <c r="AM27">
        <v>98414.300000000527</v>
      </c>
      <c r="AN27">
        <v>7341.320000000017</v>
      </c>
      <c r="AO27">
        <v>1634</v>
      </c>
    </row>
    <row r="28" spans="1:41" x14ac:dyDescent="0.35">
      <c r="A28">
        <v>2024</v>
      </c>
      <c r="B28">
        <v>3</v>
      </c>
      <c r="C28">
        <v>10</v>
      </c>
      <c r="D28" s="14">
        <v>45359</v>
      </c>
      <c r="E28" t="s">
        <v>44</v>
      </c>
      <c r="F28" t="s">
        <v>42</v>
      </c>
      <c r="G28" t="s">
        <v>45</v>
      </c>
      <c r="H28">
        <v>128968.07</v>
      </c>
      <c r="I28">
        <v>128968.07</v>
      </c>
      <c r="J28">
        <v>0</v>
      </c>
      <c r="K28">
        <v>1049.180000000008</v>
      </c>
      <c r="L28">
        <v>1034.180000000008</v>
      </c>
      <c r="M28">
        <v>-15</v>
      </c>
      <c r="N28">
        <v>5496.4499999999525</v>
      </c>
      <c r="O28">
        <v>5458.4699999999539</v>
      </c>
      <c r="P28">
        <v>-37.980000000000004</v>
      </c>
      <c r="Q28">
        <v>-24035.5</v>
      </c>
      <c r="R28">
        <v>-23323.5</v>
      </c>
      <c r="S28">
        <v>712</v>
      </c>
      <c r="T28">
        <v>-11.070000000000002</v>
      </c>
      <c r="U28">
        <v>-11.070000000000002</v>
      </c>
      <c r="V28">
        <v>0</v>
      </c>
      <c r="W28">
        <v>-104.17999999999999</v>
      </c>
      <c r="X28">
        <v>-104.17999999999999</v>
      </c>
      <c r="Y28">
        <v>0</v>
      </c>
      <c r="Z28">
        <v>111362.95000000075</v>
      </c>
      <c r="AA28">
        <v>112021.97000000076</v>
      </c>
      <c r="AB28">
        <v>659.02</v>
      </c>
      <c r="AC28">
        <v>22875.779999999912</v>
      </c>
      <c r="AD28">
        <v>12479.019999999982</v>
      </c>
      <c r="AE28">
        <v>-10396.759999999998</v>
      </c>
      <c r="AF28">
        <v>88487.17000000058</v>
      </c>
      <c r="AG28">
        <v>99542.950000000579</v>
      </c>
      <c r="AH28">
        <v>11055.779999999993</v>
      </c>
      <c r="AI28">
        <v>-6124.0499999999947</v>
      </c>
      <c r="AJ28">
        <v>0</v>
      </c>
      <c r="AK28">
        <v>6124.0499999999947</v>
      </c>
      <c r="AL28">
        <v>94611.220000000074</v>
      </c>
      <c r="AM28">
        <v>99542.950000000579</v>
      </c>
      <c r="AN28">
        <v>4931.7300000000268</v>
      </c>
      <c r="AO28">
        <v>1687</v>
      </c>
    </row>
    <row r="29" spans="1:41" x14ac:dyDescent="0.35">
      <c r="A29">
        <v>2024</v>
      </c>
      <c r="B29">
        <v>3</v>
      </c>
      <c r="C29">
        <v>10</v>
      </c>
      <c r="D29" s="14">
        <v>45360</v>
      </c>
      <c r="E29" t="s">
        <v>44</v>
      </c>
      <c r="F29" t="s">
        <v>42</v>
      </c>
      <c r="G29" t="s">
        <v>45</v>
      </c>
      <c r="H29">
        <v>133998.14000000001</v>
      </c>
      <c r="I29">
        <v>133998.14000000001</v>
      </c>
      <c r="J29">
        <v>0</v>
      </c>
      <c r="K29">
        <v>1144.6100000000065</v>
      </c>
      <c r="L29">
        <v>1144.6100000000065</v>
      </c>
      <c r="M29">
        <v>0</v>
      </c>
      <c r="N29">
        <v>5635.3399999999501</v>
      </c>
      <c r="O29">
        <v>5619.3499999999503</v>
      </c>
      <c r="P29">
        <v>-15.99</v>
      </c>
      <c r="Q29">
        <v>-26356.07</v>
      </c>
      <c r="R29">
        <v>-25586.07</v>
      </c>
      <c r="S29">
        <v>770</v>
      </c>
      <c r="T29">
        <v>-17.59</v>
      </c>
      <c r="U29">
        <v>-17.59</v>
      </c>
      <c r="V29">
        <v>0</v>
      </c>
      <c r="W29">
        <v>-89.09</v>
      </c>
      <c r="X29">
        <v>-89.09</v>
      </c>
      <c r="Y29">
        <v>0</v>
      </c>
      <c r="Z29">
        <v>114315.34000000067</v>
      </c>
      <c r="AA29">
        <v>115069.35000000069</v>
      </c>
      <c r="AB29">
        <v>754.01</v>
      </c>
      <c r="AC29">
        <v>24731.149999999881</v>
      </c>
      <c r="AD29">
        <v>12351.709999999983</v>
      </c>
      <c r="AE29">
        <v>-12379.439999999982</v>
      </c>
      <c r="AF29">
        <v>89584.190000000424</v>
      </c>
      <c r="AG29">
        <v>102717.64000000044</v>
      </c>
      <c r="AH29">
        <v>13133.449999999977</v>
      </c>
      <c r="AI29">
        <v>-6003.1800000000203</v>
      </c>
      <c r="AJ29">
        <v>0</v>
      </c>
      <c r="AK29">
        <v>6003.1800000000203</v>
      </c>
      <c r="AL29">
        <v>95587.37</v>
      </c>
      <c r="AM29">
        <v>102717.64000000044</v>
      </c>
      <c r="AN29">
        <v>7130.2700000000032</v>
      </c>
      <c r="AO29">
        <v>1749</v>
      </c>
    </row>
    <row r="30" spans="1:41" x14ac:dyDescent="0.35">
      <c r="A30">
        <v>2024</v>
      </c>
      <c r="B30">
        <v>3</v>
      </c>
      <c r="C30">
        <v>10</v>
      </c>
      <c r="D30" s="14">
        <v>45354</v>
      </c>
      <c r="E30" t="s">
        <v>44</v>
      </c>
      <c r="F30" t="s">
        <v>42</v>
      </c>
      <c r="G30" t="s">
        <v>46</v>
      </c>
      <c r="H30">
        <v>49655.900000000023</v>
      </c>
      <c r="I30">
        <v>49655.900000000023</v>
      </c>
      <c r="J30">
        <v>0</v>
      </c>
      <c r="K30">
        <v>306.99999999999949</v>
      </c>
      <c r="L30">
        <v>306.99999999999949</v>
      </c>
      <c r="M30">
        <v>0</v>
      </c>
      <c r="N30">
        <v>1204.2500000000005</v>
      </c>
      <c r="O30">
        <v>1204.2500000000005</v>
      </c>
      <c r="P30">
        <v>0</v>
      </c>
      <c r="Q30">
        <v>-18472.900000000009</v>
      </c>
      <c r="R30">
        <v>-18461.900000000009</v>
      </c>
      <c r="S30">
        <v>11</v>
      </c>
      <c r="T30">
        <v>-3.5</v>
      </c>
      <c r="U30">
        <v>-3.5</v>
      </c>
      <c r="V30">
        <v>0</v>
      </c>
      <c r="W30">
        <v>-15</v>
      </c>
      <c r="X30">
        <v>-15</v>
      </c>
      <c r="Y30">
        <v>0</v>
      </c>
      <c r="Z30">
        <v>32675.750000000022</v>
      </c>
      <c r="AA30">
        <v>32686.750000000022</v>
      </c>
      <c r="AB30">
        <v>11</v>
      </c>
      <c r="AC30">
        <v>8073.1500000000251</v>
      </c>
      <c r="AD30">
        <v>4719.0600000000104</v>
      </c>
      <c r="AE30">
        <v>-3354.0900000000056</v>
      </c>
      <c r="AF30">
        <v>24602.600000000039</v>
      </c>
      <c r="AG30">
        <v>27967.690000000035</v>
      </c>
      <c r="AH30">
        <v>3365.0900000000051</v>
      </c>
      <c r="AI30">
        <v>-1545.4100000000017</v>
      </c>
      <c r="AJ30">
        <v>0</v>
      </c>
      <c r="AK30">
        <v>1545.4100000000017</v>
      </c>
      <c r="AL30">
        <v>26148.01000000002</v>
      </c>
      <c r="AM30">
        <v>27967.690000000035</v>
      </c>
      <c r="AN30">
        <v>1819.6799999999982</v>
      </c>
      <c r="AO30">
        <v>597</v>
      </c>
    </row>
    <row r="31" spans="1:41" x14ac:dyDescent="0.35">
      <c r="A31">
        <v>2024</v>
      </c>
      <c r="B31">
        <v>3</v>
      </c>
      <c r="C31">
        <v>10</v>
      </c>
      <c r="D31" s="14">
        <v>45355</v>
      </c>
      <c r="E31" t="s">
        <v>44</v>
      </c>
      <c r="F31" t="s">
        <v>42</v>
      </c>
      <c r="G31" t="s">
        <v>46</v>
      </c>
      <c r="H31">
        <v>46224.539999999994</v>
      </c>
      <c r="I31">
        <v>46224.539999999994</v>
      </c>
      <c r="J31">
        <v>0</v>
      </c>
      <c r="K31">
        <v>189.41000000000014</v>
      </c>
      <c r="L31">
        <v>189.41000000000014</v>
      </c>
      <c r="M31">
        <v>0</v>
      </c>
      <c r="N31">
        <v>1312.1900000000005</v>
      </c>
      <c r="O31">
        <v>1296.2000000000005</v>
      </c>
      <c r="P31">
        <v>-15.99</v>
      </c>
      <c r="Q31">
        <v>-17274.439999999995</v>
      </c>
      <c r="R31">
        <v>-16960.439999999995</v>
      </c>
      <c r="S31">
        <v>314</v>
      </c>
      <c r="T31">
        <v>0</v>
      </c>
      <c r="U31">
        <v>0</v>
      </c>
      <c r="V31">
        <v>0</v>
      </c>
      <c r="W31">
        <v>-10</v>
      </c>
      <c r="X31">
        <v>-10</v>
      </c>
      <c r="Y31">
        <v>0</v>
      </c>
      <c r="Z31">
        <v>30441.699999999997</v>
      </c>
      <c r="AA31">
        <v>30739.709999999995</v>
      </c>
      <c r="AB31">
        <v>298.01</v>
      </c>
      <c r="AC31">
        <v>8216.110000000017</v>
      </c>
      <c r="AD31">
        <v>3618.1400000000049</v>
      </c>
      <c r="AE31">
        <v>-4597.9700000000093</v>
      </c>
      <c r="AF31">
        <v>22225.590000000047</v>
      </c>
      <c r="AG31">
        <v>27121.57</v>
      </c>
      <c r="AH31">
        <v>4895.9800000000096</v>
      </c>
      <c r="AI31">
        <v>-1493.85</v>
      </c>
      <c r="AJ31">
        <v>0</v>
      </c>
      <c r="AK31">
        <v>1493.85</v>
      </c>
      <c r="AL31">
        <v>23719.440000000006</v>
      </c>
      <c r="AM31">
        <v>27121.57</v>
      </c>
      <c r="AN31">
        <v>3402.1300000000074</v>
      </c>
      <c r="AO31">
        <v>536</v>
      </c>
    </row>
    <row r="32" spans="1:41" x14ac:dyDescent="0.35">
      <c r="A32">
        <v>2024</v>
      </c>
      <c r="B32">
        <v>3</v>
      </c>
      <c r="C32">
        <v>10</v>
      </c>
      <c r="D32" s="14">
        <v>45356</v>
      </c>
      <c r="E32" t="s">
        <v>44</v>
      </c>
      <c r="F32" t="s">
        <v>42</v>
      </c>
      <c r="G32" t="s">
        <v>46</v>
      </c>
      <c r="H32">
        <v>39166.499999999993</v>
      </c>
      <c r="I32">
        <v>39166.499999999993</v>
      </c>
      <c r="J32">
        <v>0</v>
      </c>
      <c r="K32">
        <v>200.53999999999994</v>
      </c>
      <c r="L32">
        <v>200.53999999999994</v>
      </c>
      <c r="M32">
        <v>0</v>
      </c>
      <c r="N32">
        <v>1299.2000000000005</v>
      </c>
      <c r="O32">
        <v>1299.2000000000005</v>
      </c>
      <c r="P32">
        <v>0</v>
      </c>
      <c r="Q32">
        <v>-13997.379999999986</v>
      </c>
      <c r="R32">
        <v>-13707.379999999986</v>
      </c>
      <c r="S32">
        <v>290</v>
      </c>
      <c r="T32">
        <v>-0.95000000000000007</v>
      </c>
      <c r="U32">
        <v>-0.95000000000000007</v>
      </c>
      <c r="V32">
        <v>0</v>
      </c>
      <c r="W32">
        <v>-28.990000000000002</v>
      </c>
      <c r="X32">
        <v>-28.990000000000002</v>
      </c>
      <c r="Y32">
        <v>0</v>
      </c>
      <c r="Z32">
        <v>26638.920000000006</v>
      </c>
      <c r="AA32">
        <v>26928.920000000006</v>
      </c>
      <c r="AB32">
        <v>290</v>
      </c>
      <c r="AC32">
        <v>6536.8900000000131</v>
      </c>
      <c r="AD32">
        <v>3012.6300000000033</v>
      </c>
      <c r="AE32">
        <v>-3524.2600000000048</v>
      </c>
      <c r="AF32">
        <v>20102.030000000039</v>
      </c>
      <c r="AG32">
        <v>23916.290000000019</v>
      </c>
      <c r="AH32">
        <v>3814.2600000000048</v>
      </c>
      <c r="AI32">
        <v>-1294.2100000000003</v>
      </c>
      <c r="AJ32">
        <v>0</v>
      </c>
      <c r="AK32">
        <v>1294.2100000000003</v>
      </c>
      <c r="AL32">
        <v>21396.240000000023</v>
      </c>
      <c r="AM32">
        <v>23916.290000000019</v>
      </c>
      <c r="AN32">
        <v>2520.0500000000002</v>
      </c>
      <c r="AO32">
        <v>454</v>
      </c>
    </row>
    <row r="33" spans="1:41" x14ac:dyDescent="0.35">
      <c r="A33">
        <v>2024</v>
      </c>
      <c r="B33">
        <v>3</v>
      </c>
      <c r="C33">
        <v>10</v>
      </c>
      <c r="D33" s="14">
        <v>45357</v>
      </c>
      <c r="E33" t="s">
        <v>44</v>
      </c>
      <c r="F33" t="s">
        <v>42</v>
      </c>
      <c r="G33" t="s">
        <v>46</v>
      </c>
      <c r="H33">
        <v>42086.09</v>
      </c>
      <c r="I33">
        <v>42086.09</v>
      </c>
      <c r="J33">
        <v>0</v>
      </c>
      <c r="K33">
        <v>280.30000000000007</v>
      </c>
      <c r="L33">
        <v>280.30000000000007</v>
      </c>
      <c r="M33">
        <v>0</v>
      </c>
      <c r="N33">
        <v>942.40000000000043</v>
      </c>
      <c r="O33">
        <v>942.40000000000043</v>
      </c>
      <c r="P33">
        <v>0</v>
      </c>
      <c r="Q33">
        <v>-14677.079999999998</v>
      </c>
      <c r="R33">
        <v>-14481.079999999998</v>
      </c>
      <c r="S33">
        <v>196</v>
      </c>
      <c r="T33">
        <v>-5.95</v>
      </c>
      <c r="U33">
        <v>-5.95</v>
      </c>
      <c r="V33">
        <v>0</v>
      </c>
      <c r="W33">
        <v>-38.99</v>
      </c>
      <c r="X33">
        <v>-38.99</v>
      </c>
      <c r="Y33">
        <v>0</v>
      </c>
      <c r="Z33">
        <v>28586.770000000008</v>
      </c>
      <c r="AA33">
        <v>28782.770000000011</v>
      </c>
      <c r="AB33">
        <v>196</v>
      </c>
      <c r="AC33">
        <v>7110.7400000000171</v>
      </c>
      <c r="AD33">
        <v>4276.8200000000079</v>
      </c>
      <c r="AE33">
        <v>-2833.9200000000037</v>
      </c>
      <c r="AF33">
        <v>21476.030000000035</v>
      </c>
      <c r="AG33">
        <v>24505.95000000003</v>
      </c>
      <c r="AH33">
        <v>3029.9200000000046</v>
      </c>
      <c r="AI33">
        <v>-1447.3199999999997</v>
      </c>
      <c r="AJ33">
        <v>0</v>
      </c>
      <c r="AK33">
        <v>1447.3199999999997</v>
      </c>
      <c r="AL33">
        <v>22923.35000000002</v>
      </c>
      <c r="AM33">
        <v>24505.95000000003</v>
      </c>
      <c r="AN33">
        <v>1582.6000000000015</v>
      </c>
      <c r="AO33">
        <v>499</v>
      </c>
    </row>
    <row r="34" spans="1:41" x14ac:dyDescent="0.35">
      <c r="A34">
        <v>2024</v>
      </c>
      <c r="B34">
        <v>3</v>
      </c>
      <c r="C34">
        <v>10</v>
      </c>
      <c r="D34" s="14">
        <v>45358</v>
      </c>
      <c r="E34" t="s">
        <v>44</v>
      </c>
      <c r="F34" t="s">
        <v>42</v>
      </c>
      <c r="G34" t="s">
        <v>46</v>
      </c>
      <c r="H34">
        <v>45856.949999999983</v>
      </c>
      <c r="I34">
        <v>45856.949999999983</v>
      </c>
      <c r="J34">
        <v>0</v>
      </c>
      <c r="K34">
        <v>258.76999999999975</v>
      </c>
      <c r="L34">
        <v>258.76999999999975</v>
      </c>
      <c r="M34">
        <v>0</v>
      </c>
      <c r="N34">
        <v>1001.3500000000005</v>
      </c>
      <c r="O34">
        <v>1001.3500000000005</v>
      </c>
      <c r="P34">
        <v>0</v>
      </c>
      <c r="Q34">
        <v>-16392.939999999984</v>
      </c>
      <c r="R34">
        <v>-16064.729999999983</v>
      </c>
      <c r="S34">
        <v>328.21</v>
      </c>
      <c r="T34">
        <v>0</v>
      </c>
      <c r="U34">
        <v>0</v>
      </c>
      <c r="V34">
        <v>0</v>
      </c>
      <c r="W34">
        <v>-20</v>
      </c>
      <c r="X34">
        <v>-20</v>
      </c>
      <c r="Y34">
        <v>0</v>
      </c>
      <c r="Z34">
        <v>30704.129999999986</v>
      </c>
      <c r="AA34">
        <v>31032.339999999986</v>
      </c>
      <c r="AB34">
        <v>328.21000000000004</v>
      </c>
      <c r="AC34">
        <v>7775.0600000000168</v>
      </c>
      <c r="AD34">
        <v>3624.9300000000039</v>
      </c>
      <c r="AE34">
        <v>-4150.1300000000065</v>
      </c>
      <c r="AF34">
        <v>22929.070000000032</v>
      </c>
      <c r="AG34">
        <v>27407.410000000014</v>
      </c>
      <c r="AH34">
        <v>4478.3400000000065</v>
      </c>
      <c r="AI34">
        <v>-1084.9400000000003</v>
      </c>
      <c r="AJ34">
        <v>0</v>
      </c>
      <c r="AK34">
        <v>1084.9400000000003</v>
      </c>
      <c r="AL34">
        <v>24014.010000000009</v>
      </c>
      <c r="AM34">
        <v>27407.410000000014</v>
      </c>
      <c r="AN34">
        <v>3393.4000000000033</v>
      </c>
      <c r="AO34">
        <v>555</v>
      </c>
    </row>
    <row r="35" spans="1:41" x14ac:dyDescent="0.35">
      <c r="A35">
        <v>2024</v>
      </c>
      <c r="B35">
        <v>3</v>
      </c>
      <c r="C35">
        <v>10</v>
      </c>
      <c r="D35" s="14">
        <v>45359</v>
      </c>
      <c r="E35" t="s">
        <v>44</v>
      </c>
      <c r="F35" t="s">
        <v>42</v>
      </c>
      <c r="G35" t="s">
        <v>46</v>
      </c>
      <c r="H35">
        <v>47289.159999999974</v>
      </c>
      <c r="I35">
        <v>47289.159999999974</v>
      </c>
      <c r="J35">
        <v>0</v>
      </c>
      <c r="K35">
        <v>294.64999999999986</v>
      </c>
      <c r="L35">
        <v>294.64999999999986</v>
      </c>
      <c r="M35">
        <v>0</v>
      </c>
      <c r="N35">
        <v>1016.3500000000005</v>
      </c>
      <c r="O35">
        <v>1016.3500000000005</v>
      </c>
      <c r="P35">
        <v>0</v>
      </c>
      <c r="Q35">
        <v>-17261.849999999984</v>
      </c>
      <c r="R35">
        <v>-16959.849999999984</v>
      </c>
      <c r="S35">
        <v>302</v>
      </c>
      <c r="T35">
        <v>-0.46</v>
      </c>
      <c r="U35">
        <v>-0.46</v>
      </c>
      <c r="V35">
        <v>0</v>
      </c>
      <c r="W35">
        <v>-5</v>
      </c>
      <c r="X35">
        <v>-5</v>
      </c>
      <c r="Y35">
        <v>0</v>
      </c>
      <c r="Z35">
        <v>31332.85</v>
      </c>
      <c r="AA35">
        <v>31634.85</v>
      </c>
      <c r="AB35">
        <v>302</v>
      </c>
      <c r="AC35">
        <v>8548.0300000000152</v>
      </c>
      <c r="AD35">
        <v>4972.5300000000088</v>
      </c>
      <c r="AE35">
        <v>-3575.5000000000027</v>
      </c>
      <c r="AF35">
        <v>22784.820000000051</v>
      </c>
      <c r="AG35">
        <v>26662.320000000032</v>
      </c>
      <c r="AH35">
        <v>3877.5000000000027</v>
      </c>
      <c r="AI35">
        <v>-1753.8000000000009</v>
      </c>
      <c r="AJ35">
        <v>0</v>
      </c>
      <c r="AK35">
        <v>1753.8000000000009</v>
      </c>
      <c r="AL35">
        <v>24538.620000000014</v>
      </c>
      <c r="AM35">
        <v>26662.320000000032</v>
      </c>
      <c r="AN35">
        <v>2123.7000000000003</v>
      </c>
      <c r="AO35">
        <v>564</v>
      </c>
    </row>
    <row r="36" spans="1:41" x14ac:dyDescent="0.35">
      <c r="A36">
        <v>2024</v>
      </c>
      <c r="B36">
        <v>3</v>
      </c>
      <c r="C36">
        <v>10</v>
      </c>
      <c r="D36" s="14">
        <v>45360</v>
      </c>
      <c r="E36" t="s">
        <v>44</v>
      </c>
      <c r="F36" t="s">
        <v>42</v>
      </c>
      <c r="G36" t="s">
        <v>46</v>
      </c>
      <c r="H36">
        <v>51678.409999999982</v>
      </c>
      <c r="I36">
        <v>51678.409999999982</v>
      </c>
      <c r="J36">
        <v>0</v>
      </c>
      <c r="K36">
        <v>363.06999999999914</v>
      </c>
      <c r="L36">
        <v>363.06999999999914</v>
      </c>
      <c r="M36">
        <v>0</v>
      </c>
      <c r="N36">
        <v>1169.2500000000005</v>
      </c>
      <c r="O36">
        <v>1169.2500000000005</v>
      </c>
      <c r="P36">
        <v>0</v>
      </c>
      <c r="Q36">
        <v>-18332.519999999986</v>
      </c>
      <c r="R36">
        <v>-18019.819999999985</v>
      </c>
      <c r="S36">
        <v>312.7</v>
      </c>
      <c r="T36">
        <v>-0.46</v>
      </c>
      <c r="U36">
        <v>-0.46</v>
      </c>
      <c r="V36">
        <v>0</v>
      </c>
      <c r="W36">
        <v>-15</v>
      </c>
      <c r="X36">
        <v>-15</v>
      </c>
      <c r="Y36">
        <v>0</v>
      </c>
      <c r="Z36">
        <v>34862.75</v>
      </c>
      <c r="AA36">
        <v>35175.450000000004</v>
      </c>
      <c r="AB36">
        <v>312.70000000000005</v>
      </c>
      <c r="AC36">
        <v>9375.6800000000094</v>
      </c>
      <c r="AD36">
        <v>4448.150000000006</v>
      </c>
      <c r="AE36">
        <v>-4927.5300000000079</v>
      </c>
      <c r="AF36">
        <v>25487.070000000058</v>
      </c>
      <c r="AG36">
        <v>30727.300000000017</v>
      </c>
      <c r="AH36">
        <v>5240.2300000000077</v>
      </c>
      <c r="AI36">
        <v>-1067.8699999999997</v>
      </c>
      <c r="AJ36">
        <v>0</v>
      </c>
      <c r="AK36">
        <v>1067.8699999999997</v>
      </c>
      <c r="AL36">
        <v>26554.939999999991</v>
      </c>
      <c r="AM36">
        <v>30727.300000000017</v>
      </c>
      <c r="AN36">
        <v>4172.3600000000006</v>
      </c>
      <c r="AO36">
        <v>623</v>
      </c>
    </row>
    <row r="37" spans="1:41" x14ac:dyDescent="0.35">
      <c r="A37">
        <v>2024</v>
      </c>
      <c r="B37">
        <v>3</v>
      </c>
      <c r="C37">
        <v>10</v>
      </c>
      <c r="D37" s="14">
        <v>45354</v>
      </c>
      <c r="E37" t="s">
        <v>44</v>
      </c>
      <c r="F37" t="s">
        <v>47</v>
      </c>
      <c r="G37" t="s">
        <v>48</v>
      </c>
      <c r="H37">
        <v>13502.099999999988</v>
      </c>
      <c r="I37">
        <v>13502.099999999988</v>
      </c>
      <c r="J37">
        <v>0</v>
      </c>
      <c r="K37">
        <v>1992.4000000000019</v>
      </c>
      <c r="L37">
        <v>1992.4000000000019</v>
      </c>
      <c r="M37">
        <v>0</v>
      </c>
      <c r="N37">
        <v>905.45000000000039</v>
      </c>
      <c r="O37">
        <v>905.45000000000039</v>
      </c>
      <c r="P37">
        <v>0</v>
      </c>
      <c r="Q37">
        <v>-1453.8499999999995</v>
      </c>
      <c r="R37">
        <v>-1453.8499999999995</v>
      </c>
      <c r="S37">
        <v>0</v>
      </c>
      <c r="T37">
        <v>-14.7</v>
      </c>
      <c r="U37">
        <v>-14.7</v>
      </c>
      <c r="V37">
        <v>0</v>
      </c>
      <c r="W37">
        <v>0</v>
      </c>
      <c r="X37">
        <v>0</v>
      </c>
      <c r="Y37">
        <v>0</v>
      </c>
      <c r="Z37">
        <v>14931.399999999978</v>
      </c>
      <c r="AA37">
        <v>14931.399999999978</v>
      </c>
      <c r="AB37">
        <v>0</v>
      </c>
      <c r="AE37">
        <v>0</v>
      </c>
      <c r="AF37">
        <v>14931.399999999978</v>
      </c>
      <c r="AG37">
        <v>14931.399999999978</v>
      </c>
      <c r="AH37">
        <v>0</v>
      </c>
      <c r="AI37">
        <v>4771.720000000003</v>
      </c>
      <c r="AJ37">
        <v>0</v>
      </c>
      <c r="AK37">
        <v>-4771.720000000003</v>
      </c>
      <c r="AL37">
        <v>10159.679999999978</v>
      </c>
      <c r="AM37">
        <v>14931.399999999978</v>
      </c>
      <c r="AN37">
        <v>4771.720000000003</v>
      </c>
      <c r="AO37">
        <v>418</v>
      </c>
    </row>
    <row r="38" spans="1:41" x14ac:dyDescent="0.35">
      <c r="A38">
        <v>2024</v>
      </c>
      <c r="B38">
        <v>3</v>
      </c>
      <c r="C38">
        <v>10</v>
      </c>
      <c r="D38" s="14">
        <v>45355</v>
      </c>
      <c r="E38" t="s">
        <v>44</v>
      </c>
      <c r="F38" t="s">
        <v>47</v>
      </c>
      <c r="G38" t="s">
        <v>48</v>
      </c>
      <c r="H38">
        <v>7027.8</v>
      </c>
      <c r="I38">
        <v>7027.8</v>
      </c>
      <c r="J38">
        <v>0</v>
      </c>
      <c r="K38">
        <v>82.9</v>
      </c>
      <c r="L38">
        <v>82.9</v>
      </c>
      <c r="M38">
        <v>0</v>
      </c>
      <c r="N38">
        <v>35.99</v>
      </c>
      <c r="O38">
        <v>35.99</v>
      </c>
      <c r="P38">
        <v>0</v>
      </c>
      <c r="Q38">
        <v>-1533.9500000000007</v>
      </c>
      <c r="R38">
        <v>-1533.9500000000007</v>
      </c>
      <c r="S38">
        <v>0</v>
      </c>
      <c r="T38">
        <v>-35.630000000000003</v>
      </c>
      <c r="U38">
        <v>-35.630000000000003</v>
      </c>
      <c r="V38">
        <v>0</v>
      </c>
      <c r="W38">
        <v>-5</v>
      </c>
      <c r="X38">
        <v>-5</v>
      </c>
      <c r="Y38">
        <v>0</v>
      </c>
      <c r="Z38">
        <v>5572.1100000000024</v>
      </c>
      <c r="AA38">
        <v>5572.1100000000024</v>
      </c>
      <c r="AB38">
        <v>0</v>
      </c>
      <c r="AC38">
        <v>62.34</v>
      </c>
      <c r="AD38">
        <v>62.34</v>
      </c>
      <c r="AE38">
        <v>0</v>
      </c>
      <c r="AF38">
        <v>5509.7700000000023</v>
      </c>
      <c r="AG38">
        <v>5509.7700000000023</v>
      </c>
      <c r="AH38">
        <v>0</v>
      </c>
      <c r="AI38">
        <v>1452.680000000001</v>
      </c>
      <c r="AJ38">
        <v>0</v>
      </c>
      <c r="AK38">
        <v>-1452.680000000001</v>
      </c>
      <c r="AL38">
        <v>4057.090000000007</v>
      </c>
      <c r="AM38">
        <v>5509.7700000000023</v>
      </c>
      <c r="AN38">
        <v>1452.680000000001</v>
      </c>
      <c r="AO38">
        <v>126</v>
      </c>
    </row>
    <row r="39" spans="1:41" x14ac:dyDescent="0.35">
      <c r="A39">
        <v>2024</v>
      </c>
      <c r="B39">
        <v>3</v>
      </c>
      <c r="C39">
        <v>10</v>
      </c>
      <c r="D39" s="14">
        <v>45356</v>
      </c>
      <c r="E39" t="s">
        <v>44</v>
      </c>
      <c r="F39" t="s">
        <v>47</v>
      </c>
      <c r="G39" t="s">
        <v>48</v>
      </c>
      <c r="H39">
        <v>1347.2999999999993</v>
      </c>
      <c r="I39">
        <v>1347.2999999999993</v>
      </c>
      <c r="J39">
        <v>0</v>
      </c>
      <c r="K39">
        <v>354.59999999999991</v>
      </c>
      <c r="L39">
        <v>354.59999999999991</v>
      </c>
      <c r="M39">
        <v>0</v>
      </c>
      <c r="N39">
        <v>35.99</v>
      </c>
      <c r="O39">
        <v>35.99</v>
      </c>
      <c r="P39">
        <v>0</v>
      </c>
      <c r="Q39">
        <v>-85.199999999999989</v>
      </c>
      <c r="R39">
        <v>-85.199999999999989</v>
      </c>
      <c r="S39">
        <v>0</v>
      </c>
      <c r="T39">
        <v>-15</v>
      </c>
      <c r="U39">
        <v>-15</v>
      </c>
      <c r="V39">
        <v>0</v>
      </c>
      <c r="W39">
        <v>-5</v>
      </c>
      <c r="X39">
        <v>-5</v>
      </c>
      <c r="Y39">
        <v>0</v>
      </c>
      <c r="Z39">
        <v>1632.6899999999994</v>
      </c>
      <c r="AA39">
        <v>1632.6899999999994</v>
      </c>
      <c r="AB39">
        <v>0</v>
      </c>
      <c r="AC39">
        <v>62.34</v>
      </c>
      <c r="AE39">
        <v>-62.34</v>
      </c>
      <c r="AF39">
        <v>1570.3499999999995</v>
      </c>
      <c r="AG39">
        <v>1632.6899999999994</v>
      </c>
      <c r="AH39">
        <v>62.339999999999996</v>
      </c>
      <c r="AI39">
        <v>437.87999999999977</v>
      </c>
      <c r="AJ39">
        <v>0</v>
      </c>
      <c r="AK39">
        <v>-437.87999999999977</v>
      </c>
      <c r="AL39">
        <v>1132.4700000000003</v>
      </c>
      <c r="AM39">
        <v>1632.6899999999994</v>
      </c>
      <c r="AN39">
        <v>500.21999999999974</v>
      </c>
      <c r="AO39">
        <v>52</v>
      </c>
    </row>
    <row r="40" spans="1:41" x14ac:dyDescent="0.35">
      <c r="A40">
        <v>2024</v>
      </c>
      <c r="B40">
        <v>3</v>
      </c>
      <c r="C40">
        <v>10</v>
      </c>
      <c r="D40" s="14">
        <v>45357</v>
      </c>
      <c r="E40" t="s">
        <v>44</v>
      </c>
      <c r="F40" t="s">
        <v>47</v>
      </c>
      <c r="G40" t="s">
        <v>48</v>
      </c>
      <c r="H40">
        <v>8896.2500000000255</v>
      </c>
      <c r="I40">
        <v>8896.2500000000255</v>
      </c>
      <c r="J40">
        <v>0</v>
      </c>
      <c r="K40">
        <v>1965.260000000002</v>
      </c>
      <c r="L40">
        <v>1995.9600000000021</v>
      </c>
      <c r="M40">
        <v>30.7</v>
      </c>
      <c r="N40">
        <v>15.99</v>
      </c>
      <c r="O40">
        <v>15.99</v>
      </c>
      <c r="P40">
        <v>0</v>
      </c>
      <c r="Q40">
        <v>-326.05</v>
      </c>
      <c r="R40">
        <v>-326.05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10551.449999999979</v>
      </c>
      <c r="AA40">
        <v>10582.149999999978</v>
      </c>
      <c r="AB40">
        <v>30.7</v>
      </c>
      <c r="AC40">
        <v>45</v>
      </c>
      <c r="AD40">
        <v>45</v>
      </c>
      <c r="AE40">
        <v>0</v>
      </c>
      <c r="AF40">
        <v>10506.449999999981</v>
      </c>
      <c r="AG40">
        <v>10537.149999999978</v>
      </c>
      <c r="AH40">
        <v>30.7</v>
      </c>
      <c r="AI40">
        <v>3637.9399999999669</v>
      </c>
      <c r="AJ40">
        <v>0</v>
      </c>
      <c r="AK40">
        <v>-3637.9399999999669</v>
      </c>
      <c r="AL40">
        <v>6868.5100000000311</v>
      </c>
      <c r="AM40">
        <v>10537.149999999978</v>
      </c>
      <c r="AN40">
        <v>3668.6399999999671</v>
      </c>
      <c r="AO40">
        <v>437</v>
      </c>
    </row>
    <row r="41" spans="1:41" x14ac:dyDescent="0.35">
      <c r="A41">
        <v>2024</v>
      </c>
      <c r="B41">
        <v>3</v>
      </c>
      <c r="C41">
        <v>10</v>
      </c>
      <c r="D41" s="14">
        <v>45358</v>
      </c>
      <c r="E41" t="s">
        <v>44</v>
      </c>
      <c r="F41" t="s">
        <v>47</v>
      </c>
      <c r="G41" t="s">
        <v>48</v>
      </c>
      <c r="H41">
        <v>16843.499999999956</v>
      </c>
      <c r="I41">
        <v>16843.499999999956</v>
      </c>
      <c r="J41">
        <v>0</v>
      </c>
      <c r="K41">
        <v>2585.3599999999992</v>
      </c>
      <c r="L41">
        <v>2585.3599999999992</v>
      </c>
      <c r="M41">
        <v>0</v>
      </c>
      <c r="N41">
        <v>60.960000000000008</v>
      </c>
      <c r="O41">
        <v>60.960000000000008</v>
      </c>
      <c r="P41">
        <v>0</v>
      </c>
      <c r="Q41">
        <v>-2024.7000000000012</v>
      </c>
      <c r="R41">
        <v>-2024.7000000000012</v>
      </c>
      <c r="S41">
        <v>0</v>
      </c>
      <c r="T41">
        <v>0</v>
      </c>
      <c r="U41">
        <v>0</v>
      </c>
      <c r="V41">
        <v>0</v>
      </c>
      <c r="W41">
        <v>-18.990000000000002</v>
      </c>
      <c r="X41">
        <v>-18.990000000000002</v>
      </c>
      <c r="Y41">
        <v>0</v>
      </c>
      <c r="Z41">
        <v>17446.129999999899</v>
      </c>
      <c r="AA41">
        <v>17446.129999999899</v>
      </c>
      <c r="AB41">
        <v>0</v>
      </c>
      <c r="AC41">
        <v>119.33</v>
      </c>
      <c r="AD41">
        <v>74.33</v>
      </c>
      <c r="AE41">
        <v>-45</v>
      </c>
      <c r="AF41">
        <v>17326.799999999897</v>
      </c>
      <c r="AG41">
        <v>17371.799999999897</v>
      </c>
      <c r="AH41">
        <v>44.999999999999993</v>
      </c>
      <c r="AI41">
        <v>5704.7999999999902</v>
      </c>
      <c r="AJ41">
        <v>0</v>
      </c>
      <c r="AK41">
        <v>-5704.7999999999902</v>
      </c>
      <c r="AL41">
        <v>11621.999999999944</v>
      </c>
      <c r="AM41">
        <v>17371.799999999897</v>
      </c>
      <c r="AN41">
        <v>5749.7999999999902</v>
      </c>
      <c r="AO41">
        <v>593</v>
      </c>
    </row>
    <row r="42" spans="1:41" x14ac:dyDescent="0.35">
      <c r="A42">
        <v>2024</v>
      </c>
      <c r="B42">
        <v>3</v>
      </c>
      <c r="C42">
        <v>10</v>
      </c>
      <c r="D42" s="14">
        <v>45359</v>
      </c>
      <c r="E42" t="s">
        <v>44</v>
      </c>
      <c r="F42" t="s">
        <v>47</v>
      </c>
      <c r="G42" t="s">
        <v>48</v>
      </c>
      <c r="H42">
        <v>17285.999999999876</v>
      </c>
      <c r="I42">
        <v>17285.999999999876</v>
      </c>
      <c r="J42">
        <v>0</v>
      </c>
      <c r="K42">
        <v>1902.7500000000018</v>
      </c>
      <c r="L42">
        <v>2148.3500000000013</v>
      </c>
      <c r="M42">
        <v>245.59999999999997</v>
      </c>
      <c r="N42">
        <v>44.970000000000006</v>
      </c>
      <c r="O42">
        <v>44.970000000000006</v>
      </c>
      <c r="P42">
        <v>0</v>
      </c>
      <c r="Q42">
        <v>-3103.8999999999937</v>
      </c>
      <c r="R42">
        <v>-3103.8999999999937</v>
      </c>
      <c r="S42">
        <v>0</v>
      </c>
      <c r="T42">
        <v>-8.8000000000000007</v>
      </c>
      <c r="U42">
        <v>-8.8000000000000007</v>
      </c>
      <c r="V42">
        <v>0</v>
      </c>
      <c r="W42">
        <v>-18.990000000000002</v>
      </c>
      <c r="X42">
        <v>-18.990000000000002</v>
      </c>
      <c r="Y42">
        <v>0</v>
      </c>
      <c r="Z42">
        <v>16102.029999999908</v>
      </c>
      <c r="AA42">
        <v>16347.629999999908</v>
      </c>
      <c r="AB42">
        <v>245.59999999999997</v>
      </c>
      <c r="AC42">
        <v>69.300000000000011</v>
      </c>
      <c r="AD42">
        <v>6.71</v>
      </c>
      <c r="AE42">
        <v>-62.59</v>
      </c>
      <c r="AF42">
        <v>16032.729999999909</v>
      </c>
      <c r="AG42">
        <v>16340.919999999907</v>
      </c>
      <c r="AH42">
        <v>308.18999999999994</v>
      </c>
      <c r="AI42">
        <v>5532.2099999999673</v>
      </c>
      <c r="AJ42">
        <v>0</v>
      </c>
      <c r="AK42">
        <v>-5532.2099999999673</v>
      </c>
      <c r="AL42">
        <v>10500.519999999993</v>
      </c>
      <c r="AM42">
        <v>16340.919999999907</v>
      </c>
      <c r="AN42">
        <v>5840.3999999999678</v>
      </c>
      <c r="AO42">
        <v>526</v>
      </c>
    </row>
    <row r="43" spans="1:41" x14ac:dyDescent="0.35">
      <c r="A43">
        <v>2024</v>
      </c>
      <c r="B43">
        <v>3</v>
      </c>
      <c r="C43">
        <v>10</v>
      </c>
      <c r="D43" s="14">
        <v>45360</v>
      </c>
      <c r="E43" t="s">
        <v>44</v>
      </c>
      <c r="F43" t="s">
        <v>47</v>
      </c>
      <c r="G43" t="s">
        <v>48</v>
      </c>
      <c r="H43">
        <v>31596.399999999943</v>
      </c>
      <c r="I43">
        <v>31596.399999999943</v>
      </c>
      <c r="J43">
        <v>0</v>
      </c>
      <c r="K43">
        <v>913.65000000000032</v>
      </c>
      <c r="L43">
        <v>913.65000000000032</v>
      </c>
      <c r="M43">
        <v>0</v>
      </c>
      <c r="N43">
        <v>6.99</v>
      </c>
      <c r="O43">
        <v>6.99</v>
      </c>
      <c r="P43">
        <v>0</v>
      </c>
      <c r="Q43">
        <v>-10760.700000000041</v>
      </c>
      <c r="R43">
        <v>-10760.700000000041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21756.340000000073</v>
      </c>
      <c r="AA43">
        <v>21756.340000000073</v>
      </c>
      <c r="AB43">
        <v>0</v>
      </c>
      <c r="AC43">
        <v>43.38</v>
      </c>
      <c r="AD43">
        <v>36.67</v>
      </c>
      <c r="AE43">
        <v>-6.71</v>
      </c>
      <c r="AF43">
        <v>21712.960000000072</v>
      </c>
      <c r="AG43">
        <v>21719.670000000071</v>
      </c>
      <c r="AH43">
        <v>6.7099999999999937</v>
      </c>
      <c r="AI43">
        <v>5866.52</v>
      </c>
      <c r="AJ43">
        <v>0</v>
      </c>
      <c r="AK43">
        <v>-5866.52</v>
      </c>
      <c r="AL43">
        <v>15846.439999999977</v>
      </c>
      <c r="AM43">
        <v>21719.670000000071</v>
      </c>
      <c r="AN43">
        <v>5873.2300000000014</v>
      </c>
      <c r="AO43">
        <v>537</v>
      </c>
    </row>
    <row r="44" spans="1:41" x14ac:dyDescent="0.35">
      <c r="A44">
        <v>2024</v>
      </c>
      <c r="B44">
        <v>3</v>
      </c>
      <c r="C44">
        <v>10</v>
      </c>
      <c r="D44" s="14">
        <v>45354</v>
      </c>
      <c r="E44" t="s">
        <v>44</v>
      </c>
      <c r="F44" t="s">
        <v>47</v>
      </c>
      <c r="G44" t="s">
        <v>49</v>
      </c>
      <c r="H44">
        <v>20051.149999999998</v>
      </c>
      <c r="I44">
        <v>20051.149999999998</v>
      </c>
      <c r="J44">
        <v>0</v>
      </c>
      <c r="K44">
        <v>205.79</v>
      </c>
      <c r="L44">
        <v>205.79</v>
      </c>
      <c r="M44">
        <v>0</v>
      </c>
      <c r="N44">
        <v>300.8300000000001</v>
      </c>
      <c r="O44">
        <v>300.8300000000001</v>
      </c>
      <c r="P44">
        <v>0</v>
      </c>
      <c r="Q44">
        <v>-7040.3000000000056</v>
      </c>
      <c r="R44">
        <v>-7029.3000000000056</v>
      </c>
      <c r="S44">
        <v>11</v>
      </c>
      <c r="T44">
        <v>-20</v>
      </c>
      <c r="U44">
        <v>-20</v>
      </c>
      <c r="V44">
        <v>0</v>
      </c>
      <c r="W44">
        <v>-25</v>
      </c>
      <c r="X44">
        <v>-25</v>
      </c>
      <c r="Y44">
        <v>0</v>
      </c>
      <c r="Z44">
        <v>13472.469999999976</v>
      </c>
      <c r="AA44">
        <v>13483.469999999976</v>
      </c>
      <c r="AB44">
        <v>11</v>
      </c>
      <c r="AC44">
        <v>789.72000000000014</v>
      </c>
      <c r="AD44">
        <v>524.23</v>
      </c>
      <c r="AE44">
        <v>-265.49000000000007</v>
      </c>
      <c r="AF44">
        <v>12682.749999999982</v>
      </c>
      <c r="AG44">
        <v>12959.239999999982</v>
      </c>
      <c r="AH44">
        <v>276.49000000000007</v>
      </c>
      <c r="AI44">
        <v>2069.3699999999994</v>
      </c>
      <c r="AJ44">
        <v>0</v>
      </c>
      <c r="AK44">
        <v>-2069.3699999999994</v>
      </c>
      <c r="AL44">
        <v>10613.379999999997</v>
      </c>
      <c r="AM44">
        <v>12959.239999999982</v>
      </c>
      <c r="AN44">
        <v>2345.8599999999979</v>
      </c>
      <c r="AO44">
        <v>243</v>
      </c>
    </row>
    <row r="45" spans="1:41" x14ac:dyDescent="0.35">
      <c r="A45">
        <v>2024</v>
      </c>
      <c r="B45">
        <v>3</v>
      </c>
      <c r="C45">
        <v>10</v>
      </c>
      <c r="D45" s="14">
        <v>45355</v>
      </c>
      <c r="E45" t="s">
        <v>44</v>
      </c>
      <c r="F45" t="s">
        <v>47</v>
      </c>
      <c r="G45" t="s">
        <v>49</v>
      </c>
      <c r="H45">
        <v>11312</v>
      </c>
      <c r="I45">
        <v>11312</v>
      </c>
      <c r="J45">
        <v>0</v>
      </c>
      <c r="K45">
        <v>118.89000000000001</v>
      </c>
      <c r="L45">
        <v>118.89000000000001</v>
      </c>
      <c r="M45">
        <v>0</v>
      </c>
      <c r="N45">
        <v>323.85000000000008</v>
      </c>
      <c r="O45">
        <v>323.85000000000008</v>
      </c>
      <c r="P45">
        <v>0</v>
      </c>
      <c r="Q45">
        <v>-3996.7999999999984</v>
      </c>
      <c r="R45">
        <v>-3985.7999999999984</v>
      </c>
      <c r="S45">
        <v>11</v>
      </c>
      <c r="T45">
        <v>-25</v>
      </c>
      <c r="U45">
        <v>-25</v>
      </c>
      <c r="V45">
        <v>0</v>
      </c>
      <c r="W45">
        <v>-15</v>
      </c>
      <c r="X45">
        <v>-15</v>
      </c>
      <c r="Y45">
        <v>0</v>
      </c>
      <c r="Z45">
        <v>7717.9399999999941</v>
      </c>
      <c r="AA45">
        <v>7728.9399999999941</v>
      </c>
      <c r="AB45">
        <v>11</v>
      </c>
      <c r="AC45">
        <v>671.75000000000011</v>
      </c>
      <c r="AD45">
        <v>154.69000000000003</v>
      </c>
      <c r="AE45">
        <v>-517.05999999999995</v>
      </c>
      <c r="AF45">
        <v>7046.189999999996</v>
      </c>
      <c r="AG45">
        <v>7574.2499999999945</v>
      </c>
      <c r="AH45">
        <v>528.05999999999995</v>
      </c>
      <c r="AI45">
        <v>1030.3299999999995</v>
      </c>
      <c r="AJ45">
        <v>0</v>
      </c>
      <c r="AK45">
        <v>-1030.3299999999995</v>
      </c>
      <c r="AL45">
        <v>6015.86</v>
      </c>
      <c r="AM45">
        <v>7574.2499999999945</v>
      </c>
      <c r="AN45">
        <v>1558.3900000000012</v>
      </c>
      <c r="AO45">
        <v>140</v>
      </c>
    </row>
    <row r="46" spans="1:41" x14ac:dyDescent="0.35">
      <c r="A46">
        <v>2024</v>
      </c>
      <c r="B46">
        <v>3</v>
      </c>
      <c r="C46">
        <v>10</v>
      </c>
      <c r="D46" s="14">
        <v>45356</v>
      </c>
      <c r="E46" t="s">
        <v>44</v>
      </c>
      <c r="F46" t="s">
        <v>47</v>
      </c>
      <c r="G46" t="s">
        <v>49</v>
      </c>
      <c r="H46">
        <v>2471.1400000000003</v>
      </c>
      <c r="I46">
        <v>2471.1400000000003</v>
      </c>
      <c r="J46">
        <v>0</v>
      </c>
      <c r="K46">
        <v>72.27</v>
      </c>
      <c r="L46">
        <v>72.27</v>
      </c>
      <c r="M46">
        <v>0</v>
      </c>
      <c r="N46">
        <v>69.960000000000008</v>
      </c>
      <c r="O46">
        <v>69.960000000000008</v>
      </c>
      <c r="P46">
        <v>0</v>
      </c>
      <c r="Q46">
        <v>-960.6400000000001</v>
      </c>
      <c r="R46">
        <v>-960.6400000000001</v>
      </c>
      <c r="S46">
        <v>0</v>
      </c>
      <c r="T46">
        <v>-5</v>
      </c>
      <c r="U46">
        <v>-5</v>
      </c>
      <c r="V46">
        <v>0</v>
      </c>
      <c r="W46">
        <v>0</v>
      </c>
      <c r="X46">
        <v>0</v>
      </c>
      <c r="Y46">
        <v>0</v>
      </c>
      <c r="Z46">
        <v>1647.73</v>
      </c>
      <c r="AA46">
        <v>1647.73</v>
      </c>
      <c r="AB46">
        <v>0</v>
      </c>
      <c r="AC46">
        <v>319.58000000000004</v>
      </c>
      <c r="AD46">
        <v>164.89</v>
      </c>
      <c r="AE46">
        <v>-154.69</v>
      </c>
      <c r="AF46">
        <v>1328.15</v>
      </c>
      <c r="AG46">
        <v>1482.84</v>
      </c>
      <c r="AH46">
        <v>154.69</v>
      </c>
      <c r="AI46">
        <v>-22.030000000000008</v>
      </c>
      <c r="AJ46">
        <v>0</v>
      </c>
      <c r="AK46">
        <v>22.030000000000008</v>
      </c>
      <c r="AL46">
        <v>1350.1800000000003</v>
      </c>
      <c r="AM46">
        <v>1482.84</v>
      </c>
      <c r="AN46">
        <v>132.66</v>
      </c>
      <c r="AO46">
        <v>28</v>
      </c>
    </row>
    <row r="47" spans="1:41" x14ac:dyDescent="0.35">
      <c r="A47">
        <v>2024</v>
      </c>
      <c r="B47">
        <v>3</v>
      </c>
      <c r="C47">
        <v>10</v>
      </c>
      <c r="D47" s="14">
        <v>45357</v>
      </c>
      <c r="E47" t="s">
        <v>44</v>
      </c>
      <c r="F47" t="s">
        <v>47</v>
      </c>
      <c r="G47" t="s">
        <v>49</v>
      </c>
      <c r="H47">
        <v>7735.6900000000023</v>
      </c>
      <c r="I47">
        <v>7735.6900000000023</v>
      </c>
      <c r="J47">
        <v>0</v>
      </c>
      <c r="K47">
        <v>212.53</v>
      </c>
      <c r="L47">
        <v>212.53</v>
      </c>
      <c r="M47">
        <v>0</v>
      </c>
      <c r="N47">
        <v>127.92999999999999</v>
      </c>
      <c r="O47">
        <v>127.92999999999999</v>
      </c>
      <c r="P47">
        <v>0</v>
      </c>
      <c r="Q47">
        <v>-3336.7900000000004</v>
      </c>
      <c r="R47">
        <v>-3303.7900000000004</v>
      </c>
      <c r="S47">
        <v>33</v>
      </c>
      <c r="T47">
        <v>-10</v>
      </c>
      <c r="U47">
        <v>-10</v>
      </c>
      <c r="V47">
        <v>0</v>
      </c>
      <c r="W47">
        <v>-10</v>
      </c>
      <c r="X47">
        <v>-10</v>
      </c>
      <c r="Y47">
        <v>0</v>
      </c>
      <c r="Z47">
        <v>4719.3599999999988</v>
      </c>
      <c r="AA47">
        <v>4752.3599999999997</v>
      </c>
      <c r="AB47">
        <v>33</v>
      </c>
      <c r="AC47">
        <v>454.78999999999996</v>
      </c>
      <c r="AD47">
        <v>289.89999999999998</v>
      </c>
      <c r="AE47">
        <v>-164.89000000000001</v>
      </c>
      <c r="AF47">
        <v>4264.5699999999988</v>
      </c>
      <c r="AG47">
        <v>4462.4599999999982</v>
      </c>
      <c r="AH47">
        <v>197.89000000000001</v>
      </c>
      <c r="AI47">
        <v>682.9899999999999</v>
      </c>
      <c r="AJ47">
        <v>0</v>
      </c>
      <c r="AK47">
        <v>-682.9899999999999</v>
      </c>
      <c r="AL47">
        <v>3581.5800000000004</v>
      </c>
      <c r="AM47">
        <v>4462.4599999999982</v>
      </c>
      <c r="AN47">
        <v>880.88</v>
      </c>
      <c r="AO47">
        <v>91</v>
      </c>
    </row>
    <row r="48" spans="1:41" x14ac:dyDescent="0.35">
      <c r="A48">
        <v>2024</v>
      </c>
      <c r="B48">
        <v>3</v>
      </c>
      <c r="C48">
        <v>10</v>
      </c>
      <c r="D48" s="14">
        <v>45358</v>
      </c>
      <c r="E48" t="s">
        <v>44</v>
      </c>
      <c r="F48" t="s">
        <v>47</v>
      </c>
      <c r="G48" t="s">
        <v>49</v>
      </c>
      <c r="H48">
        <v>12701.150000000001</v>
      </c>
      <c r="I48">
        <v>12701.150000000001</v>
      </c>
      <c r="J48">
        <v>0</v>
      </c>
      <c r="K48">
        <v>181.09000000000003</v>
      </c>
      <c r="L48">
        <v>181.09000000000003</v>
      </c>
      <c r="M48">
        <v>0</v>
      </c>
      <c r="N48">
        <v>178.92000000000002</v>
      </c>
      <c r="O48">
        <v>178.92000000000002</v>
      </c>
      <c r="P48">
        <v>0</v>
      </c>
      <c r="Q48">
        <v>-4542.6999999999971</v>
      </c>
      <c r="R48">
        <v>-4514.1499999999969</v>
      </c>
      <c r="S48">
        <v>28.549999999999997</v>
      </c>
      <c r="T48">
        <v>-34.4</v>
      </c>
      <c r="U48">
        <v>-34.4</v>
      </c>
      <c r="V48">
        <v>0</v>
      </c>
      <c r="W48">
        <v>-15</v>
      </c>
      <c r="X48">
        <v>-15</v>
      </c>
      <c r="Y48">
        <v>0</v>
      </c>
      <c r="Z48">
        <v>8469.0599999999977</v>
      </c>
      <c r="AA48">
        <v>8497.6099999999969</v>
      </c>
      <c r="AB48">
        <v>28.549999999999997</v>
      </c>
      <c r="AC48">
        <v>485.4</v>
      </c>
      <c r="AD48">
        <v>195.50000000000003</v>
      </c>
      <c r="AE48">
        <v>-289.89999999999998</v>
      </c>
      <c r="AF48">
        <v>7983.66</v>
      </c>
      <c r="AG48">
        <v>8302.1099999999969</v>
      </c>
      <c r="AH48">
        <v>318.44999999999993</v>
      </c>
      <c r="AI48">
        <v>1554.44</v>
      </c>
      <c r="AJ48">
        <v>0</v>
      </c>
      <c r="AK48">
        <v>-1554.44</v>
      </c>
      <c r="AL48">
        <v>6429.2199999999984</v>
      </c>
      <c r="AM48">
        <v>8302.1099999999969</v>
      </c>
      <c r="AN48">
        <v>1872.889999999999</v>
      </c>
      <c r="AO48">
        <v>162</v>
      </c>
    </row>
    <row r="49" spans="1:41" x14ac:dyDescent="0.35">
      <c r="A49">
        <v>2024</v>
      </c>
      <c r="B49">
        <v>3</v>
      </c>
      <c r="C49">
        <v>10</v>
      </c>
      <c r="D49" s="14">
        <v>45359</v>
      </c>
      <c r="E49" t="s">
        <v>44</v>
      </c>
      <c r="F49" t="s">
        <v>47</v>
      </c>
      <c r="G49" t="s">
        <v>49</v>
      </c>
      <c r="H49">
        <v>15496.200000000021</v>
      </c>
      <c r="I49">
        <v>15496.200000000021</v>
      </c>
      <c r="J49">
        <v>0</v>
      </c>
      <c r="K49">
        <v>598.92999999999984</v>
      </c>
      <c r="L49">
        <v>598.92999999999984</v>
      </c>
      <c r="M49">
        <v>0</v>
      </c>
      <c r="N49">
        <v>155.92000000000002</v>
      </c>
      <c r="O49">
        <v>155.92000000000002</v>
      </c>
      <c r="P49">
        <v>0</v>
      </c>
      <c r="Q49">
        <v>-4011.7999999999997</v>
      </c>
      <c r="R49">
        <v>-3964.0999999999995</v>
      </c>
      <c r="S49">
        <v>47.7</v>
      </c>
      <c r="T49">
        <v>-20</v>
      </c>
      <c r="U49">
        <v>-20</v>
      </c>
      <c r="V49">
        <v>0</v>
      </c>
      <c r="W49">
        <v>-30.990000000000002</v>
      </c>
      <c r="X49">
        <v>-30.990000000000002</v>
      </c>
      <c r="Y49">
        <v>0</v>
      </c>
      <c r="Z49">
        <v>12188.260000000018</v>
      </c>
      <c r="AA49">
        <v>12235.960000000017</v>
      </c>
      <c r="AB49">
        <v>47.7</v>
      </c>
      <c r="AC49">
        <v>508.81000000000006</v>
      </c>
      <c r="AD49">
        <v>313.31</v>
      </c>
      <c r="AE49">
        <v>-195.50000000000003</v>
      </c>
      <c r="AF49">
        <v>11679.450000000021</v>
      </c>
      <c r="AG49">
        <v>11922.65000000002</v>
      </c>
      <c r="AH49">
        <v>243.20000000000002</v>
      </c>
      <c r="AI49">
        <v>2994.8399999999888</v>
      </c>
      <c r="AJ49">
        <v>0</v>
      </c>
      <c r="AK49">
        <v>-2994.8399999999888</v>
      </c>
      <c r="AL49">
        <v>8684.6099999999769</v>
      </c>
      <c r="AM49">
        <v>11922.65000000002</v>
      </c>
      <c r="AN49">
        <v>3238.039999999989</v>
      </c>
      <c r="AO49">
        <v>319</v>
      </c>
    </row>
    <row r="50" spans="1:41" x14ac:dyDescent="0.35">
      <c r="A50">
        <v>2024</v>
      </c>
      <c r="B50">
        <v>3</v>
      </c>
      <c r="C50">
        <v>10</v>
      </c>
      <c r="D50" s="14">
        <v>45360</v>
      </c>
      <c r="E50" t="s">
        <v>44</v>
      </c>
      <c r="F50" t="s">
        <v>47</v>
      </c>
      <c r="G50" t="s">
        <v>49</v>
      </c>
      <c r="H50">
        <v>14104.25</v>
      </c>
      <c r="I50">
        <v>14104.25</v>
      </c>
      <c r="J50">
        <v>0</v>
      </c>
      <c r="K50">
        <v>252.43</v>
      </c>
      <c r="L50">
        <v>252.43</v>
      </c>
      <c r="M50">
        <v>0</v>
      </c>
      <c r="N50">
        <v>275.84000000000003</v>
      </c>
      <c r="O50">
        <v>275.84000000000003</v>
      </c>
      <c r="P50">
        <v>0</v>
      </c>
      <c r="Q50">
        <v>-5406.1000000000058</v>
      </c>
      <c r="R50">
        <v>-5401.1000000000058</v>
      </c>
      <c r="S50">
        <v>5</v>
      </c>
      <c r="T50">
        <v>-30.5</v>
      </c>
      <c r="U50">
        <v>-30.5</v>
      </c>
      <c r="V50">
        <v>0</v>
      </c>
      <c r="W50">
        <v>-36.980000000000004</v>
      </c>
      <c r="X50">
        <v>-36.980000000000004</v>
      </c>
      <c r="Y50">
        <v>0</v>
      </c>
      <c r="Z50">
        <v>9158.9399999999914</v>
      </c>
      <c r="AA50">
        <v>9163.9399999999914</v>
      </c>
      <c r="AB50">
        <v>5</v>
      </c>
      <c r="AC50">
        <v>1097.0899999999999</v>
      </c>
      <c r="AD50">
        <v>738.72</v>
      </c>
      <c r="AE50">
        <v>-358.37</v>
      </c>
      <c r="AF50">
        <v>8061.8499999999931</v>
      </c>
      <c r="AG50">
        <v>8425.2199999999939</v>
      </c>
      <c r="AH50">
        <v>363.37</v>
      </c>
      <c r="AI50">
        <v>1122.4399999999998</v>
      </c>
      <c r="AJ50">
        <v>30.43</v>
      </c>
      <c r="AK50">
        <v>-1092.0099999999995</v>
      </c>
      <c r="AL50">
        <v>6939.4099999999962</v>
      </c>
      <c r="AM50">
        <v>8394.7899999999936</v>
      </c>
      <c r="AN50">
        <v>1455.3800000000006</v>
      </c>
      <c r="AO50">
        <v>176</v>
      </c>
    </row>
    <row r="51" spans="1:41" x14ac:dyDescent="0.35">
      <c r="A51">
        <v>2024</v>
      </c>
      <c r="B51">
        <v>3</v>
      </c>
      <c r="C51">
        <v>10</v>
      </c>
      <c r="D51" s="14">
        <v>45354</v>
      </c>
      <c r="E51" t="s">
        <v>44</v>
      </c>
      <c r="F51" t="s">
        <v>47</v>
      </c>
      <c r="G51" t="s">
        <v>50</v>
      </c>
      <c r="H51">
        <v>27766.199999999997</v>
      </c>
      <c r="I51">
        <v>27766.199999999997</v>
      </c>
      <c r="J51">
        <v>0</v>
      </c>
      <c r="K51">
        <v>538.38999999999965</v>
      </c>
      <c r="L51">
        <v>538.38999999999965</v>
      </c>
      <c r="M51">
        <v>0</v>
      </c>
      <c r="N51">
        <v>1115.3100000000004</v>
      </c>
      <c r="O51">
        <v>1115.3100000000004</v>
      </c>
      <c r="P51">
        <v>0</v>
      </c>
      <c r="Q51">
        <v>-8801.380000000001</v>
      </c>
      <c r="R51">
        <v>-8765.380000000001</v>
      </c>
      <c r="S51">
        <v>36</v>
      </c>
      <c r="T51">
        <v>-35</v>
      </c>
      <c r="U51">
        <v>-35</v>
      </c>
      <c r="V51">
        <v>0</v>
      </c>
      <c r="W51">
        <v>-41.980000000000004</v>
      </c>
      <c r="X51">
        <v>-41.980000000000004</v>
      </c>
      <c r="Y51">
        <v>0</v>
      </c>
      <c r="Z51">
        <v>20541.539999999997</v>
      </c>
      <c r="AA51">
        <v>20577.539999999997</v>
      </c>
      <c r="AB51">
        <v>36</v>
      </c>
      <c r="AC51">
        <v>4306.7900000000091</v>
      </c>
      <c r="AD51">
        <v>2789.1000000000031</v>
      </c>
      <c r="AE51">
        <v>-1517.6900000000019</v>
      </c>
      <c r="AF51">
        <v>16234.750000000018</v>
      </c>
      <c r="AG51">
        <v>17788.439999999999</v>
      </c>
      <c r="AH51">
        <v>1553.6900000000019</v>
      </c>
      <c r="AI51">
        <v>-1415.69</v>
      </c>
      <c r="AJ51">
        <v>0</v>
      </c>
      <c r="AK51">
        <v>1415.69</v>
      </c>
      <c r="AL51">
        <v>17650.440000000013</v>
      </c>
      <c r="AM51">
        <v>17788.439999999999</v>
      </c>
      <c r="AN51">
        <v>137.99999999999989</v>
      </c>
      <c r="AO51">
        <v>323</v>
      </c>
    </row>
    <row r="52" spans="1:41" x14ac:dyDescent="0.35">
      <c r="A52">
        <v>2024</v>
      </c>
      <c r="B52">
        <v>3</v>
      </c>
      <c r="C52">
        <v>10</v>
      </c>
      <c r="D52" s="14">
        <v>45355</v>
      </c>
      <c r="E52" t="s">
        <v>44</v>
      </c>
      <c r="F52" t="s">
        <v>47</v>
      </c>
      <c r="G52" t="s">
        <v>50</v>
      </c>
      <c r="H52">
        <v>29437</v>
      </c>
      <c r="I52">
        <v>29437</v>
      </c>
      <c r="J52">
        <v>0</v>
      </c>
      <c r="K52">
        <v>418.92999999999915</v>
      </c>
      <c r="L52">
        <v>418.92999999999915</v>
      </c>
      <c r="M52">
        <v>0</v>
      </c>
      <c r="N52">
        <v>1300.2000000000005</v>
      </c>
      <c r="O52">
        <v>1268.2200000000005</v>
      </c>
      <c r="P52">
        <v>-31.98</v>
      </c>
      <c r="Q52">
        <v>-8873.2999999999993</v>
      </c>
      <c r="R52">
        <v>-8658.2999999999993</v>
      </c>
      <c r="S52">
        <v>215</v>
      </c>
      <c r="T52">
        <v>-30</v>
      </c>
      <c r="U52">
        <v>-30</v>
      </c>
      <c r="V52">
        <v>0</v>
      </c>
      <c r="W52">
        <v>-25.990000000000002</v>
      </c>
      <c r="X52">
        <v>-25.990000000000002</v>
      </c>
      <c r="Y52">
        <v>0</v>
      </c>
      <c r="Z52">
        <v>22226.839999999997</v>
      </c>
      <c r="AA52">
        <v>22409.859999999993</v>
      </c>
      <c r="AB52">
        <v>183.02</v>
      </c>
      <c r="AC52">
        <v>4491.8100000000077</v>
      </c>
      <c r="AD52">
        <v>1763.8800000000012</v>
      </c>
      <c r="AE52">
        <v>-2727.9300000000026</v>
      </c>
      <c r="AF52">
        <v>17735.03000000001</v>
      </c>
      <c r="AG52">
        <v>20645.98</v>
      </c>
      <c r="AH52">
        <v>2910.9500000000025</v>
      </c>
      <c r="AI52">
        <v>-922.04999999999916</v>
      </c>
      <c r="AJ52">
        <v>0</v>
      </c>
      <c r="AK52">
        <v>922.04999999999916</v>
      </c>
      <c r="AL52">
        <v>18657.079999999998</v>
      </c>
      <c r="AM52">
        <v>20645.98</v>
      </c>
      <c r="AN52">
        <v>1988.9000000000012</v>
      </c>
      <c r="AO52">
        <v>332</v>
      </c>
    </row>
    <row r="53" spans="1:41" x14ac:dyDescent="0.35">
      <c r="A53">
        <v>2024</v>
      </c>
      <c r="B53">
        <v>3</v>
      </c>
      <c r="C53">
        <v>10</v>
      </c>
      <c r="D53" s="14">
        <v>45356</v>
      </c>
      <c r="E53" t="s">
        <v>44</v>
      </c>
      <c r="F53" t="s">
        <v>47</v>
      </c>
      <c r="G53" t="s">
        <v>50</v>
      </c>
      <c r="H53">
        <v>21502</v>
      </c>
      <c r="I53">
        <v>21502</v>
      </c>
      <c r="J53">
        <v>0</v>
      </c>
      <c r="K53">
        <v>276.42</v>
      </c>
      <c r="L53">
        <v>276.42</v>
      </c>
      <c r="M53">
        <v>0</v>
      </c>
      <c r="N53">
        <v>846.47000000000037</v>
      </c>
      <c r="O53">
        <v>846.47000000000037</v>
      </c>
      <c r="P53">
        <v>0</v>
      </c>
      <c r="Q53">
        <v>-6046.38</v>
      </c>
      <c r="R53">
        <v>-5946.38</v>
      </c>
      <c r="S53">
        <v>100</v>
      </c>
      <c r="T53">
        <v>-7</v>
      </c>
      <c r="U53">
        <v>-7</v>
      </c>
      <c r="V53">
        <v>0</v>
      </c>
      <c r="W53">
        <v>-25.990000000000002</v>
      </c>
      <c r="X53">
        <v>-25.990000000000002</v>
      </c>
      <c r="Y53">
        <v>0</v>
      </c>
      <c r="Z53">
        <v>16545.519999999986</v>
      </c>
      <c r="AA53">
        <v>16645.519999999986</v>
      </c>
      <c r="AB53">
        <v>100</v>
      </c>
      <c r="AC53">
        <v>3244.6100000000038</v>
      </c>
      <c r="AD53">
        <v>1514.6100000000004</v>
      </c>
      <c r="AE53">
        <v>-1730.0000000000011</v>
      </c>
      <c r="AF53">
        <v>13300.909999999998</v>
      </c>
      <c r="AG53">
        <v>15130.909999999987</v>
      </c>
      <c r="AH53">
        <v>1830.0000000000011</v>
      </c>
      <c r="AI53">
        <v>-716.11999999999978</v>
      </c>
      <c r="AJ53">
        <v>0</v>
      </c>
      <c r="AK53">
        <v>716.11999999999978</v>
      </c>
      <c r="AL53">
        <v>14017.030000000006</v>
      </c>
      <c r="AM53">
        <v>15130.909999999987</v>
      </c>
      <c r="AN53">
        <v>1113.8799999999997</v>
      </c>
      <c r="AO53">
        <v>248</v>
      </c>
    </row>
    <row r="54" spans="1:41" x14ac:dyDescent="0.35">
      <c r="A54">
        <v>2024</v>
      </c>
      <c r="B54">
        <v>3</v>
      </c>
      <c r="C54">
        <v>10</v>
      </c>
      <c r="D54" s="14">
        <v>45357</v>
      </c>
      <c r="E54" t="s">
        <v>44</v>
      </c>
      <c r="F54" t="s">
        <v>47</v>
      </c>
      <c r="G54" t="s">
        <v>50</v>
      </c>
      <c r="H54">
        <v>27506</v>
      </c>
      <c r="I54">
        <v>27506</v>
      </c>
      <c r="J54">
        <v>0</v>
      </c>
      <c r="K54">
        <v>601.48000000000093</v>
      </c>
      <c r="L54">
        <v>601.48000000000093</v>
      </c>
      <c r="M54">
        <v>0</v>
      </c>
      <c r="N54">
        <v>1137.2900000000004</v>
      </c>
      <c r="O54">
        <v>1137.2900000000004</v>
      </c>
      <c r="P54">
        <v>0</v>
      </c>
      <c r="Q54">
        <v>-8216.630000000001</v>
      </c>
      <c r="R54">
        <v>-8126.63</v>
      </c>
      <c r="S54">
        <v>90</v>
      </c>
      <c r="T54">
        <v>-20</v>
      </c>
      <c r="U54">
        <v>-20</v>
      </c>
      <c r="V54">
        <v>0</v>
      </c>
      <c r="W54">
        <v>-41.980000000000004</v>
      </c>
      <c r="X54">
        <v>-41.980000000000004</v>
      </c>
      <c r="Y54">
        <v>0</v>
      </c>
      <c r="Z54">
        <v>20966.160000000003</v>
      </c>
      <c r="AA54">
        <v>21056.160000000003</v>
      </c>
      <c r="AB54">
        <v>90.000000000000014</v>
      </c>
      <c r="AC54">
        <v>3679.4600000000055</v>
      </c>
      <c r="AD54">
        <v>2164.8500000000017</v>
      </c>
      <c r="AE54">
        <v>-1514.6100000000004</v>
      </c>
      <c r="AF54">
        <v>17286.700000000004</v>
      </c>
      <c r="AG54">
        <v>18891.310000000009</v>
      </c>
      <c r="AH54">
        <v>1604.6100000000006</v>
      </c>
      <c r="AI54">
        <v>-1162.1399999999999</v>
      </c>
      <c r="AJ54">
        <v>0</v>
      </c>
      <c r="AK54">
        <v>1162.1399999999999</v>
      </c>
      <c r="AL54">
        <v>18448.839999999997</v>
      </c>
      <c r="AM54">
        <v>18891.310000000009</v>
      </c>
      <c r="AN54">
        <v>442.47</v>
      </c>
      <c r="AO54">
        <v>314</v>
      </c>
    </row>
    <row r="55" spans="1:41" x14ac:dyDescent="0.35">
      <c r="A55">
        <v>2024</v>
      </c>
      <c r="B55">
        <v>3</v>
      </c>
      <c r="C55">
        <v>10</v>
      </c>
      <c r="D55" s="14">
        <v>45358</v>
      </c>
      <c r="E55" t="s">
        <v>44</v>
      </c>
      <c r="F55" t="s">
        <v>47</v>
      </c>
      <c r="G55" t="s">
        <v>50</v>
      </c>
      <c r="H55">
        <v>33288.009999999995</v>
      </c>
      <c r="I55">
        <v>33288.009999999995</v>
      </c>
      <c r="J55">
        <v>0</v>
      </c>
      <c r="K55">
        <v>634.9799999999999</v>
      </c>
      <c r="L55">
        <v>634.9799999999999</v>
      </c>
      <c r="M55">
        <v>0</v>
      </c>
      <c r="N55">
        <v>1484.1100000000006</v>
      </c>
      <c r="O55">
        <v>1484.1100000000006</v>
      </c>
      <c r="P55">
        <v>0</v>
      </c>
      <c r="Q55">
        <v>-10376.950000000001</v>
      </c>
      <c r="R55">
        <v>-10122.150000000001</v>
      </c>
      <c r="S55">
        <v>254.79999999999995</v>
      </c>
      <c r="T55">
        <v>-45</v>
      </c>
      <c r="U55">
        <v>-45</v>
      </c>
      <c r="V55">
        <v>0</v>
      </c>
      <c r="W55">
        <v>-46.980000000000004</v>
      </c>
      <c r="X55">
        <v>-46.980000000000004</v>
      </c>
      <c r="Y55">
        <v>0</v>
      </c>
      <c r="Z55">
        <v>24938.17000000002</v>
      </c>
      <c r="AA55">
        <v>25192.970000000023</v>
      </c>
      <c r="AB55">
        <v>254.8</v>
      </c>
      <c r="AC55">
        <v>4889.4200000000073</v>
      </c>
      <c r="AD55">
        <v>2784.570000000002</v>
      </c>
      <c r="AE55">
        <v>-2104.8500000000008</v>
      </c>
      <c r="AF55">
        <v>20048.750000000015</v>
      </c>
      <c r="AG55">
        <v>22408.400000000016</v>
      </c>
      <c r="AH55">
        <v>2359.6500000000015</v>
      </c>
      <c r="AI55">
        <v>-1493.4799999999998</v>
      </c>
      <c r="AJ55">
        <v>0</v>
      </c>
      <c r="AK55">
        <v>1493.4799999999998</v>
      </c>
      <c r="AL55">
        <v>21542.230000000014</v>
      </c>
      <c r="AM55">
        <v>22408.400000000016</v>
      </c>
      <c r="AN55">
        <v>866.17000000000087</v>
      </c>
      <c r="AO55">
        <v>379</v>
      </c>
    </row>
    <row r="56" spans="1:41" x14ac:dyDescent="0.35">
      <c r="A56">
        <v>2024</v>
      </c>
      <c r="B56">
        <v>3</v>
      </c>
      <c r="C56">
        <v>10</v>
      </c>
      <c r="D56" s="14">
        <v>45359</v>
      </c>
      <c r="E56" t="s">
        <v>44</v>
      </c>
      <c r="F56" t="s">
        <v>47</v>
      </c>
      <c r="G56" t="s">
        <v>50</v>
      </c>
      <c r="H56">
        <v>34165.009999999995</v>
      </c>
      <c r="I56">
        <v>34165.009999999995</v>
      </c>
      <c r="J56">
        <v>0</v>
      </c>
      <c r="K56">
        <v>611.20000000000073</v>
      </c>
      <c r="L56">
        <v>611.20000000000073</v>
      </c>
      <c r="M56">
        <v>0</v>
      </c>
      <c r="N56">
        <v>1183.3000000000004</v>
      </c>
      <c r="O56">
        <v>1183.3000000000004</v>
      </c>
      <c r="P56">
        <v>0</v>
      </c>
      <c r="Q56">
        <v>-10559.150000000001</v>
      </c>
      <c r="R56">
        <v>-10442.650000000001</v>
      </c>
      <c r="S56">
        <v>116.5</v>
      </c>
      <c r="T56">
        <v>-25</v>
      </c>
      <c r="U56">
        <v>-25</v>
      </c>
      <c r="V56">
        <v>0</v>
      </c>
      <c r="W56">
        <v>-21.990000000000002</v>
      </c>
      <c r="X56">
        <v>-21.990000000000002</v>
      </c>
      <c r="Y56">
        <v>0</v>
      </c>
      <c r="Z56">
        <v>25353.369999999995</v>
      </c>
      <c r="AA56">
        <v>25469.869999999995</v>
      </c>
      <c r="AB56">
        <v>116.5</v>
      </c>
      <c r="AC56">
        <v>5576.4700000000093</v>
      </c>
      <c r="AD56">
        <v>2974.2400000000016</v>
      </c>
      <c r="AE56">
        <v>-2602.2300000000023</v>
      </c>
      <c r="AF56">
        <v>19776.900000000023</v>
      </c>
      <c r="AG56">
        <v>22495.629999999994</v>
      </c>
      <c r="AH56">
        <v>2718.7300000000018</v>
      </c>
      <c r="AI56">
        <v>-1384.4900000000002</v>
      </c>
      <c r="AJ56">
        <v>0</v>
      </c>
      <c r="AK56">
        <v>1384.4900000000002</v>
      </c>
      <c r="AL56">
        <v>21161.39000000001</v>
      </c>
      <c r="AM56">
        <v>22495.629999999994</v>
      </c>
      <c r="AN56">
        <v>1334.2400000000014</v>
      </c>
      <c r="AO56">
        <v>389</v>
      </c>
    </row>
    <row r="57" spans="1:41" x14ac:dyDescent="0.35">
      <c r="A57">
        <v>2024</v>
      </c>
      <c r="B57">
        <v>3</v>
      </c>
      <c r="C57">
        <v>10</v>
      </c>
      <c r="D57" s="14">
        <v>45360</v>
      </c>
      <c r="E57" t="s">
        <v>44</v>
      </c>
      <c r="F57" t="s">
        <v>47</v>
      </c>
      <c r="G57" t="s">
        <v>50</v>
      </c>
      <c r="H57">
        <v>35323.1</v>
      </c>
      <c r="I57">
        <v>35323.1</v>
      </c>
      <c r="J57">
        <v>0</v>
      </c>
      <c r="K57">
        <v>766.83999999999992</v>
      </c>
      <c r="L57">
        <v>766.83999999999992</v>
      </c>
      <c r="M57">
        <v>0</v>
      </c>
      <c r="N57">
        <v>1321.1800000000005</v>
      </c>
      <c r="O57">
        <v>1305.1900000000005</v>
      </c>
      <c r="P57">
        <v>-15.99</v>
      </c>
      <c r="Q57">
        <v>-11171.95</v>
      </c>
      <c r="R57">
        <v>-10924.95</v>
      </c>
      <c r="S57">
        <v>247</v>
      </c>
      <c r="T57">
        <v>-65</v>
      </c>
      <c r="U57">
        <v>-65</v>
      </c>
      <c r="V57">
        <v>0</v>
      </c>
      <c r="W57">
        <v>-31.990000000000002</v>
      </c>
      <c r="X57">
        <v>-31.990000000000002</v>
      </c>
      <c r="Y57">
        <v>0</v>
      </c>
      <c r="Z57">
        <v>26142.180000000018</v>
      </c>
      <c r="AA57">
        <v>26373.190000000021</v>
      </c>
      <c r="AB57">
        <v>231.01</v>
      </c>
      <c r="AC57">
        <v>5635.2600000000084</v>
      </c>
      <c r="AD57">
        <v>2714.070000000002</v>
      </c>
      <c r="AE57">
        <v>-2921.1900000000028</v>
      </c>
      <c r="AF57">
        <v>20506.920000000027</v>
      </c>
      <c r="AG57">
        <v>23659.120000000021</v>
      </c>
      <c r="AH57">
        <v>3152.2000000000035</v>
      </c>
      <c r="AI57">
        <v>-1328.1299999999997</v>
      </c>
      <c r="AJ57">
        <v>0</v>
      </c>
      <c r="AK57">
        <v>1328.1299999999997</v>
      </c>
      <c r="AL57">
        <v>21835.050000000021</v>
      </c>
      <c r="AM57">
        <v>23659.120000000021</v>
      </c>
      <c r="AN57">
        <v>1824.0700000000015</v>
      </c>
      <c r="AO57">
        <v>397</v>
      </c>
    </row>
    <row r="58" spans="1:41" x14ac:dyDescent="0.35">
      <c r="A58">
        <v>2024</v>
      </c>
      <c r="B58">
        <v>3</v>
      </c>
      <c r="C58">
        <v>10</v>
      </c>
      <c r="D58" s="14">
        <v>45354</v>
      </c>
      <c r="E58" t="s">
        <v>44</v>
      </c>
      <c r="F58" t="s">
        <v>47</v>
      </c>
      <c r="G58" t="s">
        <v>51</v>
      </c>
      <c r="H58">
        <v>14541.349999999968</v>
      </c>
      <c r="I58">
        <v>14541.349999999968</v>
      </c>
      <c r="J58">
        <v>0</v>
      </c>
      <c r="K58">
        <v>2010</v>
      </c>
      <c r="L58">
        <v>2010</v>
      </c>
      <c r="M58">
        <v>0</v>
      </c>
      <c r="N58">
        <v>0</v>
      </c>
      <c r="O58">
        <v>0</v>
      </c>
      <c r="P58">
        <v>0</v>
      </c>
      <c r="Q58">
        <v>-1416.2000000000003</v>
      </c>
      <c r="R58">
        <v>-1416.2000000000003</v>
      </c>
      <c r="S58">
        <v>0</v>
      </c>
      <c r="T58">
        <v>-800</v>
      </c>
      <c r="U58">
        <v>-800</v>
      </c>
      <c r="V58">
        <v>0</v>
      </c>
      <c r="W58">
        <v>0</v>
      </c>
      <c r="X58">
        <v>0</v>
      </c>
      <c r="Y58">
        <v>0</v>
      </c>
      <c r="Z58">
        <v>14335.149999999963</v>
      </c>
      <c r="AA58">
        <v>14335.149999999963</v>
      </c>
      <c r="AB58">
        <v>0</v>
      </c>
      <c r="AC58">
        <v>213.93000000000004</v>
      </c>
      <c r="AD58">
        <v>134.97</v>
      </c>
      <c r="AE58">
        <v>-78.959999999999994</v>
      </c>
      <c r="AF58">
        <v>14121.219999999965</v>
      </c>
      <c r="AG58">
        <v>14200.179999999964</v>
      </c>
      <c r="AH58">
        <v>78.959999999999994</v>
      </c>
      <c r="AI58">
        <v>5640.8000000000147</v>
      </c>
      <c r="AJ58">
        <v>29.71</v>
      </c>
      <c r="AK58">
        <v>-5611.0900000000156</v>
      </c>
      <c r="AL58">
        <v>8480.4200000000219</v>
      </c>
      <c r="AM58">
        <v>14170.469999999965</v>
      </c>
      <c r="AN58">
        <v>5690.0500000000156</v>
      </c>
      <c r="AO58">
        <v>331</v>
      </c>
    </row>
    <row r="59" spans="1:41" x14ac:dyDescent="0.35">
      <c r="A59">
        <v>2024</v>
      </c>
      <c r="B59">
        <v>3</v>
      </c>
      <c r="C59">
        <v>10</v>
      </c>
      <c r="D59" s="14">
        <v>45355</v>
      </c>
      <c r="E59" t="s">
        <v>44</v>
      </c>
      <c r="F59" t="s">
        <v>47</v>
      </c>
      <c r="G59" t="s">
        <v>51</v>
      </c>
      <c r="H59">
        <v>5023.8999999999996</v>
      </c>
      <c r="I59">
        <v>5023.8999999999996</v>
      </c>
      <c r="J59">
        <v>0</v>
      </c>
      <c r="K59">
        <v>30</v>
      </c>
      <c r="L59">
        <v>30</v>
      </c>
      <c r="M59">
        <v>0</v>
      </c>
      <c r="N59">
        <v>0</v>
      </c>
      <c r="O59">
        <v>0</v>
      </c>
      <c r="P59">
        <v>0</v>
      </c>
      <c r="Q59">
        <v>-978.25</v>
      </c>
      <c r="R59">
        <v>-978.25</v>
      </c>
      <c r="S59">
        <v>0</v>
      </c>
      <c r="T59">
        <v>-12</v>
      </c>
      <c r="U59">
        <v>-12</v>
      </c>
      <c r="V59">
        <v>0</v>
      </c>
      <c r="W59">
        <v>0</v>
      </c>
      <c r="X59">
        <v>0</v>
      </c>
      <c r="Y59">
        <v>0</v>
      </c>
      <c r="Z59">
        <v>4063.6499999999996</v>
      </c>
      <c r="AA59">
        <v>4063.6499999999996</v>
      </c>
      <c r="AB59">
        <v>0</v>
      </c>
      <c r="AC59">
        <v>151.14000000000001</v>
      </c>
      <c r="AD59">
        <v>16.170000000000002</v>
      </c>
      <c r="AE59">
        <v>-134.97</v>
      </c>
      <c r="AF59">
        <v>3912.51</v>
      </c>
      <c r="AG59">
        <v>4047.4799999999996</v>
      </c>
      <c r="AH59">
        <v>134.96999999999997</v>
      </c>
      <c r="AI59">
        <v>1476.0800000000002</v>
      </c>
      <c r="AJ59">
        <v>0</v>
      </c>
      <c r="AK59">
        <v>-1476.0800000000002</v>
      </c>
      <c r="AL59">
        <v>2436.4300000000017</v>
      </c>
      <c r="AM59">
        <v>4047.4799999999996</v>
      </c>
      <c r="AN59">
        <v>1611.0499999999997</v>
      </c>
      <c r="AO59">
        <v>91</v>
      </c>
    </row>
    <row r="60" spans="1:41" x14ac:dyDescent="0.35">
      <c r="A60">
        <v>2024</v>
      </c>
      <c r="B60">
        <v>3</v>
      </c>
      <c r="C60">
        <v>10</v>
      </c>
      <c r="D60" s="14">
        <v>45356</v>
      </c>
      <c r="E60" t="s">
        <v>44</v>
      </c>
      <c r="F60" t="s">
        <v>47</v>
      </c>
      <c r="G60" t="s">
        <v>51</v>
      </c>
      <c r="H60">
        <v>309.3</v>
      </c>
      <c r="I60">
        <v>309.3</v>
      </c>
      <c r="J60">
        <v>0</v>
      </c>
      <c r="K60">
        <v>0</v>
      </c>
      <c r="L60">
        <v>0</v>
      </c>
      <c r="M60">
        <v>0</v>
      </c>
      <c r="N60">
        <v>15.99</v>
      </c>
      <c r="O60">
        <v>15.99</v>
      </c>
      <c r="P60">
        <v>0</v>
      </c>
      <c r="Q60">
        <v>-106.3</v>
      </c>
      <c r="R60">
        <v>-106.3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218.99</v>
      </c>
      <c r="AA60">
        <v>218.99</v>
      </c>
      <c r="AB60">
        <v>0</v>
      </c>
      <c r="AC60">
        <v>35.049999999999997</v>
      </c>
      <c r="AD60">
        <v>18.88</v>
      </c>
      <c r="AE60">
        <v>-16.170000000000002</v>
      </c>
      <c r="AF60">
        <v>183.94</v>
      </c>
      <c r="AG60">
        <v>200.11</v>
      </c>
      <c r="AH60">
        <v>16.170000000000002</v>
      </c>
      <c r="AI60">
        <v>16.02</v>
      </c>
      <c r="AJ60">
        <v>0</v>
      </c>
      <c r="AK60">
        <v>-16.02</v>
      </c>
      <c r="AL60">
        <v>167.92000000000002</v>
      </c>
      <c r="AM60">
        <v>200.11</v>
      </c>
      <c r="AN60">
        <v>32.190000000000005</v>
      </c>
      <c r="AO60">
        <v>4</v>
      </c>
    </row>
    <row r="61" spans="1:41" x14ac:dyDescent="0.35">
      <c r="A61">
        <v>2024</v>
      </c>
      <c r="B61">
        <v>3</v>
      </c>
      <c r="C61">
        <v>10</v>
      </c>
      <c r="D61" s="14">
        <v>45357</v>
      </c>
      <c r="E61" t="s">
        <v>44</v>
      </c>
      <c r="F61" t="s">
        <v>47</v>
      </c>
      <c r="G61" t="s">
        <v>51</v>
      </c>
      <c r="H61">
        <v>4506.6500000000033</v>
      </c>
      <c r="I61">
        <v>4506.6500000000033</v>
      </c>
      <c r="J61">
        <v>0</v>
      </c>
      <c r="K61">
        <v>370</v>
      </c>
      <c r="L61">
        <v>370</v>
      </c>
      <c r="M61">
        <v>0</v>
      </c>
      <c r="N61">
        <v>28.990000000000002</v>
      </c>
      <c r="O61">
        <v>28.990000000000002</v>
      </c>
      <c r="P61">
        <v>0</v>
      </c>
      <c r="Q61">
        <v>-640.74999999999989</v>
      </c>
      <c r="R61">
        <v>-640.74999999999989</v>
      </c>
      <c r="S61">
        <v>0</v>
      </c>
      <c r="T61">
        <v>-144</v>
      </c>
      <c r="U61">
        <v>-144</v>
      </c>
      <c r="V61">
        <v>0</v>
      </c>
      <c r="W61">
        <v>-5</v>
      </c>
      <c r="X61">
        <v>-5</v>
      </c>
      <c r="Y61">
        <v>0</v>
      </c>
      <c r="Z61">
        <v>4115.8900000000012</v>
      </c>
      <c r="AA61">
        <v>4115.8900000000012</v>
      </c>
      <c r="AB61">
        <v>0</v>
      </c>
      <c r="AC61">
        <v>113.85999999999999</v>
      </c>
      <c r="AD61">
        <v>94.97999999999999</v>
      </c>
      <c r="AE61">
        <v>-18.88</v>
      </c>
      <c r="AF61">
        <v>4002.030000000002</v>
      </c>
      <c r="AG61">
        <v>4020.9100000000017</v>
      </c>
      <c r="AH61">
        <v>18.879999999999995</v>
      </c>
      <c r="AI61">
        <v>1465.9999999999991</v>
      </c>
      <c r="AJ61">
        <v>0</v>
      </c>
      <c r="AK61">
        <v>-1465.9999999999991</v>
      </c>
      <c r="AL61">
        <v>2536.030000000002</v>
      </c>
      <c r="AM61">
        <v>4020.9100000000017</v>
      </c>
      <c r="AN61">
        <v>1484.879999999999</v>
      </c>
      <c r="AO61">
        <v>92</v>
      </c>
    </row>
    <row r="62" spans="1:41" x14ac:dyDescent="0.35">
      <c r="A62">
        <v>2024</v>
      </c>
      <c r="B62">
        <v>3</v>
      </c>
      <c r="C62">
        <v>10</v>
      </c>
      <c r="D62" s="14">
        <v>45358</v>
      </c>
      <c r="E62" t="s">
        <v>44</v>
      </c>
      <c r="F62" t="s">
        <v>47</v>
      </c>
      <c r="G62" t="s">
        <v>51</v>
      </c>
      <c r="H62">
        <v>5875.7000000000007</v>
      </c>
      <c r="I62">
        <v>5875.7000000000007</v>
      </c>
      <c r="J62">
        <v>0</v>
      </c>
      <c r="K62">
        <v>20</v>
      </c>
      <c r="L62">
        <v>20</v>
      </c>
      <c r="M62">
        <v>0</v>
      </c>
      <c r="N62">
        <v>13</v>
      </c>
      <c r="O62">
        <v>13</v>
      </c>
      <c r="P62">
        <v>0</v>
      </c>
      <c r="Q62">
        <v>-1500.45</v>
      </c>
      <c r="R62">
        <v>-1500.45</v>
      </c>
      <c r="S62">
        <v>0</v>
      </c>
      <c r="T62">
        <v>-4</v>
      </c>
      <c r="U62">
        <v>-4</v>
      </c>
      <c r="V62">
        <v>0</v>
      </c>
      <c r="W62">
        <v>-5</v>
      </c>
      <c r="X62">
        <v>-5</v>
      </c>
      <c r="Y62">
        <v>0</v>
      </c>
      <c r="Z62">
        <v>4399.2500000000009</v>
      </c>
      <c r="AA62">
        <v>4399.2500000000009</v>
      </c>
      <c r="AB62">
        <v>0</v>
      </c>
      <c r="AC62">
        <v>286.57000000000016</v>
      </c>
      <c r="AD62">
        <v>16.66</v>
      </c>
      <c r="AE62">
        <v>-269.91000000000014</v>
      </c>
      <c r="AF62">
        <v>4112.6800000000021</v>
      </c>
      <c r="AG62">
        <v>4382.5900000000011</v>
      </c>
      <c r="AH62">
        <v>269.9099999999998</v>
      </c>
      <c r="AI62">
        <v>795.35</v>
      </c>
      <c r="AJ62">
        <v>170.2</v>
      </c>
      <c r="AK62">
        <v>-625.1500000000002</v>
      </c>
      <c r="AL62">
        <v>3317.3299999999995</v>
      </c>
      <c r="AM62">
        <v>4212.3899999999994</v>
      </c>
      <c r="AN62">
        <v>895.0600000000004</v>
      </c>
      <c r="AO62">
        <v>102</v>
      </c>
    </row>
    <row r="63" spans="1:41" x14ac:dyDescent="0.35">
      <c r="A63">
        <v>2024</v>
      </c>
      <c r="B63">
        <v>3</v>
      </c>
      <c r="C63">
        <v>10</v>
      </c>
      <c r="D63" s="14">
        <v>45359</v>
      </c>
      <c r="E63" t="s">
        <v>44</v>
      </c>
      <c r="F63" t="s">
        <v>47</v>
      </c>
      <c r="G63" t="s">
        <v>51</v>
      </c>
      <c r="H63">
        <v>4411.0000000000009</v>
      </c>
      <c r="I63">
        <v>4411.0000000000009</v>
      </c>
      <c r="J63">
        <v>0</v>
      </c>
      <c r="K63">
        <v>22.96</v>
      </c>
      <c r="L63">
        <v>22.96</v>
      </c>
      <c r="M63">
        <v>0</v>
      </c>
      <c r="N63">
        <v>0</v>
      </c>
      <c r="O63">
        <v>0</v>
      </c>
      <c r="P63">
        <v>0</v>
      </c>
      <c r="Q63">
        <v>-1083.9999999999998</v>
      </c>
      <c r="R63">
        <v>-1083.9999999999998</v>
      </c>
      <c r="S63">
        <v>0</v>
      </c>
      <c r="T63">
        <v>-4</v>
      </c>
      <c r="U63">
        <v>-4</v>
      </c>
      <c r="V63">
        <v>0</v>
      </c>
      <c r="W63">
        <v>0</v>
      </c>
      <c r="X63">
        <v>0</v>
      </c>
      <c r="Y63">
        <v>0</v>
      </c>
      <c r="Z63">
        <v>3345.9599999999996</v>
      </c>
      <c r="AA63">
        <v>3345.9599999999996</v>
      </c>
      <c r="AB63">
        <v>0</v>
      </c>
      <c r="AC63">
        <v>61.66</v>
      </c>
      <c r="AD63">
        <v>45</v>
      </c>
      <c r="AE63">
        <v>-16.66</v>
      </c>
      <c r="AF63">
        <v>3284.2999999999997</v>
      </c>
      <c r="AG63">
        <v>3300.9599999999996</v>
      </c>
      <c r="AH63">
        <v>16.659999999999997</v>
      </c>
      <c r="AI63">
        <v>960.32000000000016</v>
      </c>
      <c r="AJ63">
        <v>0</v>
      </c>
      <c r="AK63">
        <v>-960.32000000000016</v>
      </c>
      <c r="AL63">
        <v>2323.9799999999996</v>
      </c>
      <c r="AM63">
        <v>3300.9599999999996</v>
      </c>
      <c r="AN63">
        <v>976.9799999999999</v>
      </c>
      <c r="AO63">
        <v>79</v>
      </c>
    </row>
    <row r="64" spans="1:41" x14ac:dyDescent="0.35">
      <c r="A64">
        <v>2024</v>
      </c>
      <c r="B64">
        <v>3</v>
      </c>
      <c r="C64">
        <v>10</v>
      </c>
      <c r="D64" s="14">
        <v>45360</v>
      </c>
      <c r="E64" t="s">
        <v>44</v>
      </c>
      <c r="F64" t="s">
        <v>47</v>
      </c>
      <c r="G64" t="s">
        <v>51</v>
      </c>
      <c r="H64">
        <v>4527</v>
      </c>
      <c r="I64">
        <v>4527</v>
      </c>
      <c r="J64">
        <v>0</v>
      </c>
      <c r="K64">
        <v>22.96</v>
      </c>
      <c r="L64">
        <v>22.96</v>
      </c>
      <c r="M64">
        <v>0</v>
      </c>
      <c r="N64">
        <v>15.99</v>
      </c>
      <c r="O64">
        <v>15.99</v>
      </c>
      <c r="P64">
        <v>0</v>
      </c>
      <c r="Q64">
        <v>-1321.6700000000003</v>
      </c>
      <c r="R64">
        <v>-1321.6700000000003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3244.2799999999988</v>
      </c>
      <c r="AA64">
        <v>3244.2799999999988</v>
      </c>
      <c r="AB64">
        <v>0</v>
      </c>
      <c r="AC64">
        <v>78.33</v>
      </c>
      <c r="AD64">
        <v>25</v>
      </c>
      <c r="AE64">
        <v>-53.33</v>
      </c>
      <c r="AF64">
        <v>3165.9499999999989</v>
      </c>
      <c r="AG64">
        <v>3219.2799999999988</v>
      </c>
      <c r="AH64">
        <v>53.33</v>
      </c>
      <c r="AI64">
        <v>891.36999999999966</v>
      </c>
      <c r="AJ64">
        <v>8.33</v>
      </c>
      <c r="AK64">
        <v>-883.03999999999962</v>
      </c>
      <c r="AL64">
        <v>2274.58</v>
      </c>
      <c r="AM64">
        <v>3210.9499999999989</v>
      </c>
      <c r="AN64">
        <v>936.36999999999966</v>
      </c>
      <c r="AO64">
        <v>76</v>
      </c>
    </row>
    <row r="65" spans="1:41" x14ac:dyDescent="0.35">
      <c r="A65">
        <v>2024</v>
      </c>
      <c r="B65">
        <v>3</v>
      </c>
      <c r="C65">
        <v>11</v>
      </c>
      <c r="D65" s="14">
        <v>45361</v>
      </c>
      <c r="E65" t="s">
        <v>41</v>
      </c>
      <c r="F65" t="s">
        <v>42</v>
      </c>
      <c r="G65" t="s">
        <v>43</v>
      </c>
      <c r="H65">
        <v>112135</v>
      </c>
      <c r="I65">
        <v>112135</v>
      </c>
      <c r="J65">
        <v>0</v>
      </c>
      <c r="K65">
        <v>1358.2400000000102</v>
      </c>
      <c r="L65">
        <v>1358.2400000000102</v>
      </c>
      <c r="M65">
        <v>0</v>
      </c>
      <c r="N65">
        <v>2625.1799999999921</v>
      </c>
      <c r="O65">
        <v>2625.1799999999921</v>
      </c>
      <c r="P65">
        <v>0</v>
      </c>
      <c r="Q65">
        <v>-12087.21</v>
      </c>
      <c r="R65">
        <v>-10897.21</v>
      </c>
      <c r="S65">
        <v>1190</v>
      </c>
      <c r="T65">
        <v>-9.2000000000000028</v>
      </c>
      <c r="U65">
        <v>-9.2000000000000028</v>
      </c>
      <c r="V65">
        <v>0</v>
      </c>
      <c r="W65">
        <v>-70</v>
      </c>
      <c r="X65">
        <v>-70</v>
      </c>
      <c r="Y65">
        <v>0</v>
      </c>
      <c r="Z65">
        <v>103952.01000000061</v>
      </c>
      <c r="AA65">
        <v>105142.01000000066</v>
      </c>
      <c r="AB65">
        <v>1190</v>
      </c>
      <c r="AC65">
        <v>31612.38999999969</v>
      </c>
      <c r="AD65">
        <v>16625.989999999969</v>
      </c>
      <c r="AE65">
        <v>-14986.399999999976</v>
      </c>
      <c r="AF65">
        <v>72339.62000000033</v>
      </c>
      <c r="AG65">
        <v>88516.020000000324</v>
      </c>
      <c r="AH65">
        <v>16176.399999999969</v>
      </c>
      <c r="AI65">
        <v>-8272.8699999999972</v>
      </c>
      <c r="AJ65">
        <v>0</v>
      </c>
      <c r="AK65">
        <v>8272.8699999999972</v>
      </c>
      <c r="AL65">
        <v>80612.490000000224</v>
      </c>
      <c r="AM65">
        <v>88516.020000000324</v>
      </c>
      <c r="AN65">
        <v>7903.5300000000261</v>
      </c>
      <c r="AO65">
        <v>1950</v>
      </c>
    </row>
    <row r="66" spans="1:41" x14ac:dyDescent="0.35">
      <c r="A66">
        <v>2024</v>
      </c>
      <c r="B66">
        <v>3</v>
      </c>
      <c r="C66">
        <v>11</v>
      </c>
      <c r="D66" s="14">
        <v>45362</v>
      </c>
      <c r="E66" t="s">
        <v>41</v>
      </c>
      <c r="F66" t="s">
        <v>42</v>
      </c>
      <c r="G66" t="s">
        <v>43</v>
      </c>
      <c r="H66">
        <v>126007.75</v>
      </c>
      <c r="I66">
        <v>126007.75</v>
      </c>
      <c r="J66">
        <v>0</v>
      </c>
      <c r="K66">
        <v>1283.3500000000161</v>
      </c>
      <c r="L66">
        <v>1283.3500000000161</v>
      </c>
      <c r="M66">
        <v>0</v>
      </c>
      <c r="N66">
        <v>2845.0699999999888</v>
      </c>
      <c r="O66">
        <v>2845.0699999999888</v>
      </c>
      <c r="P66">
        <v>0</v>
      </c>
      <c r="Q66">
        <v>-14013.31</v>
      </c>
      <c r="R66">
        <v>-12169.31</v>
      </c>
      <c r="S66">
        <v>1844</v>
      </c>
      <c r="T66">
        <v>-3.1</v>
      </c>
      <c r="U66">
        <v>-3.1</v>
      </c>
      <c r="V66">
        <v>0</v>
      </c>
      <c r="W66">
        <v>-95</v>
      </c>
      <c r="X66">
        <v>-95</v>
      </c>
      <c r="Y66">
        <v>0</v>
      </c>
      <c r="Z66">
        <v>116024.76000000046</v>
      </c>
      <c r="AA66">
        <v>117868.76000000047</v>
      </c>
      <c r="AB66">
        <v>1844</v>
      </c>
      <c r="AC66">
        <v>34279.979999999632</v>
      </c>
      <c r="AD66">
        <v>17960.839999999964</v>
      </c>
      <c r="AE66">
        <v>-16319.139999999959</v>
      </c>
      <c r="AF66">
        <v>81744.780000000144</v>
      </c>
      <c r="AG66">
        <v>99907.920000000318</v>
      </c>
      <c r="AH66">
        <v>18163.139999999959</v>
      </c>
      <c r="AI66">
        <v>-9047.7800000000079</v>
      </c>
      <c r="AJ66">
        <v>0</v>
      </c>
      <c r="AK66">
        <v>9047.7800000000079</v>
      </c>
      <c r="AL66">
        <v>90792.559999999707</v>
      </c>
      <c r="AM66">
        <v>99907.920000000318</v>
      </c>
      <c r="AN66">
        <v>9115.3599999999969</v>
      </c>
      <c r="AO66">
        <v>2171</v>
      </c>
    </row>
    <row r="67" spans="1:41" x14ac:dyDescent="0.35">
      <c r="A67">
        <v>2024</v>
      </c>
      <c r="B67">
        <v>3</v>
      </c>
      <c r="C67">
        <v>11</v>
      </c>
      <c r="D67" s="14">
        <v>45363</v>
      </c>
      <c r="E67" t="s">
        <v>41</v>
      </c>
      <c r="F67" t="s">
        <v>42</v>
      </c>
      <c r="G67" t="s">
        <v>43</v>
      </c>
      <c r="H67">
        <v>128229</v>
      </c>
      <c r="I67">
        <v>128229</v>
      </c>
      <c r="J67">
        <v>0</v>
      </c>
      <c r="K67">
        <v>1176.4400000000082</v>
      </c>
      <c r="L67">
        <v>1169.4400000000082</v>
      </c>
      <c r="M67">
        <v>-7</v>
      </c>
      <c r="N67">
        <v>2827.1099999999897</v>
      </c>
      <c r="O67">
        <v>2811.1199999999899</v>
      </c>
      <c r="P67">
        <v>-15.99</v>
      </c>
      <c r="Q67">
        <v>-13918.130000000001</v>
      </c>
      <c r="R67">
        <v>-12182.130000000001</v>
      </c>
      <c r="S67">
        <v>1736</v>
      </c>
      <c r="T67">
        <v>-3.27</v>
      </c>
      <c r="U67">
        <v>-3.27</v>
      </c>
      <c r="V67">
        <v>0</v>
      </c>
      <c r="W67">
        <v>-80</v>
      </c>
      <c r="X67">
        <v>-80</v>
      </c>
      <c r="Y67">
        <v>0</v>
      </c>
      <c r="Z67">
        <v>118231.15000000113</v>
      </c>
      <c r="AA67">
        <v>119944.16000000118</v>
      </c>
      <c r="AB67">
        <v>1713.01</v>
      </c>
      <c r="AC67">
        <v>37242.529999999577</v>
      </c>
      <c r="AD67">
        <v>19606.959999999923</v>
      </c>
      <c r="AE67">
        <v>-17635.569999999945</v>
      </c>
      <c r="AF67">
        <v>80988.620000000359</v>
      </c>
      <c r="AG67">
        <v>100337.20000000062</v>
      </c>
      <c r="AH67">
        <v>19348.579999999922</v>
      </c>
      <c r="AI67">
        <v>-9590.4600000000082</v>
      </c>
      <c r="AJ67">
        <v>0</v>
      </c>
      <c r="AK67">
        <v>9590.4600000000082</v>
      </c>
      <c r="AL67">
        <v>90579.080000000351</v>
      </c>
      <c r="AM67">
        <v>100337.20000000062</v>
      </c>
      <c r="AN67">
        <v>9758.1199999999953</v>
      </c>
      <c r="AO67">
        <v>2209</v>
      </c>
    </row>
    <row r="68" spans="1:41" x14ac:dyDescent="0.35">
      <c r="A68">
        <v>2024</v>
      </c>
      <c r="B68">
        <v>3</v>
      </c>
      <c r="C68">
        <v>11</v>
      </c>
      <c r="D68" s="14">
        <v>45364</v>
      </c>
      <c r="E68" t="s">
        <v>41</v>
      </c>
      <c r="F68" t="s">
        <v>42</v>
      </c>
      <c r="G68" t="s">
        <v>43</v>
      </c>
      <c r="H68">
        <v>123648.25</v>
      </c>
      <c r="I68">
        <v>123648.25</v>
      </c>
      <c r="J68">
        <v>0</v>
      </c>
      <c r="K68">
        <v>1095.3600000000149</v>
      </c>
      <c r="L68">
        <v>1095.3600000000149</v>
      </c>
      <c r="M68">
        <v>0</v>
      </c>
      <c r="N68">
        <v>2576.2799999999938</v>
      </c>
      <c r="O68">
        <v>2576.2799999999938</v>
      </c>
      <c r="P68">
        <v>0</v>
      </c>
      <c r="Q68">
        <v>-13398.63</v>
      </c>
      <c r="R68">
        <v>-11937.630000000001</v>
      </c>
      <c r="S68">
        <v>1461</v>
      </c>
      <c r="T68">
        <v>-3.74</v>
      </c>
      <c r="U68">
        <v>-3.74</v>
      </c>
      <c r="V68">
        <v>0</v>
      </c>
      <c r="W68">
        <v>-84</v>
      </c>
      <c r="X68">
        <v>-84</v>
      </c>
      <c r="Y68">
        <v>0</v>
      </c>
      <c r="Z68">
        <v>113833.52000000051</v>
      </c>
      <c r="AA68">
        <v>115294.5200000005</v>
      </c>
      <c r="AB68">
        <v>1461</v>
      </c>
      <c r="AC68">
        <v>36923.129999999604</v>
      </c>
      <c r="AD68">
        <v>17590.029999999966</v>
      </c>
      <c r="AE68">
        <v>-19333.09999999994</v>
      </c>
      <c r="AF68">
        <v>76910.390000000072</v>
      </c>
      <c r="AG68">
        <v>97704.490000000384</v>
      </c>
      <c r="AH68">
        <v>20794.099999999911</v>
      </c>
      <c r="AI68">
        <v>-8615.5500000000065</v>
      </c>
      <c r="AJ68">
        <v>0</v>
      </c>
      <c r="AK68">
        <v>8615.5500000000065</v>
      </c>
      <c r="AL68">
        <v>85525.94</v>
      </c>
      <c r="AM68">
        <v>97704.490000000384</v>
      </c>
      <c r="AN68">
        <v>12178.549999999941</v>
      </c>
      <c r="AO68">
        <v>2155</v>
      </c>
    </row>
    <row r="69" spans="1:41" x14ac:dyDescent="0.35">
      <c r="A69">
        <v>2024</v>
      </c>
      <c r="B69">
        <v>3</v>
      </c>
      <c r="C69">
        <v>11</v>
      </c>
      <c r="D69" s="14">
        <v>45365</v>
      </c>
      <c r="E69" t="s">
        <v>41</v>
      </c>
      <c r="F69" t="s">
        <v>42</v>
      </c>
      <c r="G69" t="s">
        <v>43</v>
      </c>
      <c r="H69">
        <v>112417.75</v>
      </c>
      <c r="I69">
        <v>112417.75</v>
      </c>
      <c r="J69">
        <v>0</v>
      </c>
      <c r="K69">
        <v>1170.1200000000056</v>
      </c>
      <c r="L69">
        <v>1163.1200000000053</v>
      </c>
      <c r="M69">
        <v>-7</v>
      </c>
      <c r="N69">
        <v>2672.2199999999921</v>
      </c>
      <c r="O69">
        <v>2656.2299999999923</v>
      </c>
      <c r="P69">
        <v>-15.99</v>
      </c>
      <c r="Q69">
        <v>-11986.880000000001</v>
      </c>
      <c r="R69">
        <v>-10620.880000000001</v>
      </c>
      <c r="S69">
        <v>1366</v>
      </c>
      <c r="T69">
        <v>-11.190000000000003</v>
      </c>
      <c r="U69">
        <v>-11.190000000000003</v>
      </c>
      <c r="V69">
        <v>0</v>
      </c>
      <c r="W69">
        <v>-84</v>
      </c>
      <c r="X69">
        <v>-79</v>
      </c>
      <c r="Y69">
        <v>5</v>
      </c>
      <c r="Z69">
        <v>104178.0200000008</v>
      </c>
      <c r="AA69">
        <v>105526.03000000084</v>
      </c>
      <c r="AB69">
        <v>1348.01</v>
      </c>
      <c r="AC69">
        <v>33655.069999999701</v>
      </c>
      <c r="AD69">
        <v>16243.459999999981</v>
      </c>
      <c r="AE69">
        <v>-17411.609999999975</v>
      </c>
      <c r="AF69">
        <v>70522.950000000157</v>
      </c>
      <c r="AG69">
        <v>89282.570000000356</v>
      </c>
      <c r="AH69">
        <v>18759.619999999955</v>
      </c>
      <c r="AI69">
        <v>-7928.8499999999931</v>
      </c>
      <c r="AJ69">
        <v>0</v>
      </c>
      <c r="AK69">
        <v>7928.8499999999931</v>
      </c>
      <c r="AL69">
        <v>78451.800000000032</v>
      </c>
      <c r="AM69">
        <v>89282.570000000356</v>
      </c>
      <c r="AN69">
        <v>10830.769999999984</v>
      </c>
      <c r="AO69">
        <v>1973</v>
      </c>
    </row>
    <row r="70" spans="1:41" x14ac:dyDescent="0.35">
      <c r="A70">
        <v>2024</v>
      </c>
      <c r="B70">
        <v>3</v>
      </c>
      <c r="C70">
        <v>11</v>
      </c>
      <c r="D70" s="14">
        <v>45366</v>
      </c>
      <c r="E70" t="s">
        <v>41</v>
      </c>
      <c r="F70" t="s">
        <v>42</v>
      </c>
      <c r="G70" t="s">
        <v>43</v>
      </c>
      <c r="H70">
        <v>113153</v>
      </c>
      <c r="I70">
        <v>113153</v>
      </c>
      <c r="J70">
        <v>0</v>
      </c>
      <c r="K70">
        <v>1390.5800000000188</v>
      </c>
      <c r="L70">
        <v>1383.5800000000188</v>
      </c>
      <c r="M70">
        <v>-7</v>
      </c>
      <c r="N70">
        <v>3029.9399999999869</v>
      </c>
      <c r="O70">
        <v>3013.9499999999871</v>
      </c>
      <c r="P70">
        <v>-15.99</v>
      </c>
      <c r="Q70">
        <v>-11845.88</v>
      </c>
      <c r="R70">
        <v>-10788.88</v>
      </c>
      <c r="S70">
        <v>1057</v>
      </c>
      <c r="T70">
        <v>-11.090000000000003</v>
      </c>
      <c r="U70">
        <v>-11.090000000000003</v>
      </c>
      <c r="V70">
        <v>0</v>
      </c>
      <c r="W70">
        <v>-108.99000000000001</v>
      </c>
      <c r="X70">
        <v>-108.99000000000001</v>
      </c>
      <c r="Y70">
        <v>0</v>
      </c>
      <c r="Z70">
        <v>105607.56000000051</v>
      </c>
      <c r="AA70">
        <v>106641.57000000052</v>
      </c>
      <c r="AB70">
        <v>1034.01</v>
      </c>
      <c r="AC70">
        <v>34235.149999999732</v>
      </c>
      <c r="AD70">
        <v>17965.749999999949</v>
      </c>
      <c r="AE70">
        <v>-16269.399999999996</v>
      </c>
      <c r="AF70">
        <v>71372.410000000134</v>
      </c>
      <c r="AG70">
        <v>88675.820000000269</v>
      </c>
      <c r="AH70">
        <v>17303.409999999985</v>
      </c>
      <c r="AI70">
        <v>-8734.3499999999967</v>
      </c>
      <c r="AJ70">
        <v>0</v>
      </c>
      <c r="AK70">
        <v>8734.3499999999967</v>
      </c>
      <c r="AL70">
        <v>80106.760000000038</v>
      </c>
      <c r="AM70">
        <v>88675.820000000269</v>
      </c>
      <c r="AN70">
        <v>8569.0600000000213</v>
      </c>
      <c r="AO70">
        <v>1970</v>
      </c>
    </row>
    <row r="71" spans="1:41" x14ac:dyDescent="0.35">
      <c r="A71">
        <v>2024</v>
      </c>
      <c r="B71">
        <v>3</v>
      </c>
      <c r="C71">
        <v>11</v>
      </c>
      <c r="D71" s="14">
        <v>45367</v>
      </c>
      <c r="E71" t="s">
        <v>41</v>
      </c>
      <c r="F71" t="s">
        <v>42</v>
      </c>
      <c r="G71" t="s">
        <v>43</v>
      </c>
      <c r="H71">
        <v>112226</v>
      </c>
      <c r="I71">
        <v>112226</v>
      </c>
      <c r="J71">
        <v>0</v>
      </c>
      <c r="K71">
        <v>1490.6000000000104</v>
      </c>
      <c r="L71">
        <v>1483.6000000000104</v>
      </c>
      <c r="M71">
        <v>-7</v>
      </c>
      <c r="N71">
        <v>3010.9499999999866</v>
      </c>
      <c r="O71">
        <v>3010.9499999999866</v>
      </c>
      <c r="P71">
        <v>0</v>
      </c>
      <c r="Q71">
        <v>-11941.76</v>
      </c>
      <c r="R71">
        <v>-10581.76</v>
      </c>
      <c r="S71">
        <v>1360</v>
      </c>
      <c r="T71">
        <v>-8.09</v>
      </c>
      <c r="U71">
        <v>-7.1400000000000006</v>
      </c>
      <c r="V71">
        <v>0.95000000000000007</v>
      </c>
      <c r="W71">
        <v>-146.99</v>
      </c>
      <c r="X71">
        <v>-146.99</v>
      </c>
      <c r="Y71">
        <v>0</v>
      </c>
      <c r="Z71">
        <v>104630.71000000088</v>
      </c>
      <c r="AA71">
        <v>105984.66000000092</v>
      </c>
      <c r="AB71">
        <v>1353.95</v>
      </c>
      <c r="AC71">
        <v>33306.239999999627</v>
      </c>
      <c r="AD71">
        <v>15450.059999999979</v>
      </c>
      <c r="AE71">
        <v>-17856.179999999946</v>
      </c>
      <c r="AF71">
        <v>71324.470000000249</v>
      </c>
      <c r="AG71">
        <v>90534.600000000486</v>
      </c>
      <c r="AH71">
        <v>19210.129999999917</v>
      </c>
      <c r="AI71">
        <v>-7794.7199999999939</v>
      </c>
      <c r="AJ71">
        <v>0</v>
      </c>
      <c r="AK71">
        <v>7794.7199999999939</v>
      </c>
      <c r="AL71">
        <v>79119.190000000031</v>
      </c>
      <c r="AM71">
        <v>90534.600000000486</v>
      </c>
      <c r="AN71">
        <v>11415.409999999974</v>
      </c>
      <c r="AO71">
        <v>1942</v>
      </c>
    </row>
    <row r="72" spans="1:41" x14ac:dyDescent="0.35">
      <c r="A72">
        <v>2024</v>
      </c>
      <c r="B72">
        <v>3</v>
      </c>
      <c r="C72">
        <v>11</v>
      </c>
      <c r="D72" s="14">
        <v>45361</v>
      </c>
      <c r="E72" t="s">
        <v>44</v>
      </c>
      <c r="F72" t="s">
        <v>42</v>
      </c>
      <c r="G72" t="s">
        <v>45</v>
      </c>
      <c r="H72">
        <v>148102.07</v>
      </c>
      <c r="I72">
        <v>148102.07</v>
      </c>
      <c r="J72">
        <v>0</v>
      </c>
      <c r="K72">
        <v>1413.0900000000158</v>
      </c>
      <c r="L72">
        <v>1413.0900000000158</v>
      </c>
      <c r="M72">
        <v>0</v>
      </c>
      <c r="N72">
        <v>6237.9499999999407</v>
      </c>
      <c r="O72">
        <v>6237.9499999999407</v>
      </c>
      <c r="P72">
        <v>0</v>
      </c>
      <c r="Q72">
        <v>-29513.67</v>
      </c>
      <c r="R72">
        <v>-28831.67</v>
      </c>
      <c r="S72">
        <v>682</v>
      </c>
      <c r="T72">
        <v>-19.960000000000004</v>
      </c>
      <c r="U72">
        <v>-19.960000000000004</v>
      </c>
      <c r="V72">
        <v>0</v>
      </c>
      <c r="W72">
        <v>-92.88000000000001</v>
      </c>
      <c r="X72">
        <v>-92.88000000000001</v>
      </c>
      <c r="Y72">
        <v>0</v>
      </c>
      <c r="Z72">
        <v>126126.60000000098</v>
      </c>
      <c r="AA72">
        <v>126808.60000000098</v>
      </c>
      <c r="AB72">
        <v>682</v>
      </c>
      <c r="AC72">
        <v>27149.519999999837</v>
      </c>
      <c r="AD72">
        <v>14989.239999999967</v>
      </c>
      <c r="AE72">
        <v>-12160.279999999986</v>
      </c>
      <c r="AF72">
        <v>98977.080000000584</v>
      </c>
      <c r="AG72">
        <v>111819.3600000007</v>
      </c>
      <c r="AH72">
        <v>12842.279999999982</v>
      </c>
      <c r="AI72">
        <v>-7339.7200000000221</v>
      </c>
      <c r="AJ72">
        <v>0</v>
      </c>
      <c r="AK72">
        <v>7339.7200000000221</v>
      </c>
      <c r="AL72">
        <v>106316.80000000003</v>
      </c>
      <c r="AM72">
        <v>111819.3600000007</v>
      </c>
      <c r="AN72">
        <v>5502.5600000000186</v>
      </c>
      <c r="AO72">
        <v>1937</v>
      </c>
    </row>
    <row r="73" spans="1:41" x14ac:dyDescent="0.35">
      <c r="A73">
        <v>2024</v>
      </c>
      <c r="B73">
        <v>3</v>
      </c>
      <c r="C73">
        <v>11</v>
      </c>
      <c r="D73" s="14">
        <v>45362</v>
      </c>
      <c r="E73" t="s">
        <v>44</v>
      </c>
      <c r="F73" t="s">
        <v>42</v>
      </c>
      <c r="G73" t="s">
        <v>45</v>
      </c>
      <c r="H73">
        <v>166367</v>
      </c>
      <c r="I73">
        <v>166367</v>
      </c>
      <c r="J73">
        <v>0</v>
      </c>
      <c r="K73">
        <v>1201.0200000000043</v>
      </c>
      <c r="L73">
        <v>1201.0200000000043</v>
      </c>
      <c r="M73">
        <v>0</v>
      </c>
      <c r="N73">
        <v>6903.6299999999346</v>
      </c>
      <c r="O73">
        <v>6875.6399999999348</v>
      </c>
      <c r="P73">
        <v>-27.990000000000002</v>
      </c>
      <c r="Q73">
        <v>-34079.599999999999</v>
      </c>
      <c r="R73">
        <v>-33149.599999999999</v>
      </c>
      <c r="S73">
        <v>930</v>
      </c>
      <c r="T73">
        <v>-14.42</v>
      </c>
      <c r="U73">
        <v>-14.42</v>
      </c>
      <c r="V73">
        <v>0</v>
      </c>
      <c r="W73">
        <v>-107.17999999999999</v>
      </c>
      <c r="X73">
        <v>-107.17999999999999</v>
      </c>
      <c r="Y73">
        <v>0</v>
      </c>
      <c r="Z73">
        <v>140270.45000000077</v>
      </c>
      <c r="AA73">
        <v>141172.46000000072</v>
      </c>
      <c r="AB73">
        <v>902.01</v>
      </c>
      <c r="AC73">
        <v>30303.509999999766</v>
      </c>
      <c r="AD73">
        <v>15814.389999999978</v>
      </c>
      <c r="AE73">
        <v>-14489.119999999966</v>
      </c>
      <c r="AF73">
        <v>109966.94000000054</v>
      </c>
      <c r="AG73">
        <v>125358.07000000085</v>
      </c>
      <c r="AH73">
        <v>15391.129999999965</v>
      </c>
      <c r="AI73">
        <v>-7781.2400000000134</v>
      </c>
      <c r="AJ73">
        <v>0</v>
      </c>
      <c r="AK73">
        <v>7781.2400000000134</v>
      </c>
      <c r="AL73">
        <v>117748.17999999998</v>
      </c>
      <c r="AM73">
        <v>125358.07000000085</v>
      </c>
      <c r="AN73">
        <v>7609.8900000000103</v>
      </c>
      <c r="AO73">
        <v>2121</v>
      </c>
    </row>
    <row r="74" spans="1:41" x14ac:dyDescent="0.35">
      <c r="A74">
        <v>2024</v>
      </c>
      <c r="B74">
        <v>3</v>
      </c>
      <c r="C74">
        <v>11</v>
      </c>
      <c r="D74" s="14">
        <v>45363</v>
      </c>
      <c r="E74" t="s">
        <v>44</v>
      </c>
      <c r="F74" t="s">
        <v>42</v>
      </c>
      <c r="G74" t="s">
        <v>45</v>
      </c>
      <c r="H74">
        <v>151308.5</v>
      </c>
      <c r="I74">
        <v>151308.5</v>
      </c>
      <c r="J74">
        <v>0</v>
      </c>
      <c r="K74">
        <v>965.88000000000864</v>
      </c>
      <c r="L74">
        <v>965.88000000000864</v>
      </c>
      <c r="M74">
        <v>0</v>
      </c>
      <c r="N74">
        <v>5866.2999999999483</v>
      </c>
      <c r="O74">
        <v>5850.3099999999486</v>
      </c>
      <c r="P74">
        <v>-15.99</v>
      </c>
      <c r="Q74">
        <v>-30971.919999999998</v>
      </c>
      <c r="R74">
        <v>-29881.919999999998</v>
      </c>
      <c r="S74">
        <v>1090</v>
      </c>
      <c r="T74">
        <v>-6.2500000000000018</v>
      </c>
      <c r="U74">
        <v>-6.2500000000000018</v>
      </c>
      <c r="V74">
        <v>0</v>
      </c>
      <c r="W74">
        <v>-122.57999999999998</v>
      </c>
      <c r="X74">
        <v>-122.57999999999998</v>
      </c>
      <c r="Y74">
        <v>0</v>
      </c>
      <c r="Z74">
        <v>127039.93000000108</v>
      </c>
      <c r="AA74">
        <v>128113.94000000106</v>
      </c>
      <c r="AB74">
        <v>1074.01</v>
      </c>
      <c r="AC74">
        <v>28212.289999999801</v>
      </c>
      <c r="AD74">
        <v>12689.399999999992</v>
      </c>
      <c r="AE74">
        <v>-15522.889999999979</v>
      </c>
      <c r="AF74">
        <v>98827.640000000742</v>
      </c>
      <c r="AG74">
        <v>115424.54000000087</v>
      </c>
      <c r="AH74">
        <v>16596.89999999998</v>
      </c>
      <c r="AI74">
        <v>-6100.7100000000028</v>
      </c>
      <c r="AJ74">
        <v>0</v>
      </c>
      <c r="AK74">
        <v>6100.7100000000028</v>
      </c>
      <c r="AL74">
        <v>104928.35000000015</v>
      </c>
      <c r="AM74">
        <v>115424.54000000087</v>
      </c>
      <c r="AN74">
        <v>10496.18999999999</v>
      </c>
      <c r="AO74">
        <v>1915</v>
      </c>
    </row>
    <row r="75" spans="1:41" x14ac:dyDescent="0.35">
      <c r="A75">
        <v>2024</v>
      </c>
      <c r="B75">
        <v>3</v>
      </c>
      <c r="C75">
        <v>11</v>
      </c>
      <c r="D75" s="14">
        <v>45364</v>
      </c>
      <c r="E75" t="s">
        <v>44</v>
      </c>
      <c r="F75" t="s">
        <v>42</v>
      </c>
      <c r="G75" t="s">
        <v>45</v>
      </c>
      <c r="H75">
        <v>137126</v>
      </c>
      <c r="I75">
        <v>137126</v>
      </c>
      <c r="J75">
        <v>0</v>
      </c>
      <c r="K75">
        <v>1046.6000000000026</v>
      </c>
      <c r="L75">
        <v>1077.0900000000038</v>
      </c>
      <c r="M75">
        <v>30.49</v>
      </c>
      <c r="N75">
        <v>5482.469999999953</v>
      </c>
      <c r="O75">
        <v>5447.4899999999534</v>
      </c>
      <c r="P75">
        <v>-34.980000000000004</v>
      </c>
      <c r="Q75">
        <v>-26798.92</v>
      </c>
      <c r="R75">
        <v>-26050.92</v>
      </c>
      <c r="S75">
        <v>748</v>
      </c>
      <c r="T75">
        <v>-9.9300000000000015</v>
      </c>
      <c r="U75">
        <v>-9.9300000000000015</v>
      </c>
      <c r="V75">
        <v>0</v>
      </c>
      <c r="W75">
        <v>-123.28999999999999</v>
      </c>
      <c r="X75">
        <v>-123.28999999999999</v>
      </c>
      <c r="Y75">
        <v>0</v>
      </c>
      <c r="Z75">
        <v>116722.93000000068</v>
      </c>
      <c r="AA75">
        <v>117466.44000000067</v>
      </c>
      <c r="AB75">
        <v>743.51</v>
      </c>
      <c r="AC75">
        <v>24883.949999999844</v>
      </c>
      <c r="AD75">
        <v>12706.90999999998</v>
      </c>
      <c r="AE75">
        <v>-12177.039999999992</v>
      </c>
      <c r="AF75">
        <v>91838.980000000389</v>
      </c>
      <c r="AG75">
        <v>104759.53000000046</v>
      </c>
      <c r="AH75">
        <v>12920.549999999988</v>
      </c>
      <c r="AI75">
        <v>-6172.7700000000104</v>
      </c>
      <c r="AJ75">
        <v>0</v>
      </c>
      <c r="AK75">
        <v>6172.7700000000104</v>
      </c>
      <c r="AL75">
        <v>98011.750000000146</v>
      </c>
      <c r="AM75">
        <v>104759.53000000046</v>
      </c>
      <c r="AN75">
        <v>6747.78</v>
      </c>
      <c r="AO75">
        <v>1758</v>
      </c>
    </row>
    <row r="76" spans="1:41" x14ac:dyDescent="0.35">
      <c r="A76">
        <v>2024</v>
      </c>
      <c r="B76">
        <v>3</v>
      </c>
      <c r="C76">
        <v>11</v>
      </c>
      <c r="D76" s="14">
        <v>45365</v>
      </c>
      <c r="E76" t="s">
        <v>44</v>
      </c>
      <c r="F76" t="s">
        <v>42</v>
      </c>
      <c r="G76" t="s">
        <v>45</v>
      </c>
      <c r="H76">
        <v>136452.5</v>
      </c>
      <c r="I76">
        <v>136452.5</v>
      </c>
      <c r="J76">
        <v>0</v>
      </c>
      <c r="K76">
        <v>1214.9200000000112</v>
      </c>
      <c r="L76">
        <v>1214.9200000000112</v>
      </c>
      <c r="M76">
        <v>0</v>
      </c>
      <c r="N76">
        <v>5723.2999999999493</v>
      </c>
      <c r="O76">
        <v>5707.3099999999495</v>
      </c>
      <c r="P76">
        <v>-15.99</v>
      </c>
      <c r="Q76">
        <v>-26314</v>
      </c>
      <c r="R76">
        <v>-25513</v>
      </c>
      <c r="S76">
        <v>801</v>
      </c>
      <c r="T76">
        <v>-19.979999999999993</v>
      </c>
      <c r="U76">
        <v>-19.979999999999993</v>
      </c>
      <c r="V76">
        <v>0</v>
      </c>
      <c r="W76">
        <v>-178.68</v>
      </c>
      <c r="X76">
        <v>-178.68</v>
      </c>
      <c r="Y76">
        <v>0</v>
      </c>
      <c r="Z76">
        <v>116878.06000000105</v>
      </c>
      <c r="AA76">
        <v>117663.07000000104</v>
      </c>
      <c r="AB76">
        <v>785.01</v>
      </c>
      <c r="AC76">
        <v>25782.499999999833</v>
      </c>
      <c r="AD76">
        <v>13301.189999999995</v>
      </c>
      <c r="AE76">
        <v>-12481.30999999999</v>
      </c>
      <c r="AF76">
        <v>91095.560000000623</v>
      </c>
      <c r="AG76">
        <v>104361.88000000079</v>
      </c>
      <c r="AH76">
        <v>13266.319999999987</v>
      </c>
      <c r="AI76">
        <v>-6563.5200000000041</v>
      </c>
      <c r="AJ76">
        <v>0</v>
      </c>
      <c r="AK76">
        <v>6563.5200000000041</v>
      </c>
      <c r="AL76">
        <v>97659.080000000104</v>
      </c>
      <c r="AM76">
        <v>104361.88000000079</v>
      </c>
      <c r="AN76">
        <v>6702.8000000000147</v>
      </c>
      <c r="AO76">
        <v>1764</v>
      </c>
    </row>
    <row r="77" spans="1:41" x14ac:dyDescent="0.35">
      <c r="A77">
        <v>2024</v>
      </c>
      <c r="B77">
        <v>3</v>
      </c>
      <c r="C77">
        <v>11</v>
      </c>
      <c r="D77" s="14">
        <v>45366</v>
      </c>
      <c r="E77" t="s">
        <v>44</v>
      </c>
      <c r="F77" t="s">
        <v>42</v>
      </c>
      <c r="G77" t="s">
        <v>45</v>
      </c>
      <c r="H77">
        <v>137971</v>
      </c>
      <c r="I77">
        <v>137971</v>
      </c>
      <c r="J77">
        <v>0</v>
      </c>
      <c r="K77">
        <v>1225.6100000000047</v>
      </c>
      <c r="L77">
        <v>1225.6100000000047</v>
      </c>
      <c r="M77">
        <v>0</v>
      </c>
      <c r="N77">
        <v>5519.4199999999528</v>
      </c>
      <c r="O77">
        <v>5519.4199999999528</v>
      </c>
      <c r="P77">
        <v>0</v>
      </c>
      <c r="Q77">
        <v>-25594.5</v>
      </c>
      <c r="R77">
        <v>-24908.5</v>
      </c>
      <c r="S77">
        <v>686</v>
      </c>
      <c r="T77">
        <v>-22.94</v>
      </c>
      <c r="U77">
        <v>-22.94</v>
      </c>
      <c r="V77">
        <v>0</v>
      </c>
      <c r="W77">
        <v>-167.69</v>
      </c>
      <c r="X77">
        <v>-167.69</v>
      </c>
      <c r="Y77">
        <v>0</v>
      </c>
      <c r="Z77">
        <v>118930.90000000058</v>
      </c>
      <c r="AA77">
        <v>119616.90000000059</v>
      </c>
      <c r="AB77">
        <v>686</v>
      </c>
      <c r="AC77">
        <v>26346.999999999818</v>
      </c>
      <c r="AD77">
        <v>13406.349999999982</v>
      </c>
      <c r="AE77">
        <v>-12940.649999999991</v>
      </c>
      <c r="AF77">
        <v>92583.900000000431</v>
      </c>
      <c r="AG77">
        <v>106210.55000000044</v>
      </c>
      <c r="AH77">
        <v>13626.649999999989</v>
      </c>
      <c r="AI77">
        <v>-6644.800000000002</v>
      </c>
      <c r="AJ77">
        <v>0</v>
      </c>
      <c r="AK77">
        <v>6644.800000000002</v>
      </c>
      <c r="AL77">
        <v>99228.700000000041</v>
      </c>
      <c r="AM77">
        <v>106210.55000000044</v>
      </c>
      <c r="AN77">
        <v>6981.8500000000295</v>
      </c>
      <c r="AO77">
        <v>1800</v>
      </c>
    </row>
    <row r="78" spans="1:41" x14ac:dyDescent="0.35">
      <c r="A78">
        <v>2024</v>
      </c>
      <c r="B78">
        <v>3</v>
      </c>
      <c r="C78">
        <v>11</v>
      </c>
      <c r="D78" s="14">
        <v>45367</v>
      </c>
      <c r="E78" t="s">
        <v>44</v>
      </c>
      <c r="F78" t="s">
        <v>42</v>
      </c>
      <c r="G78" t="s">
        <v>45</v>
      </c>
      <c r="H78">
        <v>137504.57</v>
      </c>
      <c r="I78">
        <v>137504.57</v>
      </c>
      <c r="J78">
        <v>0</v>
      </c>
      <c r="K78">
        <v>1070.9900000000091</v>
      </c>
      <c r="L78">
        <v>1070.9900000000091</v>
      </c>
      <c r="M78">
        <v>0</v>
      </c>
      <c r="N78">
        <v>5761.2699999999477</v>
      </c>
      <c r="O78">
        <v>5761.2699999999477</v>
      </c>
      <c r="P78">
        <v>0</v>
      </c>
      <c r="Q78">
        <v>-26445.5</v>
      </c>
      <c r="R78">
        <v>-25680.5</v>
      </c>
      <c r="S78">
        <v>765</v>
      </c>
      <c r="T78">
        <v>-10.42</v>
      </c>
      <c r="U78">
        <v>-10.42</v>
      </c>
      <c r="V78">
        <v>0</v>
      </c>
      <c r="W78">
        <v>-106</v>
      </c>
      <c r="X78">
        <v>-106</v>
      </c>
      <c r="Y78">
        <v>0</v>
      </c>
      <c r="Z78">
        <v>117774.91000000093</v>
      </c>
      <c r="AA78">
        <v>118539.91000000093</v>
      </c>
      <c r="AB78">
        <v>765</v>
      </c>
      <c r="AC78">
        <v>25613.219999999841</v>
      </c>
      <c r="AD78">
        <v>12514.389999999992</v>
      </c>
      <c r="AE78">
        <v>-13098.829999999994</v>
      </c>
      <c r="AF78">
        <v>92161.690000000483</v>
      </c>
      <c r="AG78">
        <v>106025.5200000007</v>
      </c>
      <c r="AH78">
        <v>13863.829999999991</v>
      </c>
      <c r="AI78">
        <v>-6032.180000000013</v>
      </c>
      <c r="AJ78">
        <v>0</v>
      </c>
      <c r="AK78">
        <v>6032.180000000013</v>
      </c>
      <c r="AL78">
        <v>98193.870000000126</v>
      </c>
      <c r="AM78">
        <v>106025.5200000007</v>
      </c>
      <c r="AN78">
        <v>7831.6499999999978</v>
      </c>
      <c r="AO78">
        <v>1786</v>
      </c>
    </row>
    <row r="79" spans="1:41" x14ac:dyDescent="0.35">
      <c r="A79">
        <v>2024</v>
      </c>
      <c r="B79">
        <v>3</v>
      </c>
      <c r="C79">
        <v>11</v>
      </c>
      <c r="D79" s="14">
        <v>45361</v>
      </c>
      <c r="E79" t="s">
        <v>44</v>
      </c>
      <c r="F79" t="s">
        <v>42</v>
      </c>
      <c r="G79" t="s">
        <v>46</v>
      </c>
      <c r="H79">
        <v>55008.159999999967</v>
      </c>
      <c r="I79">
        <v>55008.159999999967</v>
      </c>
      <c r="J79">
        <v>0</v>
      </c>
      <c r="K79">
        <v>402.51999999999924</v>
      </c>
      <c r="L79">
        <v>392.51999999999924</v>
      </c>
      <c r="M79">
        <v>-10</v>
      </c>
      <c r="N79">
        <v>1323.1500000000005</v>
      </c>
      <c r="O79">
        <v>1304.1600000000005</v>
      </c>
      <c r="P79">
        <v>-18.990000000000002</v>
      </c>
      <c r="Q79">
        <v>-19536.439999999966</v>
      </c>
      <c r="R79">
        <v>-19261.439999999966</v>
      </c>
      <c r="S79">
        <v>275</v>
      </c>
      <c r="T79">
        <v>0</v>
      </c>
      <c r="U79">
        <v>0</v>
      </c>
      <c r="V79">
        <v>0</v>
      </c>
      <c r="W79">
        <v>-10</v>
      </c>
      <c r="X79">
        <v>-10</v>
      </c>
      <c r="Y79">
        <v>0</v>
      </c>
      <c r="Z79">
        <v>37187.389999999963</v>
      </c>
      <c r="AA79">
        <v>37433.399999999965</v>
      </c>
      <c r="AB79">
        <v>246.01</v>
      </c>
      <c r="AC79">
        <v>9622.8500000000058</v>
      </c>
      <c r="AD79">
        <v>5279.0400000000072</v>
      </c>
      <c r="AE79">
        <v>-4343.8100000000068</v>
      </c>
      <c r="AF79">
        <v>27564.540000000012</v>
      </c>
      <c r="AG79">
        <v>32154.360000000008</v>
      </c>
      <c r="AH79">
        <v>4589.820000000007</v>
      </c>
      <c r="AI79">
        <v>-1629.0700000000015</v>
      </c>
      <c r="AJ79">
        <v>0</v>
      </c>
      <c r="AK79">
        <v>1629.0700000000015</v>
      </c>
      <c r="AL79">
        <v>29193.610000000015</v>
      </c>
      <c r="AM79">
        <v>32154.360000000008</v>
      </c>
      <c r="AN79">
        <v>2960.7500000000009</v>
      </c>
      <c r="AO79">
        <v>658</v>
      </c>
    </row>
    <row r="80" spans="1:41" x14ac:dyDescent="0.35">
      <c r="A80">
        <v>2024</v>
      </c>
      <c r="B80">
        <v>3</v>
      </c>
      <c r="C80">
        <v>11</v>
      </c>
      <c r="D80" s="14">
        <v>45362</v>
      </c>
      <c r="E80" t="s">
        <v>44</v>
      </c>
      <c r="F80" t="s">
        <v>42</v>
      </c>
      <c r="G80" t="s">
        <v>46</v>
      </c>
      <c r="H80">
        <v>50910.65999999996</v>
      </c>
      <c r="I80">
        <v>50910.65999999996</v>
      </c>
      <c r="J80">
        <v>0</v>
      </c>
      <c r="K80">
        <v>261.19</v>
      </c>
      <c r="L80">
        <v>261.19</v>
      </c>
      <c r="M80">
        <v>0</v>
      </c>
      <c r="N80">
        <v>1506.0600000000006</v>
      </c>
      <c r="O80">
        <v>1506.0600000000006</v>
      </c>
      <c r="P80">
        <v>0</v>
      </c>
      <c r="Q80">
        <v>-18570.789999999972</v>
      </c>
      <c r="R80">
        <v>-18184.789999999972</v>
      </c>
      <c r="S80">
        <v>386</v>
      </c>
      <c r="T80">
        <v>0</v>
      </c>
      <c r="U80">
        <v>0</v>
      </c>
      <c r="V80">
        <v>0</v>
      </c>
      <c r="W80">
        <v>-5</v>
      </c>
      <c r="X80">
        <v>-5</v>
      </c>
      <c r="Y80">
        <v>0</v>
      </c>
      <c r="Z80">
        <v>34102.119999999988</v>
      </c>
      <c r="AA80">
        <v>34488.119999999981</v>
      </c>
      <c r="AB80">
        <v>386</v>
      </c>
      <c r="AC80">
        <v>9097.6000000000095</v>
      </c>
      <c r="AD80">
        <v>4086.6600000000044</v>
      </c>
      <c r="AE80">
        <v>-5010.9400000000069</v>
      </c>
      <c r="AF80">
        <v>25004.52000000003</v>
      </c>
      <c r="AG80">
        <v>30401.460000000003</v>
      </c>
      <c r="AH80">
        <v>5396.9400000000069</v>
      </c>
      <c r="AI80">
        <v>-1766.0000000000002</v>
      </c>
      <c r="AJ80">
        <v>0</v>
      </c>
      <c r="AK80">
        <v>1766.0000000000002</v>
      </c>
      <c r="AL80">
        <v>26770.520000000015</v>
      </c>
      <c r="AM80">
        <v>30401.460000000003</v>
      </c>
      <c r="AN80">
        <v>3630.9400000000055</v>
      </c>
      <c r="AO80">
        <v>592</v>
      </c>
    </row>
    <row r="81" spans="1:41" x14ac:dyDescent="0.35">
      <c r="A81">
        <v>2024</v>
      </c>
      <c r="B81">
        <v>3</v>
      </c>
      <c r="C81">
        <v>11</v>
      </c>
      <c r="D81" s="14">
        <v>45363</v>
      </c>
      <c r="E81" t="s">
        <v>44</v>
      </c>
      <c r="F81" t="s">
        <v>42</v>
      </c>
      <c r="G81" t="s">
        <v>46</v>
      </c>
      <c r="H81">
        <v>42355.879999999961</v>
      </c>
      <c r="I81">
        <v>42355.879999999961</v>
      </c>
      <c r="J81">
        <v>0</v>
      </c>
      <c r="K81">
        <v>246.66</v>
      </c>
      <c r="L81">
        <v>246.66</v>
      </c>
      <c r="M81">
        <v>0</v>
      </c>
      <c r="N81">
        <v>1261.2100000000005</v>
      </c>
      <c r="O81">
        <v>1261.2100000000005</v>
      </c>
      <c r="P81">
        <v>0</v>
      </c>
      <c r="Q81">
        <v>-15526.439999999973</v>
      </c>
      <c r="R81">
        <v>-15263.439999999973</v>
      </c>
      <c r="S81">
        <v>263</v>
      </c>
      <c r="T81">
        <v>0</v>
      </c>
      <c r="U81">
        <v>0</v>
      </c>
      <c r="V81">
        <v>0</v>
      </c>
      <c r="W81">
        <v>-23.990000000000002</v>
      </c>
      <c r="X81">
        <v>-23.990000000000002</v>
      </c>
      <c r="Y81">
        <v>0</v>
      </c>
      <c r="Z81">
        <v>28313.320000000014</v>
      </c>
      <c r="AA81">
        <v>28576.320000000014</v>
      </c>
      <c r="AB81">
        <v>263</v>
      </c>
      <c r="AC81">
        <v>7542.9200000000092</v>
      </c>
      <c r="AD81">
        <v>3549.6400000000031</v>
      </c>
      <c r="AE81">
        <v>-3993.2800000000029</v>
      </c>
      <c r="AF81">
        <v>20770.40000000002</v>
      </c>
      <c r="AG81">
        <v>25026.680000000018</v>
      </c>
      <c r="AH81">
        <v>4256.2800000000034</v>
      </c>
      <c r="AI81">
        <v>-1369.42</v>
      </c>
      <c r="AJ81">
        <v>0</v>
      </c>
      <c r="AK81">
        <v>1369.42</v>
      </c>
      <c r="AL81">
        <v>22139.820000000011</v>
      </c>
      <c r="AM81">
        <v>25026.680000000018</v>
      </c>
      <c r="AN81">
        <v>2886.860000000001</v>
      </c>
      <c r="AO81">
        <v>490</v>
      </c>
    </row>
    <row r="82" spans="1:41" x14ac:dyDescent="0.35">
      <c r="A82">
        <v>2024</v>
      </c>
      <c r="B82">
        <v>3</v>
      </c>
      <c r="C82">
        <v>11</v>
      </c>
      <c r="D82" s="14">
        <v>45364</v>
      </c>
      <c r="E82" t="s">
        <v>44</v>
      </c>
      <c r="F82" t="s">
        <v>42</v>
      </c>
      <c r="G82" t="s">
        <v>46</v>
      </c>
      <c r="H82">
        <v>45307.45999999997</v>
      </c>
      <c r="I82">
        <v>45307.45999999997</v>
      </c>
      <c r="J82">
        <v>0</v>
      </c>
      <c r="K82">
        <v>204.17999999999998</v>
      </c>
      <c r="L82">
        <v>204.17999999999998</v>
      </c>
      <c r="M82">
        <v>0</v>
      </c>
      <c r="N82">
        <v>1123.2900000000004</v>
      </c>
      <c r="O82">
        <v>1123.2900000000004</v>
      </c>
      <c r="P82">
        <v>0</v>
      </c>
      <c r="Q82">
        <v>-15813.089999999971</v>
      </c>
      <c r="R82">
        <v>-15577.089999999971</v>
      </c>
      <c r="S82">
        <v>236</v>
      </c>
      <c r="T82">
        <v>-5</v>
      </c>
      <c r="U82">
        <v>-5</v>
      </c>
      <c r="V82">
        <v>0</v>
      </c>
      <c r="W82">
        <v>0</v>
      </c>
      <c r="X82">
        <v>0</v>
      </c>
      <c r="Y82">
        <v>0</v>
      </c>
      <c r="Z82">
        <v>30816.840000000011</v>
      </c>
      <c r="AA82">
        <v>31052.840000000011</v>
      </c>
      <c r="AB82">
        <v>236</v>
      </c>
      <c r="AC82">
        <v>7795.3300000000099</v>
      </c>
      <c r="AD82">
        <v>4503.0400000000045</v>
      </c>
      <c r="AE82">
        <v>-3292.2900000000022</v>
      </c>
      <c r="AF82">
        <v>23021.510000000024</v>
      </c>
      <c r="AG82">
        <v>26549.800000000007</v>
      </c>
      <c r="AH82">
        <v>3528.2900000000027</v>
      </c>
      <c r="AI82">
        <v>-1605.5700000000013</v>
      </c>
      <c r="AJ82">
        <v>0</v>
      </c>
      <c r="AK82">
        <v>1605.5700000000013</v>
      </c>
      <c r="AL82">
        <v>24627.08</v>
      </c>
      <c r="AM82">
        <v>26549.800000000007</v>
      </c>
      <c r="AN82">
        <v>1922.7200000000012</v>
      </c>
      <c r="AO82">
        <v>533</v>
      </c>
    </row>
    <row r="83" spans="1:41" x14ac:dyDescent="0.35">
      <c r="A83">
        <v>2024</v>
      </c>
      <c r="B83">
        <v>3</v>
      </c>
      <c r="C83">
        <v>11</v>
      </c>
      <c r="D83" s="14">
        <v>45365</v>
      </c>
      <c r="E83" t="s">
        <v>44</v>
      </c>
      <c r="F83" t="s">
        <v>42</v>
      </c>
      <c r="G83" t="s">
        <v>46</v>
      </c>
      <c r="H83">
        <v>51674.639999999956</v>
      </c>
      <c r="I83">
        <v>51674.639999999956</v>
      </c>
      <c r="J83">
        <v>0</v>
      </c>
      <c r="K83">
        <v>313.11999999999961</v>
      </c>
      <c r="L83">
        <v>313.11999999999961</v>
      </c>
      <c r="M83">
        <v>0</v>
      </c>
      <c r="N83">
        <v>1121.3000000000004</v>
      </c>
      <c r="O83">
        <v>1121.3000000000004</v>
      </c>
      <c r="P83">
        <v>0</v>
      </c>
      <c r="Q83">
        <v>-17459.93999999997</v>
      </c>
      <c r="R83">
        <v>-17173.939999999973</v>
      </c>
      <c r="S83">
        <v>286</v>
      </c>
      <c r="T83">
        <v>-0.97</v>
      </c>
      <c r="U83">
        <v>-0.97</v>
      </c>
      <c r="V83">
        <v>0</v>
      </c>
      <c r="W83">
        <v>0</v>
      </c>
      <c r="X83">
        <v>0</v>
      </c>
      <c r="Y83">
        <v>0</v>
      </c>
      <c r="Z83">
        <v>35648.149999999994</v>
      </c>
      <c r="AA83">
        <v>35934.15</v>
      </c>
      <c r="AB83">
        <v>286</v>
      </c>
      <c r="AC83">
        <v>9295.8700000000044</v>
      </c>
      <c r="AD83">
        <v>4903.8700000000053</v>
      </c>
      <c r="AE83">
        <v>-4392.0000000000036</v>
      </c>
      <c r="AF83">
        <v>26352.28000000005</v>
      </c>
      <c r="AG83">
        <v>31030.28000000005</v>
      </c>
      <c r="AH83">
        <v>4678.0000000000036</v>
      </c>
      <c r="AI83">
        <v>-1467.4600000000014</v>
      </c>
      <c r="AJ83">
        <v>0</v>
      </c>
      <c r="AK83">
        <v>1467.4600000000014</v>
      </c>
      <c r="AL83">
        <v>27819.739999999994</v>
      </c>
      <c r="AM83">
        <v>31030.28000000005</v>
      </c>
      <c r="AN83">
        <v>3210.5400000000018</v>
      </c>
      <c r="AO83">
        <v>630</v>
      </c>
    </row>
    <row r="84" spans="1:41" x14ac:dyDescent="0.35">
      <c r="A84">
        <v>2024</v>
      </c>
      <c r="B84">
        <v>3</v>
      </c>
      <c r="C84">
        <v>11</v>
      </c>
      <c r="D84" s="14">
        <v>45366</v>
      </c>
      <c r="E84" t="s">
        <v>44</v>
      </c>
      <c r="F84" t="s">
        <v>42</v>
      </c>
      <c r="G84" t="s">
        <v>46</v>
      </c>
      <c r="H84">
        <v>53528.969999999958</v>
      </c>
      <c r="I84">
        <v>53528.969999999958</v>
      </c>
      <c r="J84">
        <v>0</v>
      </c>
      <c r="K84">
        <v>294.2699999999997</v>
      </c>
      <c r="L84">
        <v>294.2699999999997</v>
      </c>
      <c r="M84">
        <v>0</v>
      </c>
      <c r="N84">
        <v>1368.1400000000006</v>
      </c>
      <c r="O84">
        <v>1352.1500000000005</v>
      </c>
      <c r="P84">
        <v>-15.99</v>
      </c>
      <c r="Q84">
        <v>-18554.059999999965</v>
      </c>
      <c r="R84">
        <v>-18279.059999999965</v>
      </c>
      <c r="S84">
        <v>275</v>
      </c>
      <c r="T84">
        <v>-5.97</v>
      </c>
      <c r="U84">
        <v>-5.97</v>
      </c>
      <c r="V84">
        <v>0</v>
      </c>
      <c r="W84">
        <v>-15</v>
      </c>
      <c r="X84">
        <v>-15</v>
      </c>
      <c r="Y84">
        <v>0</v>
      </c>
      <c r="Z84">
        <v>36616.349999999948</v>
      </c>
      <c r="AA84">
        <v>36875.359999999942</v>
      </c>
      <c r="AB84">
        <v>259.01</v>
      </c>
      <c r="AC84">
        <v>9339.5200000000095</v>
      </c>
      <c r="AD84">
        <v>4605.3300000000054</v>
      </c>
      <c r="AE84">
        <v>-4734.1900000000051</v>
      </c>
      <c r="AF84">
        <v>27276.830000000027</v>
      </c>
      <c r="AG84">
        <v>32270.030000000017</v>
      </c>
      <c r="AH84">
        <v>4993.2000000000053</v>
      </c>
      <c r="AI84">
        <v>-1521.6399999999994</v>
      </c>
      <c r="AJ84">
        <v>0</v>
      </c>
      <c r="AK84">
        <v>1521.6399999999994</v>
      </c>
      <c r="AL84">
        <v>28798.469999999983</v>
      </c>
      <c r="AM84">
        <v>32270.030000000017</v>
      </c>
      <c r="AN84">
        <v>3471.5600000000013</v>
      </c>
      <c r="AO84">
        <v>637</v>
      </c>
    </row>
    <row r="85" spans="1:41" x14ac:dyDescent="0.35">
      <c r="A85">
        <v>2024</v>
      </c>
      <c r="B85">
        <v>3</v>
      </c>
      <c r="C85">
        <v>11</v>
      </c>
      <c r="D85" s="14">
        <v>45367</v>
      </c>
      <c r="E85" t="s">
        <v>44</v>
      </c>
      <c r="F85" t="s">
        <v>42</v>
      </c>
      <c r="G85" t="s">
        <v>46</v>
      </c>
      <c r="H85">
        <v>48399.759999999951</v>
      </c>
      <c r="I85">
        <v>48399.759999999951</v>
      </c>
      <c r="J85">
        <v>0</v>
      </c>
      <c r="K85">
        <v>226.97999999999993</v>
      </c>
      <c r="L85">
        <v>226.97999999999993</v>
      </c>
      <c r="M85">
        <v>0</v>
      </c>
      <c r="N85">
        <v>1115.3000000000004</v>
      </c>
      <c r="O85">
        <v>1115.3000000000004</v>
      </c>
      <c r="P85">
        <v>0</v>
      </c>
      <c r="Q85">
        <v>-16624.929999999964</v>
      </c>
      <c r="R85">
        <v>-16326.929999999962</v>
      </c>
      <c r="S85">
        <v>298</v>
      </c>
      <c r="T85">
        <v>-5</v>
      </c>
      <c r="U85">
        <v>-5</v>
      </c>
      <c r="V85">
        <v>0</v>
      </c>
      <c r="W85">
        <v>-10</v>
      </c>
      <c r="X85">
        <v>-10</v>
      </c>
      <c r="Y85">
        <v>0</v>
      </c>
      <c r="Z85">
        <v>33102.109999999986</v>
      </c>
      <c r="AA85">
        <v>33400.109999999993</v>
      </c>
      <c r="AB85">
        <v>298</v>
      </c>
      <c r="AC85">
        <v>8968.3900000000085</v>
      </c>
      <c r="AD85">
        <v>4445.730000000005</v>
      </c>
      <c r="AE85">
        <v>-4522.6600000000044</v>
      </c>
      <c r="AF85">
        <v>24133.72000000003</v>
      </c>
      <c r="AG85">
        <v>28954.380000000008</v>
      </c>
      <c r="AH85">
        <v>4820.6600000000053</v>
      </c>
      <c r="AI85">
        <v>-1512.5700000000015</v>
      </c>
      <c r="AJ85">
        <v>0</v>
      </c>
      <c r="AK85">
        <v>1512.5700000000015</v>
      </c>
      <c r="AL85">
        <v>25646.290000000008</v>
      </c>
      <c r="AM85">
        <v>28954.380000000008</v>
      </c>
      <c r="AN85">
        <v>3308.09</v>
      </c>
      <c r="AO85">
        <v>575</v>
      </c>
    </row>
    <row r="86" spans="1:41" x14ac:dyDescent="0.35">
      <c r="A86">
        <v>2024</v>
      </c>
      <c r="B86">
        <v>3</v>
      </c>
      <c r="C86">
        <v>11</v>
      </c>
      <c r="D86" s="14">
        <v>45361</v>
      </c>
      <c r="E86" t="s">
        <v>44</v>
      </c>
      <c r="F86" t="s">
        <v>47</v>
      </c>
      <c r="G86" t="s">
        <v>48</v>
      </c>
      <c r="H86">
        <v>16493.399999999925</v>
      </c>
      <c r="I86">
        <v>16493.399999999925</v>
      </c>
      <c r="J86">
        <v>0</v>
      </c>
      <c r="K86">
        <v>480.49999999999989</v>
      </c>
      <c r="L86">
        <v>480.49999999999989</v>
      </c>
      <c r="M86">
        <v>0</v>
      </c>
      <c r="N86">
        <v>31.98</v>
      </c>
      <c r="O86">
        <v>31.98</v>
      </c>
      <c r="P86">
        <v>0</v>
      </c>
      <c r="Q86">
        <v>-3637.7500000000041</v>
      </c>
      <c r="R86">
        <v>-3637.7500000000041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13368.129999999981</v>
      </c>
      <c r="AA86">
        <v>13368.129999999981</v>
      </c>
      <c r="AB86">
        <v>0</v>
      </c>
      <c r="AC86">
        <v>65.849999999999994</v>
      </c>
      <c r="AD86">
        <v>29.18</v>
      </c>
      <c r="AE86">
        <v>-36.67</v>
      </c>
      <c r="AF86">
        <v>13302.279999999982</v>
      </c>
      <c r="AG86">
        <v>13338.949999999983</v>
      </c>
      <c r="AH86">
        <v>36.67</v>
      </c>
      <c r="AI86">
        <v>4764.0599999999986</v>
      </c>
      <c r="AJ86">
        <v>0</v>
      </c>
      <c r="AK86">
        <v>-4764.0599999999986</v>
      </c>
      <c r="AL86">
        <v>8538.2199999999757</v>
      </c>
      <c r="AM86">
        <v>13338.949999999983</v>
      </c>
      <c r="AN86">
        <v>4800.7299999999987</v>
      </c>
      <c r="AO86">
        <v>386</v>
      </c>
    </row>
    <row r="87" spans="1:41" x14ac:dyDescent="0.35">
      <c r="A87">
        <v>2024</v>
      </c>
      <c r="B87">
        <v>3</v>
      </c>
      <c r="C87">
        <v>11</v>
      </c>
      <c r="D87" s="14">
        <v>45362</v>
      </c>
      <c r="E87" t="s">
        <v>44</v>
      </c>
      <c r="F87" t="s">
        <v>47</v>
      </c>
      <c r="G87" t="s">
        <v>48</v>
      </c>
      <c r="H87">
        <v>4291.3500000000004</v>
      </c>
      <c r="I87">
        <v>4291.3500000000004</v>
      </c>
      <c r="J87">
        <v>0</v>
      </c>
      <c r="K87">
        <v>42.5</v>
      </c>
      <c r="L87">
        <v>42.5</v>
      </c>
      <c r="M87">
        <v>0</v>
      </c>
      <c r="N87">
        <v>31.98</v>
      </c>
      <c r="O87">
        <v>31.98</v>
      </c>
      <c r="P87">
        <v>0</v>
      </c>
      <c r="Q87">
        <v>-1320.9999999999995</v>
      </c>
      <c r="R87">
        <v>-1320.9999999999995</v>
      </c>
      <c r="S87">
        <v>0</v>
      </c>
      <c r="T87">
        <v>-5</v>
      </c>
      <c r="U87">
        <v>-5</v>
      </c>
      <c r="V87">
        <v>0</v>
      </c>
      <c r="W87">
        <v>0</v>
      </c>
      <c r="X87">
        <v>0</v>
      </c>
      <c r="Y87">
        <v>0</v>
      </c>
      <c r="Z87">
        <v>3039.8300000000008</v>
      </c>
      <c r="AA87">
        <v>3039.8300000000008</v>
      </c>
      <c r="AB87">
        <v>0</v>
      </c>
      <c r="AC87">
        <v>78.06</v>
      </c>
      <c r="AD87">
        <v>48.879999999999995</v>
      </c>
      <c r="AE87">
        <v>-29.18</v>
      </c>
      <c r="AF87">
        <v>2961.7700000000013</v>
      </c>
      <c r="AG87">
        <v>2990.9500000000007</v>
      </c>
      <c r="AH87">
        <v>29.18</v>
      </c>
      <c r="AI87">
        <v>892.6800000000004</v>
      </c>
      <c r="AJ87">
        <v>0</v>
      </c>
      <c r="AK87">
        <v>-892.6800000000004</v>
      </c>
      <c r="AL87">
        <v>2069.0900000000006</v>
      </c>
      <c r="AM87">
        <v>2990.9500000000007</v>
      </c>
      <c r="AN87">
        <v>921.86000000000024</v>
      </c>
      <c r="AO87">
        <v>59</v>
      </c>
    </row>
    <row r="88" spans="1:41" x14ac:dyDescent="0.35">
      <c r="A88">
        <v>2024</v>
      </c>
      <c r="B88">
        <v>3</v>
      </c>
      <c r="C88">
        <v>11</v>
      </c>
      <c r="D88" s="14">
        <v>45363</v>
      </c>
      <c r="E88" t="s">
        <v>44</v>
      </c>
      <c r="F88" t="s">
        <v>47</v>
      </c>
      <c r="G88" t="s">
        <v>48</v>
      </c>
      <c r="H88">
        <v>332.15</v>
      </c>
      <c r="I88">
        <v>332.15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-85</v>
      </c>
      <c r="R88">
        <v>-85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247.15</v>
      </c>
      <c r="AA88">
        <v>247.15</v>
      </c>
      <c r="AB88">
        <v>0</v>
      </c>
      <c r="AC88">
        <v>48.879999999999995</v>
      </c>
      <c r="AE88">
        <v>-48.879999999999995</v>
      </c>
      <c r="AF88">
        <v>198.27</v>
      </c>
      <c r="AG88">
        <v>247.15</v>
      </c>
      <c r="AH88">
        <v>48.88</v>
      </c>
      <c r="AI88">
        <v>22.14</v>
      </c>
      <c r="AJ88">
        <v>0</v>
      </c>
      <c r="AK88">
        <v>-22.14</v>
      </c>
      <c r="AL88">
        <v>176.13</v>
      </c>
      <c r="AM88">
        <v>247.15</v>
      </c>
      <c r="AN88">
        <v>71.02000000000001</v>
      </c>
      <c r="AO88">
        <v>6</v>
      </c>
    </row>
    <row r="89" spans="1:41" x14ac:dyDescent="0.35">
      <c r="A89">
        <v>2024</v>
      </c>
      <c r="B89">
        <v>3</v>
      </c>
      <c r="C89">
        <v>11</v>
      </c>
      <c r="D89" s="14">
        <v>45364</v>
      </c>
      <c r="E89" t="s">
        <v>44</v>
      </c>
      <c r="F89" t="s">
        <v>47</v>
      </c>
      <c r="G89" t="s">
        <v>48</v>
      </c>
      <c r="H89">
        <v>3812.9800000000077</v>
      </c>
      <c r="I89">
        <v>3812.9800000000077</v>
      </c>
      <c r="J89">
        <v>0</v>
      </c>
      <c r="K89">
        <v>394.81999999999994</v>
      </c>
      <c r="L89">
        <v>394.81999999999994</v>
      </c>
      <c r="M89">
        <v>0</v>
      </c>
      <c r="N89">
        <v>0</v>
      </c>
      <c r="O89">
        <v>0</v>
      </c>
      <c r="P89">
        <v>0</v>
      </c>
      <c r="Q89">
        <v>-348.4</v>
      </c>
      <c r="R89">
        <v>-348.4</v>
      </c>
      <c r="S89">
        <v>0</v>
      </c>
      <c r="T89">
        <v>-8.8000000000000007</v>
      </c>
      <c r="U89">
        <v>-8.8000000000000007</v>
      </c>
      <c r="V89">
        <v>0</v>
      </c>
      <c r="W89">
        <v>0</v>
      </c>
      <c r="X89">
        <v>0</v>
      </c>
      <c r="Y89">
        <v>0</v>
      </c>
      <c r="Z89">
        <v>3850.600000000009</v>
      </c>
      <c r="AA89">
        <v>3850.600000000009</v>
      </c>
      <c r="AB89">
        <v>0</v>
      </c>
      <c r="AC89">
        <v>10</v>
      </c>
      <c r="AD89">
        <v>10</v>
      </c>
      <c r="AE89">
        <v>0</v>
      </c>
      <c r="AF89">
        <v>3840.600000000009</v>
      </c>
      <c r="AG89">
        <v>3840.600000000009</v>
      </c>
      <c r="AH89">
        <v>0</v>
      </c>
      <c r="AI89">
        <v>1442.370000000001</v>
      </c>
      <c r="AJ89">
        <v>0</v>
      </c>
      <c r="AK89">
        <v>-1442.370000000001</v>
      </c>
      <c r="AL89">
        <v>2398.2300000000009</v>
      </c>
      <c r="AM89">
        <v>3840.600000000009</v>
      </c>
      <c r="AN89">
        <v>1442.3700000000013</v>
      </c>
      <c r="AO89">
        <v>160</v>
      </c>
    </row>
    <row r="90" spans="1:41" x14ac:dyDescent="0.35">
      <c r="A90">
        <v>2024</v>
      </c>
      <c r="B90">
        <v>3</v>
      </c>
      <c r="C90">
        <v>11</v>
      </c>
      <c r="D90" s="14">
        <v>45365</v>
      </c>
      <c r="E90" t="s">
        <v>44</v>
      </c>
      <c r="F90" t="s">
        <v>47</v>
      </c>
      <c r="G90" t="s">
        <v>48</v>
      </c>
      <c r="H90">
        <v>9228.9500000000044</v>
      </c>
      <c r="I90">
        <v>9228.9500000000044</v>
      </c>
      <c r="J90">
        <v>0</v>
      </c>
      <c r="K90">
        <v>863.60000000000036</v>
      </c>
      <c r="L90">
        <v>863.60000000000036</v>
      </c>
      <c r="M90">
        <v>0</v>
      </c>
      <c r="N90">
        <v>0</v>
      </c>
      <c r="O90">
        <v>0</v>
      </c>
      <c r="P90">
        <v>0</v>
      </c>
      <c r="Q90">
        <v>-1221.3999999999999</v>
      </c>
      <c r="R90">
        <v>-1221.3999999999999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8871.1500000000087</v>
      </c>
      <c r="AA90">
        <v>8871.1500000000087</v>
      </c>
      <c r="AB90">
        <v>0</v>
      </c>
      <c r="AC90">
        <v>65.72</v>
      </c>
      <c r="AD90">
        <v>55.72</v>
      </c>
      <c r="AE90">
        <v>-10</v>
      </c>
      <c r="AF90">
        <v>8805.4300000000076</v>
      </c>
      <c r="AG90">
        <v>8815.4300000000076</v>
      </c>
      <c r="AH90">
        <v>10</v>
      </c>
      <c r="AI90">
        <v>2993.7899999999995</v>
      </c>
      <c r="AJ90">
        <v>0</v>
      </c>
      <c r="AK90">
        <v>-2993.7899999999995</v>
      </c>
      <c r="AL90">
        <v>5811.6400000000031</v>
      </c>
      <c r="AM90">
        <v>8815.4300000000076</v>
      </c>
      <c r="AN90">
        <v>3003.7899999999995</v>
      </c>
      <c r="AO90">
        <v>282</v>
      </c>
    </row>
    <row r="91" spans="1:41" x14ac:dyDescent="0.35">
      <c r="A91">
        <v>2024</v>
      </c>
      <c r="B91">
        <v>3</v>
      </c>
      <c r="C91">
        <v>11</v>
      </c>
      <c r="D91" s="14">
        <v>45366</v>
      </c>
      <c r="E91" t="s">
        <v>44</v>
      </c>
      <c r="F91" t="s">
        <v>47</v>
      </c>
      <c r="G91" t="s">
        <v>48</v>
      </c>
      <c r="H91">
        <v>13432.749999999969</v>
      </c>
      <c r="I91">
        <v>13432.749999999969</v>
      </c>
      <c r="J91">
        <v>0</v>
      </c>
      <c r="K91">
        <v>785.23000000000025</v>
      </c>
      <c r="L91">
        <v>785.23000000000025</v>
      </c>
      <c r="M91">
        <v>0</v>
      </c>
      <c r="N91">
        <v>18.990000000000002</v>
      </c>
      <c r="O91">
        <v>18.990000000000002</v>
      </c>
      <c r="P91">
        <v>0</v>
      </c>
      <c r="Q91">
        <v>-2631.1500000000019</v>
      </c>
      <c r="R91">
        <v>-2631.1500000000019</v>
      </c>
      <c r="S91">
        <v>0</v>
      </c>
      <c r="T91">
        <v>-13</v>
      </c>
      <c r="U91">
        <v>-13</v>
      </c>
      <c r="V91">
        <v>0</v>
      </c>
      <c r="W91">
        <v>0</v>
      </c>
      <c r="X91">
        <v>0</v>
      </c>
      <c r="Y91">
        <v>0</v>
      </c>
      <c r="Z91">
        <v>11592.819999999971</v>
      </c>
      <c r="AA91">
        <v>11592.819999999971</v>
      </c>
      <c r="AB91">
        <v>0</v>
      </c>
      <c r="AC91">
        <v>55.72</v>
      </c>
      <c r="AE91">
        <v>-55.72</v>
      </c>
      <c r="AF91">
        <v>11537.099999999971</v>
      </c>
      <c r="AG91">
        <v>11592.819999999971</v>
      </c>
      <c r="AH91">
        <v>55.719999999999992</v>
      </c>
      <c r="AI91">
        <v>4266.9199999999973</v>
      </c>
      <c r="AJ91">
        <v>0</v>
      </c>
      <c r="AK91">
        <v>-4266.9199999999973</v>
      </c>
      <c r="AL91">
        <v>7270.1800000000094</v>
      </c>
      <c r="AM91">
        <v>11592.819999999971</v>
      </c>
      <c r="AN91">
        <v>4322.6399999999985</v>
      </c>
      <c r="AO91">
        <v>341</v>
      </c>
    </row>
    <row r="92" spans="1:41" x14ac:dyDescent="0.35">
      <c r="A92">
        <v>2024</v>
      </c>
      <c r="B92">
        <v>3</v>
      </c>
      <c r="C92">
        <v>11</v>
      </c>
      <c r="D92" s="14">
        <v>45367</v>
      </c>
      <c r="E92" t="s">
        <v>44</v>
      </c>
      <c r="F92" t="s">
        <v>47</v>
      </c>
      <c r="G92" t="s">
        <v>48</v>
      </c>
      <c r="H92">
        <v>7399.5000000000109</v>
      </c>
      <c r="I92">
        <v>7399.5000000000109</v>
      </c>
      <c r="J92">
        <v>0</v>
      </c>
      <c r="K92">
        <v>455.84999999999991</v>
      </c>
      <c r="L92">
        <v>455.84999999999991</v>
      </c>
      <c r="M92">
        <v>0</v>
      </c>
      <c r="N92">
        <v>15.99</v>
      </c>
      <c r="O92">
        <v>15.99</v>
      </c>
      <c r="P92">
        <v>0</v>
      </c>
      <c r="Q92">
        <v>-1492.6999999999998</v>
      </c>
      <c r="R92">
        <v>-1487.6999999999998</v>
      </c>
      <c r="S92">
        <v>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6378.6400000000076</v>
      </c>
      <c r="AA92">
        <v>6383.6400000000076</v>
      </c>
      <c r="AB92">
        <v>5</v>
      </c>
      <c r="AC92">
        <v>15</v>
      </c>
      <c r="AD92">
        <v>15</v>
      </c>
      <c r="AE92">
        <v>0</v>
      </c>
      <c r="AF92">
        <v>6363.6400000000076</v>
      </c>
      <c r="AG92">
        <v>6368.6400000000076</v>
      </c>
      <c r="AH92">
        <v>5</v>
      </c>
      <c r="AI92">
        <v>2333.7999999999984</v>
      </c>
      <c r="AJ92">
        <v>0</v>
      </c>
      <c r="AK92">
        <v>-2333.7999999999984</v>
      </c>
      <c r="AL92">
        <v>4029.8399999999956</v>
      </c>
      <c r="AM92">
        <v>6368.6400000000076</v>
      </c>
      <c r="AN92">
        <v>2338.7999999999984</v>
      </c>
      <c r="AO92">
        <v>225</v>
      </c>
    </row>
    <row r="93" spans="1:41" x14ac:dyDescent="0.35">
      <c r="A93">
        <v>2024</v>
      </c>
      <c r="B93">
        <v>3</v>
      </c>
      <c r="C93">
        <v>11</v>
      </c>
      <c r="D93" s="14">
        <v>45361</v>
      </c>
      <c r="E93" t="s">
        <v>44</v>
      </c>
      <c r="F93" t="s">
        <v>47</v>
      </c>
      <c r="G93" t="s">
        <v>49</v>
      </c>
      <c r="H93">
        <v>20334.199999999997</v>
      </c>
      <c r="I93">
        <v>20334.199999999997</v>
      </c>
      <c r="J93">
        <v>0</v>
      </c>
      <c r="K93">
        <v>360.99999999999994</v>
      </c>
      <c r="L93">
        <v>360.99999999999994</v>
      </c>
      <c r="M93">
        <v>0</v>
      </c>
      <c r="N93">
        <v>277.86000000000007</v>
      </c>
      <c r="O93">
        <v>277.86000000000007</v>
      </c>
      <c r="P93">
        <v>0</v>
      </c>
      <c r="Q93">
        <v>-6673.15</v>
      </c>
      <c r="R93">
        <v>-6626.15</v>
      </c>
      <c r="S93">
        <v>47</v>
      </c>
      <c r="T93">
        <v>-25</v>
      </c>
      <c r="U93">
        <v>-25</v>
      </c>
      <c r="V93">
        <v>0</v>
      </c>
      <c r="W93">
        <v>-25.990000000000002</v>
      </c>
      <c r="X93">
        <v>-25.990000000000002</v>
      </c>
      <c r="Y93">
        <v>0</v>
      </c>
      <c r="Z93">
        <v>14248.919999999987</v>
      </c>
      <c r="AA93">
        <v>14295.919999999987</v>
      </c>
      <c r="AB93">
        <v>47</v>
      </c>
      <c r="AC93">
        <v>1125.42</v>
      </c>
      <c r="AD93">
        <v>350.58</v>
      </c>
      <c r="AE93">
        <v>-774.83999999999992</v>
      </c>
      <c r="AF93">
        <v>13123.499999999991</v>
      </c>
      <c r="AG93">
        <v>13945.339999999986</v>
      </c>
      <c r="AH93">
        <v>821.83999999999992</v>
      </c>
      <c r="AI93">
        <v>2503.8199999999983</v>
      </c>
      <c r="AJ93">
        <v>48.97</v>
      </c>
      <c r="AK93">
        <v>-2454.8499999999985</v>
      </c>
      <c r="AL93">
        <v>10619.680000000004</v>
      </c>
      <c r="AM93">
        <v>13896.369999999983</v>
      </c>
      <c r="AN93">
        <v>3276.6899999999987</v>
      </c>
      <c r="AO93">
        <v>277</v>
      </c>
    </row>
    <row r="94" spans="1:41" x14ac:dyDescent="0.35">
      <c r="A94">
        <v>2024</v>
      </c>
      <c r="B94">
        <v>3</v>
      </c>
      <c r="C94">
        <v>11</v>
      </c>
      <c r="D94" s="14">
        <v>45362</v>
      </c>
      <c r="E94" t="s">
        <v>44</v>
      </c>
      <c r="F94" t="s">
        <v>47</v>
      </c>
      <c r="G94" t="s">
        <v>49</v>
      </c>
      <c r="H94">
        <v>9871.25</v>
      </c>
      <c r="I94">
        <v>9871.25</v>
      </c>
      <c r="J94">
        <v>0</v>
      </c>
      <c r="K94">
        <v>233.76000000000002</v>
      </c>
      <c r="L94">
        <v>233.76000000000002</v>
      </c>
      <c r="M94">
        <v>0</v>
      </c>
      <c r="N94">
        <v>79.95</v>
      </c>
      <c r="O94">
        <v>79.95</v>
      </c>
      <c r="P94">
        <v>0</v>
      </c>
      <c r="Q94">
        <v>-2457.3999999999987</v>
      </c>
      <c r="R94">
        <v>-2442.3999999999987</v>
      </c>
      <c r="S94">
        <v>15</v>
      </c>
      <c r="T94">
        <v>-19.399999999999999</v>
      </c>
      <c r="U94">
        <v>-19.399999999999999</v>
      </c>
      <c r="V94">
        <v>0</v>
      </c>
      <c r="W94">
        <v>0</v>
      </c>
      <c r="X94">
        <v>0</v>
      </c>
      <c r="Y94">
        <v>0</v>
      </c>
      <c r="Z94">
        <v>7708.1599999999944</v>
      </c>
      <c r="AA94">
        <v>7723.1599999999944</v>
      </c>
      <c r="AB94">
        <v>15</v>
      </c>
      <c r="AC94">
        <v>452.79</v>
      </c>
      <c r="AD94">
        <v>62.34</v>
      </c>
      <c r="AE94">
        <v>-390.45</v>
      </c>
      <c r="AF94">
        <v>7255.3699999999944</v>
      </c>
      <c r="AG94">
        <v>7660.8199999999943</v>
      </c>
      <c r="AH94">
        <v>405.45</v>
      </c>
      <c r="AI94">
        <v>1425.7200000000005</v>
      </c>
      <c r="AJ94">
        <v>75.739999999999995</v>
      </c>
      <c r="AK94">
        <v>-1349.9800000000005</v>
      </c>
      <c r="AL94">
        <v>5829.650000000006</v>
      </c>
      <c r="AM94">
        <v>7585.0799999999945</v>
      </c>
      <c r="AN94">
        <v>1755.4300000000005</v>
      </c>
      <c r="AO94">
        <v>158</v>
      </c>
    </row>
    <row r="95" spans="1:41" x14ac:dyDescent="0.35">
      <c r="A95">
        <v>2024</v>
      </c>
      <c r="B95">
        <v>3</v>
      </c>
      <c r="C95">
        <v>11</v>
      </c>
      <c r="D95" s="14">
        <v>45363</v>
      </c>
      <c r="E95" t="s">
        <v>44</v>
      </c>
      <c r="F95" t="s">
        <v>47</v>
      </c>
      <c r="G95" t="s">
        <v>49</v>
      </c>
      <c r="H95">
        <v>3046</v>
      </c>
      <c r="I95">
        <v>3046</v>
      </c>
      <c r="J95">
        <v>0</v>
      </c>
      <c r="K95">
        <v>3.2800000000000002</v>
      </c>
      <c r="L95">
        <v>3.2800000000000002</v>
      </c>
      <c r="M95">
        <v>0</v>
      </c>
      <c r="N95">
        <v>82.95</v>
      </c>
      <c r="O95">
        <v>82.95</v>
      </c>
      <c r="P95">
        <v>0</v>
      </c>
      <c r="Q95">
        <v>-930.75</v>
      </c>
      <c r="R95">
        <v>-930.75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2201.4800000000005</v>
      </c>
      <c r="AA95">
        <v>2201.4800000000005</v>
      </c>
      <c r="AB95">
        <v>0</v>
      </c>
      <c r="AC95">
        <v>218.09</v>
      </c>
      <c r="AD95">
        <v>155.75</v>
      </c>
      <c r="AE95">
        <v>-62.34</v>
      </c>
      <c r="AF95">
        <v>1983.3900000000003</v>
      </c>
      <c r="AG95">
        <v>2045.7300000000002</v>
      </c>
      <c r="AH95">
        <v>62.339999999999989</v>
      </c>
      <c r="AI95">
        <v>368.53000000000009</v>
      </c>
      <c r="AJ95">
        <v>0</v>
      </c>
      <c r="AK95">
        <v>-368.53000000000009</v>
      </c>
      <c r="AL95">
        <v>1614.8600000000001</v>
      </c>
      <c r="AM95">
        <v>2045.7300000000002</v>
      </c>
      <c r="AN95">
        <v>430.87000000000006</v>
      </c>
      <c r="AO95">
        <v>35</v>
      </c>
    </row>
    <row r="96" spans="1:41" x14ac:dyDescent="0.35">
      <c r="A96">
        <v>2024</v>
      </c>
      <c r="B96">
        <v>3</v>
      </c>
      <c r="C96">
        <v>11</v>
      </c>
      <c r="D96" s="14">
        <v>45364</v>
      </c>
      <c r="E96" t="s">
        <v>44</v>
      </c>
      <c r="F96" t="s">
        <v>47</v>
      </c>
      <c r="G96" t="s">
        <v>49</v>
      </c>
      <c r="H96">
        <v>6417.5499999999993</v>
      </c>
      <c r="I96">
        <v>6417.5499999999993</v>
      </c>
      <c r="J96">
        <v>0</v>
      </c>
      <c r="K96">
        <v>143.16</v>
      </c>
      <c r="L96">
        <v>143.16</v>
      </c>
      <c r="M96">
        <v>0</v>
      </c>
      <c r="N96">
        <v>146.91999999999999</v>
      </c>
      <c r="O96">
        <v>146.91999999999999</v>
      </c>
      <c r="P96">
        <v>0</v>
      </c>
      <c r="Q96">
        <v>-2514.5499999999997</v>
      </c>
      <c r="R96">
        <v>-2504.5499999999997</v>
      </c>
      <c r="S96">
        <v>10</v>
      </c>
      <c r="T96">
        <v>-15</v>
      </c>
      <c r="U96">
        <v>-15</v>
      </c>
      <c r="V96">
        <v>0</v>
      </c>
      <c r="W96">
        <v>0</v>
      </c>
      <c r="X96">
        <v>0</v>
      </c>
      <c r="Y96">
        <v>0</v>
      </c>
      <c r="Z96">
        <v>4178.079999999999</v>
      </c>
      <c r="AA96">
        <v>4188.079999999999</v>
      </c>
      <c r="AB96">
        <v>10</v>
      </c>
      <c r="AC96">
        <v>688.25</v>
      </c>
      <c r="AD96">
        <v>532.5</v>
      </c>
      <c r="AE96">
        <v>-155.75</v>
      </c>
      <c r="AF96">
        <v>3489.83</v>
      </c>
      <c r="AG96">
        <v>3655.5799999999995</v>
      </c>
      <c r="AH96">
        <v>165.75</v>
      </c>
      <c r="AI96">
        <v>23.039999999999967</v>
      </c>
      <c r="AJ96">
        <v>0</v>
      </c>
      <c r="AK96">
        <v>-23.039999999999967</v>
      </c>
      <c r="AL96">
        <v>3466.7899999999991</v>
      </c>
      <c r="AM96">
        <v>3655.5799999999995</v>
      </c>
      <c r="AN96">
        <v>188.79000000000002</v>
      </c>
      <c r="AO96">
        <v>76</v>
      </c>
    </row>
    <row r="97" spans="1:41" x14ac:dyDescent="0.35">
      <c r="A97">
        <v>2024</v>
      </c>
      <c r="B97">
        <v>3</v>
      </c>
      <c r="C97">
        <v>11</v>
      </c>
      <c r="D97" s="14">
        <v>45365</v>
      </c>
      <c r="E97" t="s">
        <v>44</v>
      </c>
      <c r="F97" t="s">
        <v>47</v>
      </c>
      <c r="G97" t="s">
        <v>49</v>
      </c>
      <c r="H97">
        <v>16496.099999999999</v>
      </c>
      <c r="I97">
        <v>16496.099999999999</v>
      </c>
      <c r="J97">
        <v>0</v>
      </c>
      <c r="K97">
        <v>262.95999999999998</v>
      </c>
      <c r="L97">
        <v>262.95999999999998</v>
      </c>
      <c r="M97">
        <v>0</v>
      </c>
      <c r="N97">
        <v>240.85000000000005</v>
      </c>
      <c r="O97">
        <v>240.85000000000005</v>
      </c>
      <c r="P97">
        <v>0</v>
      </c>
      <c r="Q97">
        <v>-6466.6399999999994</v>
      </c>
      <c r="R97">
        <v>-6445.6399999999994</v>
      </c>
      <c r="S97">
        <v>21</v>
      </c>
      <c r="T97">
        <v>-25</v>
      </c>
      <c r="U97">
        <v>-25</v>
      </c>
      <c r="V97">
        <v>0</v>
      </c>
      <c r="W97">
        <v>-5</v>
      </c>
      <c r="X97">
        <v>-5</v>
      </c>
      <c r="Y97">
        <v>0</v>
      </c>
      <c r="Z97">
        <v>10503.270000000008</v>
      </c>
      <c r="AA97">
        <v>10524.270000000008</v>
      </c>
      <c r="AB97">
        <v>21</v>
      </c>
      <c r="AC97">
        <v>1074.77</v>
      </c>
      <c r="AD97">
        <v>542.2700000000001</v>
      </c>
      <c r="AE97">
        <v>-532.5</v>
      </c>
      <c r="AF97">
        <v>9428.4999999999945</v>
      </c>
      <c r="AG97">
        <v>9982.0000000000036</v>
      </c>
      <c r="AH97">
        <v>553.5</v>
      </c>
      <c r="AI97">
        <v>1631.4000000000005</v>
      </c>
      <c r="AJ97">
        <v>0</v>
      </c>
      <c r="AK97">
        <v>-1631.4000000000005</v>
      </c>
      <c r="AL97">
        <v>7797.0999999999976</v>
      </c>
      <c r="AM97">
        <v>9982.0000000000036</v>
      </c>
      <c r="AN97">
        <v>2184.900000000001</v>
      </c>
      <c r="AO97">
        <v>196</v>
      </c>
    </row>
    <row r="98" spans="1:41" x14ac:dyDescent="0.35">
      <c r="A98">
        <v>2024</v>
      </c>
      <c r="B98">
        <v>3</v>
      </c>
      <c r="C98">
        <v>11</v>
      </c>
      <c r="D98" s="14">
        <v>45366</v>
      </c>
      <c r="E98" t="s">
        <v>44</v>
      </c>
      <c r="F98" t="s">
        <v>47</v>
      </c>
      <c r="G98" t="s">
        <v>49</v>
      </c>
      <c r="H98">
        <v>18292.999999999982</v>
      </c>
      <c r="I98">
        <v>18292.999999999982</v>
      </c>
      <c r="J98">
        <v>0</v>
      </c>
      <c r="K98">
        <v>168.13000000000005</v>
      </c>
      <c r="L98">
        <v>168.13000000000005</v>
      </c>
      <c r="M98">
        <v>0</v>
      </c>
      <c r="N98">
        <v>181.89000000000004</v>
      </c>
      <c r="O98">
        <v>181.89000000000004</v>
      </c>
      <c r="P98">
        <v>0</v>
      </c>
      <c r="Q98">
        <v>-6568.340000000002</v>
      </c>
      <c r="R98">
        <v>-6533.340000000002</v>
      </c>
      <c r="S98">
        <v>35</v>
      </c>
      <c r="T98">
        <v>-15</v>
      </c>
      <c r="U98">
        <v>-15</v>
      </c>
      <c r="V98">
        <v>0</v>
      </c>
      <c r="W98">
        <v>0</v>
      </c>
      <c r="X98">
        <v>0</v>
      </c>
      <c r="Y98">
        <v>0</v>
      </c>
      <c r="Z98">
        <v>12059.679999999982</v>
      </c>
      <c r="AA98">
        <v>12094.679999999982</v>
      </c>
      <c r="AB98">
        <v>35</v>
      </c>
      <c r="AC98">
        <v>764.68999999999994</v>
      </c>
      <c r="AD98">
        <v>211.59</v>
      </c>
      <c r="AE98">
        <v>-553.1</v>
      </c>
      <c r="AF98">
        <v>11294.989999999996</v>
      </c>
      <c r="AG98">
        <v>11883.089999999984</v>
      </c>
      <c r="AH98">
        <v>588.1</v>
      </c>
      <c r="AI98">
        <v>2559.2799999999984</v>
      </c>
      <c r="AJ98">
        <v>8.6</v>
      </c>
      <c r="AK98">
        <v>-2550.6799999999985</v>
      </c>
      <c r="AL98">
        <v>8735.7099999999973</v>
      </c>
      <c r="AM98">
        <v>11874.489999999985</v>
      </c>
      <c r="AN98">
        <v>3138.7799999999988</v>
      </c>
      <c r="AO98">
        <v>274</v>
      </c>
    </row>
    <row r="99" spans="1:41" x14ac:dyDescent="0.35">
      <c r="A99">
        <v>2024</v>
      </c>
      <c r="B99">
        <v>3</v>
      </c>
      <c r="C99">
        <v>11</v>
      </c>
      <c r="D99" s="14">
        <v>45367</v>
      </c>
      <c r="E99" t="s">
        <v>44</v>
      </c>
      <c r="F99" t="s">
        <v>47</v>
      </c>
      <c r="G99" t="s">
        <v>49</v>
      </c>
      <c r="H99">
        <v>11616.599999999993</v>
      </c>
      <c r="I99">
        <v>11616.599999999993</v>
      </c>
      <c r="J99">
        <v>0</v>
      </c>
      <c r="K99">
        <v>173.59</v>
      </c>
      <c r="L99">
        <v>173.59</v>
      </c>
      <c r="M99">
        <v>0</v>
      </c>
      <c r="N99">
        <v>165.9</v>
      </c>
      <c r="O99">
        <v>165.9</v>
      </c>
      <c r="P99">
        <v>0</v>
      </c>
      <c r="Q99">
        <v>-4060.2899999999977</v>
      </c>
      <c r="R99">
        <v>-4033.2899999999977</v>
      </c>
      <c r="S99">
        <v>27</v>
      </c>
      <c r="T99">
        <v>-26</v>
      </c>
      <c r="U99">
        <v>-26</v>
      </c>
      <c r="V99">
        <v>0</v>
      </c>
      <c r="W99">
        <v>0</v>
      </c>
      <c r="X99">
        <v>0</v>
      </c>
      <c r="Y99">
        <v>0</v>
      </c>
      <c r="Z99">
        <v>7869.8000000000029</v>
      </c>
      <c r="AA99">
        <v>7896.8000000000029</v>
      </c>
      <c r="AB99">
        <v>27</v>
      </c>
      <c r="AC99">
        <v>359.52000000000004</v>
      </c>
      <c r="AD99">
        <v>147.93</v>
      </c>
      <c r="AE99">
        <v>-211.59</v>
      </c>
      <c r="AF99">
        <v>7510.2800000000025</v>
      </c>
      <c r="AG99">
        <v>7748.8700000000026</v>
      </c>
      <c r="AH99">
        <v>238.59</v>
      </c>
      <c r="AI99">
        <v>1589.819999999999</v>
      </c>
      <c r="AJ99">
        <v>0</v>
      </c>
      <c r="AK99">
        <v>-1589.819999999999</v>
      </c>
      <c r="AL99">
        <v>5920.4600000000019</v>
      </c>
      <c r="AM99">
        <v>7748.8700000000026</v>
      </c>
      <c r="AN99">
        <v>1828.4099999999987</v>
      </c>
      <c r="AO99">
        <v>164</v>
      </c>
    </row>
    <row r="100" spans="1:41" x14ac:dyDescent="0.35">
      <c r="A100">
        <v>2024</v>
      </c>
      <c r="B100">
        <v>3</v>
      </c>
      <c r="C100">
        <v>11</v>
      </c>
      <c r="D100" s="14">
        <v>45361</v>
      </c>
      <c r="E100" t="s">
        <v>44</v>
      </c>
      <c r="F100" t="s">
        <v>47</v>
      </c>
      <c r="G100" t="s">
        <v>50</v>
      </c>
      <c r="H100">
        <v>37406.97</v>
      </c>
      <c r="I100">
        <v>37406.97</v>
      </c>
      <c r="J100">
        <v>0</v>
      </c>
      <c r="K100">
        <v>715.07000000000062</v>
      </c>
      <c r="L100">
        <v>715.07000000000062</v>
      </c>
      <c r="M100">
        <v>0</v>
      </c>
      <c r="N100">
        <v>1426.1200000000006</v>
      </c>
      <c r="O100">
        <v>1426.1200000000006</v>
      </c>
      <c r="P100">
        <v>0</v>
      </c>
      <c r="Q100">
        <v>-11719.34</v>
      </c>
      <c r="R100">
        <v>-11492.34</v>
      </c>
      <c r="S100">
        <v>227</v>
      </c>
      <c r="T100">
        <v>-75</v>
      </c>
      <c r="U100">
        <v>-75</v>
      </c>
      <c r="V100">
        <v>0</v>
      </c>
      <c r="W100">
        <v>-35</v>
      </c>
      <c r="X100">
        <v>-35</v>
      </c>
      <c r="Y100">
        <v>0</v>
      </c>
      <c r="Z100">
        <v>27718.820000000032</v>
      </c>
      <c r="AA100">
        <v>27945.820000000036</v>
      </c>
      <c r="AB100">
        <v>227</v>
      </c>
      <c r="AC100">
        <v>5519.7400000000071</v>
      </c>
      <c r="AD100">
        <v>2881.220000000003</v>
      </c>
      <c r="AE100">
        <v>-2638.5200000000018</v>
      </c>
      <c r="AF100">
        <v>22199.080000000031</v>
      </c>
      <c r="AG100">
        <v>25064.600000000042</v>
      </c>
      <c r="AH100">
        <v>2865.5200000000027</v>
      </c>
      <c r="AI100">
        <v>-1476.8499999999988</v>
      </c>
      <c r="AJ100">
        <v>0</v>
      </c>
      <c r="AK100">
        <v>1476.8499999999988</v>
      </c>
      <c r="AL100">
        <v>23675.930000000015</v>
      </c>
      <c r="AM100">
        <v>25064.600000000042</v>
      </c>
      <c r="AN100">
        <v>1388.6700000000008</v>
      </c>
      <c r="AO100">
        <v>422</v>
      </c>
    </row>
    <row r="101" spans="1:41" x14ac:dyDescent="0.35">
      <c r="A101">
        <v>2024</v>
      </c>
      <c r="B101">
        <v>3</v>
      </c>
      <c r="C101">
        <v>11</v>
      </c>
      <c r="D101" s="14">
        <v>45362</v>
      </c>
      <c r="E101" t="s">
        <v>44</v>
      </c>
      <c r="F101" t="s">
        <v>47</v>
      </c>
      <c r="G101" t="s">
        <v>50</v>
      </c>
      <c r="H101">
        <v>38861.57</v>
      </c>
      <c r="I101">
        <v>38861.57</v>
      </c>
      <c r="J101">
        <v>0</v>
      </c>
      <c r="K101">
        <v>584.77000000000112</v>
      </c>
      <c r="L101">
        <v>584.77000000000112</v>
      </c>
      <c r="M101">
        <v>0</v>
      </c>
      <c r="N101">
        <v>1223.2400000000005</v>
      </c>
      <c r="O101">
        <v>1223.2400000000005</v>
      </c>
      <c r="P101">
        <v>0</v>
      </c>
      <c r="Q101">
        <v>-11900.24</v>
      </c>
      <c r="R101">
        <v>-11624.24</v>
      </c>
      <c r="S101">
        <v>276</v>
      </c>
      <c r="T101">
        <v>-60</v>
      </c>
      <c r="U101">
        <v>-60</v>
      </c>
      <c r="V101">
        <v>0</v>
      </c>
      <c r="W101">
        <v>-25.990000000000002</v>
      </c>
      <c r="X101">
        <v>-25.990000000000002</v>
      </c>
      <c r="Y101">
        <v>0</v>
      </c>
      <c r="Z101">
        <v>28683.350000000009</v>
      </c>
      <c r="AA101">
        <v>28959.350000000009</v>
      </c>
      <c r="AB101">
        <v>276</v>
      </c>
      <c r="AC101">
        <v>6164.7400000000071</v>
      </c>
      <c r="AD101">
        <v>3364.9400000000014</v>
      </c>
      <c r="AE101">
        <v>-2799.800000000002</v>
      </c>
      <c r="AF101">
        <v>22518.610000000026</v>
      </c>
      <c r="AG101">
        <v>25594.410000000011</v>
      </c>
      <c r="AH101">
        <v>3075.8000000000029</v>
      </c>
      <c r="AI101">
        <v>-1739.5899999999995</v>
      </c>
      <c r="AJ101">
        <v>0</v>
      </c>
      <c r="AK101">
        <v>1739.5899999999995</v>
      </c>
      <c r="AL101">
        <v>24258.200000000019</v>
      </c>
      <c r="AM101">
        <v>25594.410000000011</v>
      </c>
      <c r="AN101">
        <v>1336.2100000000007</v>
      </c>
      <c r="AO101">
        <v>428</v>
      </c>
    </row>
    <row r="102" spans="1:41" x14ac:dyDescent="0.35">
      <c r="A102">
        <v>2024</v>
      </c>
      <c r="B102">
        <v>3</v>
      </c>
      <c r="C102">
        <v>11</v>
      </c>
      <c r="D102" s="14">
        <v>45363</v>
      </c>
      <c r="E102" t="s">
        <v>44</v>
      </c>
      <c r="F102" t="s">
        <v>47</v>
      </c>
      <c r="G102" t="s">
        <v>50</v>
      </c>
      <c r="H102">
        <v>34221.82</v>
      </c>
      <c r="I102">
        <v>34221.82</v>
      </c>
      <c r="J102">
        <v>0</v>
      </c>
      <c r="K102">
        <v>435.3499999999994</v>
      </c>
      <c r="L102">
        <v>435.3499999999994</v>
      </c>
      <c r="M102">
        <v>0</v>
      </c>
      <c r="N102">
        <v>734.56000000000029</v>
      </c>
      <c r="O102">
        <v>734.56000000000029</v>
      </c>
      <c r="P102">
        <v>0</v>
      </c>
      <c r="Q102">
        <v>-10527.45</v>
      </c>
      <c r="R102">
        <v>-10284.450000000001</v>
      </c>
      <c r="S102">
        <v>243</v>
      </c>
      <c r="T102">
        <v>-60</v>
      </c>
      <c r="U102">
        <v>-60</v>
      </c>
      <c r="V102">
        <v>0</v>
      </c>
      <c r="W102">
        <v>-20.990000000000002</v>
      </c>
      <c r="X102">
        <v>-20.990000000000002</v>
      </c>
      <c r="Y102">
        <v>0</v>
      </c>
      <c r="Z102">
        <v>24783.289999999997</v>
      </c>
      <c r="AA102">
        <v>25026.29</v>
      </c>
      <c r="AB102">
        <v>243</v>
      </c>
      <c r="AC102">
        <v>5462.6900000000051</v>
      </c>
      <c r="AD102">
        <v>2166.1300000000006</v>
      </c>
      <c r="AE102">
        <v>-3296.5600000000027</v>
      </c>
      <c r="AF102">
        <v>19320.610000000008</v>
      </c>
      <c r="AG102">
        <v>22860.170000000009</v>
      </c>
      <c r="AH102">
        <v>3539.5600000000027</v>
      </c>
      <c r="AI102">
        <v>-1173.6799999999994</v>
      </c>
      <c r="AJ102">
        <v>0</v>
      </c>
      <c r="AK102">
        <v>1173.6799999999994</v>
      </c>
      <c r="AL102">
        <v>20494.290000000005</v>
      </c>
      <c r="AM102">
        <v>22860.170000000009</v>
      </c>
      <c r="AN102">
        <v>2365.88</v>
      </c>
      <c r="AO102">
        <v>371</v>
      </c>
    </row>
    <row r="103" spans="1:41" x14ac:dyDescent="0.35">
      <c r="A103">
        <v>2024</v>
      </c>
      <c r="B103">
        <v>3</v>
      </c>
      <c r="C103">
        <v>11</v>
      </c>
      <c r="D103" s="14">
        <v>45364</v>
      </c>
      <c r="E103" t="s">
        <v>44</v>
      </c>
      <c r="F103" t="s">
        <v>47</v>
      </c>
      <c r="G103" t="s">
        <v>50</v>
      </c>
      <c r="H103">
        <v>32359.449999999997</v>
      </c>
      <c r="I103">
        <v>32359.449999999997</v>
      </c>
      <c r="J103">
        <v>0</v>
      </c>
      <c r="K103">
        <v>444.42999999999927</v>
      </c>
      <c r="L103">
        <v>444.42999999999927</v>
      </c>
      <c r="M103">
        <v>0</v>
      </c>
      <c r="N103">
        <v>826.51000000000033</v>
      </c>
      <c r="O103">
        <v>826.51000000000033</v>
      </c>
      <c r="P103">
        <v>0</v>
      </c>
      <c r="Q103">
        <v>-9772.31</v>
      </c>
      <c r="R103">
        <v>-9545.31</v>
      </c>
      <c r="S103">
        <v>227</v>
      </c>
      <c r="T103">
        <v>-25</v>
      </c>
      <c r="U103">
        <v>-25</v>
      </c>
      <c r="V103">
        <v>0</v>
      </c>
      <c r="W103">
        <v>-45</v>
      </c>
      <c r="X103">
        <v>-45</v>
      </c>
      <c r="Y103">
        <v>0</v>
      </c>
      <c r="Z103">
        <v>23788.079999999998</v>
      </c>
      <c r="AA103">
        <v>24015.079999999998</v>
      </c>
      <c r="AB103">
        <v>227</v>
      </c>
      <c r="AC103">
        <v>4837.9400000000032</v>
      </c>
      <c r="AD103">
        <v>2756.8100000000013</v>
      </c>
      <c r="AE103">
        <v>-2081.130000000001</v>
      </c>
      <c r="AF103">
        <v>18950.140000000007</v>
      </c>
      <c r="AG103">
        <v>21258.27</v>
      </c>
      <c r="AH103">
        <v>2308.130000000001</v>
      </c>
      <c r="AI103">
        <v>-1517.5699999999995</v>
      </c>
      <c r="AJ103">
        <v>0</v>
      </c>
      <c r="AK103">
        <v>1517.5699999999995</v>
      </c>
      <c r="AL103">
        <v>20467.709999999981</v>
      </c>
      <c r="AM103">
        <v>21258.27</v>
      </c>
      <c r="AN103">
        <v>790.55999999999904</v>
      </c>
      <c r="AO103">
        <v>357</v>
      </c>
    </row>
    <row r="104" spans="1:41" x14ac:dyDescent="0.35">
      <c r="A104">
        <v>2024</v>
      </c>
      <c r="B104">
        <v>3</v>
      </c>
      <c r="C104">
        <v>11</v>
      </c>
      <c r="D104" s="14">
        <v>45365</v>
      </c>
      <c r="E104" t="s">
        <v>44</v>
      </c>
      <c r="F104" t="s">
        <v>47</v>
      </c>
      <c r="G104" t="s">
        <v>50</v>
      </c>
      <c r="H104">
        <v>31466.149999999998</v>
      </c>
      <c r="I104">
        <v>31466.149999999998</v>
      </c>
      <c r="J104">
        <v>0</v>
      </c>
      <c r="K104">
        <v>626.32000000000028</v>
      </c>
      <c r="L104">
        <v>626.32000000000028</v>
      </c>
      <c r="M104">
        <v>0</v>
      </c>
      <c r="N104">
        <v>1092.3000000000004</v>
      </c>
      <c r="O104">
        <v>1092.3000000000004</v>
      </c>
      <c r="P104">
        <v>0</v>
      </c>
      <c r="Q104">
        <v>-9704.7000000000007</v>
      </c>
      <c r="R104">
        <v>-9404.7000000000007</v>
      </c>
      <c r="S104">
        <v>300</v>
      </c>
      <c r="T104">
        <v>-30.75</v>
      </c>
      <c r="U104">
        <v>-30.75</v>
      </c>
      <c r="V104">
        <v>0</v>
      </c>
      <c r="W104">
        <v>-30</v>
      </c>
      <c r="X104">
        <v>-30</v>
      </c>
      <c r="Y104">
        <v>0</v>
      </c>
      <c r="Z104">
        <v>23419.320000000018</v>
      </c>
      <c r="AA104">
        <v>23719.320000000018</v>
      </c>
      <c r="AB104">
        <v>300</v>
      </c>
      <c r="AC104">
        <v>5025.4800000000059</v>
      </c>
      <c r="AD104">
        <v>2360.2200000000012</v>
      </c>
      <c r="AE104">
        <v>-2665.260000000002</v>
      </c>
      <c r="AF104">
        <v>18393.840000000026</v>
      </c>
      <c r="AG104">
        <v>21359.100000000017</v>
      </c>
      <c r="AH104">
        <v>2965.2600000000029</v>
      </c>
      <c r="AI104">
        <v>-1192.9799999999998</v>
      </c>
      <c r="AJ104">
        <v>0</v>
      </c>
      <c r="AK104">
        <v>1192.9799999999998</v>
      </c>
      <c r="AL104">
        <v>19586.820000000022</v>
      </c>
      <c r="AM104">
        <v>21359.100000000017</v>
      </c>
      <c r="AN104">
        <v>1772.2799999999995</v>
      </c>
      <c r="AO104">
        <v>358</v>
      </c>
    </row>
    <row r="105" spans="1:41" x14ac:dyDescent="0.35">
      <c r="A105">
        <v>2024</v>
      </c>
      <c r="B105">
        <v>3</v>
      </c>
      <c r="C105">
        <v>11</v>
      </c>
      <c r="D105" s="14">
        <v>45366</v>
      </c>
      <c r="E105" t="s">
        <v>44</v>
      </c>
      <c r="F105" t="s">
        <v>47</v>
      </c>
      <c r="G105" t="s">
        <v>50</v>
      </c>
      <c r="H105">
        <v>31409.3</v>
      </c>
      <c r="I105">
        <v>31409.3</v>
      </c>
      <c r="J105">
        <v>0</v>
      </c>
      <c r="K105">
        <v>763.11000000000115</v>
      </c>
      <c r="L105">
        <v>763.11000000000115</v>
      </c>
      <c r="M105">
        <v>0</v>
      </c>
      <c r="N105">
        <v>1274.2300000000005</v>
      </c>
      <c r="O105">
        <v>1274.2300000000005</v>
      </c>
      <c r="P105">
        <v>0</v>
      </c>
      <c r="Q105">
        <v>-9882.1</v>
      </c>
      <c r="R105">
        <v>-9646.1</v>
      </c>
      <c r="S105">
        <v>236</v>
      </c>
      <c r="T105">
        <v>-61.7</v>
      </c>
      <c r="U105">
        <v>-61.7</v>
      </c>
      <c r="V105">
        <v>0</v>
      </c>
      <c r="W105">
        <v>-30</v>
      </c>
      <c r="X105">
        <v>-30</v>
      </c>
      <c r="Y105">
        <v>0</v>
      </c>
      <c r="Z105">
        <v>23472.839999999997</v>
      </c>
      <c r="AA105">
        <v>23708.84</v>
      </c>
      <c r="AB105">
        <v>236</v>
      </c>
      <c r="AC105">
        <v>5413.2800000000061</v>
      </c>
      <c r="AD105">
        <v>3046.3900000000026</v>
      </c>
      <c r="AE105">
        <v>-2366.8900000000003</v>
      </c>
      <c r="AF105">
        <v>18059.560000000001</v>
      </c>
      <c r="AG105">
        <v>20662.450000000004</v>
      </c>
      <c r="AH105">
        <v>2602.8900000000008</v>
      </c>
      <c r="AI105">
        <v>-1586.59</v>
      </c>
      <c r="AJ105">
        <v>0</v>
      </c>
      <c r="AK105">
        <v>1586.59</v>
      </c>
      <c r="AL105">
        <v>19646.150000000016</v>
      </c>
      <c r="AM105">
        <v>20662.450000000004</v>
      </c>
      <c r="AN105">
        <v>1016.3000000000001</v>
      </c>
      <c r="AO105">
        <v>365</v>
      </c>
    </row>
    <row r="106" spans="1:41" x14ac:dyDescent="0.35">
      <c r="A106">
        <v>2024</v>
      </c>
      <c r="B106">
        <v>3</v>
      </c>
      <c r="C106">
        <v>11</v>
      </c>
      <c r="D106" s="14">
        <v>45367</v>
      </c>
      <c r="E106" t="s">
        <v>44</v>
      </c>
      <c r="F106" t="s">
        <v>47</v>
      </c>
      <c r="G106" t="s">
        <v>50</v>
      </c>
      <c r="H106">
        <v>33679.25</v>
      </c>
      <c r="I106">
        <v>33679.25</v>
      </c>
      <c r="J106">
        <v>0</v>
      </c>
      <c r="K106">
        <v>627.80000000000064</v>
      </c>
      <c r="L106">
        <v>627.80000000000064</v>
      </c>
      <c r="M106">
        <v>0</v>
      </c>
      <c r="N106">
        <v>1152.2700000000004</v>
      </c>
      <c r="O106">
        <v>1152.2700000000004</v>
      </c>
      <c r="P106">
        <v>0</v>
      </c>
      <c r="Q106">
        <v>-10772.5</v>
      </c>
      <c r="R106">
        <v>-10510.5</v>
      </c>
      <c r="S106">
        <v>262</v>
      </c>
      <c r="T106">
        <v>-55.95</v>
      </c>
      <c r="U106">
        <v>-55.95</v>
      </c>
      <c r="V106">
        <v>0</v>
      </c>
      <c r="W106">
        <v>-20</v>
      </c>
      <c r="X106">
        <v>-20</v>
      </c>
      <c r="Y106">
        <v>0</v>
      </c>
      <c r="Z106">
        <v>24610.87</v>
      </c>
      <c r="AA106">
        <v>24872.870000000003</v>
      </c>
      <c r="AB106">
        <v>262</v>
      </c>
      <c r="AC106">
        <v>5835.4600000000055</v>
      </c>
      <c r="AD106">
        <v>2864.070000000002</v>
      </c>
      <c r="AE106">
        <v>-2971.3900000000017</v>
      </c>
      <c r="AF106">
        <v>18775.410000000011</v>
      </c>
      <c r="AG106">
        <v>22008.800000000003</v>
      </c>
      <c r="AH106">
        <v>3233.3900000000021</v>
      </c>
      <c r="AI106">
        <v>-1429.8800000000003</v>
      </c>
      <c r="AJ106">
        <v>0</v>
      </c>
      <c r="AK106">
        <v>1429.8800000000003</v>
      </c>
      <c r="AL106">
        <v>20205.29</v>
      </c>
      <c r="AM106">
        <v>22008.800000000003</v>
      </c>
      <c r="AN106">
        <v>1803.5099999999995</v>
      </c>
      <c r="AO106">
        <v>389</v>
      </c>
    </row>
    <row r="107" spans="1:41" x14ac:dyDescent="0.35">
      <c r="A107">
        <v>2024</v>
      </c>
      <c r="B107">
        <v>3</v>
      </c>
      <c r="C107">
        <v>11</v>
      </c>
      <c r="D107" s="14">
        <v>45361</v>
      </c>
      <c r="E107" t="s">
        <v>44</v>
      </c>
      <c r="F107" t="s">
        <v>47</v>
      </c>
      <c r="G107" t="s">
        <v>51</v>
      </c>
      <c r="H107">
        <v>3824.4000000000005</v>
      </c>
      <c r="I107">
        <v>3824.4000000000005</v>
      </c>
      <c r="J107">
        <v>0</v>
      </c>
      <c r="K107">
        <v>10</v>
      </c>
      <c r="L107">
        <v>10</v>
      </c>
      <c r="M107">
        <v>0</v>
      </c>
      <c r="N107">
        <v>63.96</v>
      </c>
      <c r="O107">
        <v>63.96</v>
      </c>
      <c r="P107">
        <v>0</v>
      </c>
      <c r="Q107">
        <v>-859.49999999999989</v>
      </c>
      <c r="R107">
        <v>-859.49999999999989</v>
      </c>
      <c r="S107">
        <v>0</v>
      </c>
      <c r="T107">
        <v>-4</v>
      </c>
      <c r="U107">
        <v>-4</v>
      </c>
      <c r="V107">
        <v>0</v>
      </c>
      <c r="W107">
        <v>0</v>
      </c>
      <c r="X107">
        <v>0</v>
      </c>
      <c r="Y107">
        <v>0</v>
      </c>
      <c r="Z107">
        <v>3034.86</v>
      </c>
      <c r="AA107">
        <v>3034.86</v>
      </c>
      <c r="AB107">
        <v>0</v>
      </c>
      <c r="AC107">
        <v>176.67000000000002</v>
      </c>
      <c r="AD107">
        <v>161.67000000000002</v>
      </c>
      <c r="AE107">
        <v>-15</v>
      </c>
      <c r="AF107">
        <v>2858.19</v>
      </c>
      <c r="AG107">
        <v>2873.19</v>
      </c>
      <c r="AH107">
        <v>15</v>
      </c>
      <c r="AI107">
        <v>587.06000000000006</v>
      </c>
      <c r="AJ107">
        <v>0</v>
      </c>
      <c r="AK107">
        <v>-587.06000000000006</v>
      </c>
      <c r="AL107">
        <v>2271.1299999999997</v>
      </c>
      <c r="AM107">
        <v>2873.19</v>
      </c>
      <c r="AN107">
        <v>602.06000000000017</v>
      </c>
      <c r="AO107">
        <v>66</v>
      </c>
    </row>
    <row r="108" spans="1:41" x14ac:dyDescent="0.35">
      <c r="A108">
        <v>2024</v>
      </c>
      <c r="B108">
        <v>3</v>
      </c>
      <c r="C108">
        <v>11</v>
      </c>
      <c r="D108" s="14">
        <v>45362</v>
      </c>
      <c r="E108" t="s">
        <v>44</v>
      </c>
      <c r="F108" t="s">
        <v>47</v>
      </c>
      <c r="G108" t="s">
        <v>51</v>
      </c>
      <c r="H108">
        <v>2559.25</v>
      </c>
      <c r="I108">
        <v>2559.25</v>
      </c>
      <c r="J108">
        <v>0</v>
      </c>
      <c r="K108">
        <v>10.950000000000001</v>
      </c>
      <c r="L108">
        <v>10.950000000000001</v>
      </c>
      <c r="M108">
        <v>0</v>
      </c>
      <c r="N108">
        <v>47.97</v>
      </c>
      <c r="O108">
        <v>47.97</v>
      </c>
      <c r="P108">
        <v>0</v>
      </c>
      <c r="Q108">
        <v>-625.74999999999989</v>
      </c>
      <c r="R108">
        <v>-625.74999999999989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1992.4199999999998</v>
      </c>
      <c r="AA108">
        <v>1992.4199999999998</v>
      </c>
      <c r="AB108">
        <v>0</v>
      </c>
      <c r="AC108">
        <v>196.5</v>
      </c>
      <c r="AD108">
        <v>61.5</v>
      </c>
      <c r="AE108">
        <v>-135</v>
      </c>
      <c r="AF108">
        <v>1795.9199999999998</v>
      </c>
      <c r="AG108">
        <v>1930.9199999999998</v>
      </c>
      <c r="AH108">
        <v>134.99999999999997</v>
      </c>
      <c r="AI108">
        <v>213.89000000000004</v>
      </c>
      <c r="AJ108">
        <v>0</v>
      </c>
      <c r="AK108">
        <v>-213.89000000000004</v>
      </c>
      <c r="AL108">
        <v>1582.0300000000004</v>
      </c>
      <c r="AM108">
        <v>1930.9199999999998</v>
      </c>
      <c r="AN108">
        <v>348.89000000000004</v>
      </c>
      <c r="AO108">
        <v>41</v>
      </c>
    </row>
    <row r="109" spans="1:41" x14ac:dyDescent="0.35">
      <c r="A109">
        <v>2024</v>
      </c>
      <c r="B109">
        <v>3</v>
      </c>
      <c r="C109">
        <v>11</v>
      </c>
      <c r="D109" s="14">
        <v>45363</v>
      </c>
      <c r="E109" t="s">
        <v>44</v>
      </c>
      <c r="F109" t="s">
        <v>47</v>
      </c>
      <c r="G109" t="s">
        <v>51</v>
      </c>
      <c r="H109">
        <v>906</v>
      </c>
      <c r="I109">
        <v>906</v>
      </c>
      <c r="J109">
        <v>0</v>
      </c>
      <c r="K109">
        <v>10.950000000000001</v>
      </c>
      <c r="L109">
        <v>10.950000000000001</v>
      </c>
      <c r="M109">
        <v>0</v>
      </c>
      <c r="N109">
        <v>0</v>
      </c>
      <c r="O109">
        <v>0</v>
      </c>
      <c r="P109">
        <v>0</v>
      </c>
      <c r="Q109">
        <v>-278.5</v>
      </c>
      <c r="R109">
        <v>-278.5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638.45000000000005</v>
      </c>
      <c r="AA109">
        <v>638.45000000000005</v>
      </c>
      <c r="AB109">
        <v>0</v>
      </c>
      <c r="AC109">
        <v>61.5</v>
      </c>
      <c r="AE109">
        <v>-61.5</v>
      </c>
      <c r="AF109">
        <v>576.95000000000005</v>
      </c>
      <c r="AG109">
        <v>638.45000000000005</v>
      </c>
      <c r="AH109">
        <v>61.5</v>
      </c>
      <c r="AI109">
        <v>168.85000000000002</v>
      </c>
      <c r="AJ109">
        <v>0</v>
      </c>
      <c r="AK109">
        <v>-168.85000000000002</v>
      </c>
      <c r="AL109">
        <v>408.1</v>
      </c>
      <c r="AM109">
        <v>638.45000000000005</v>
      </c>
      <c r="AN109">
        <v>230.35000000000002</v>
      </c>
      <c r="AO109">
        <v>12</v>
      </c>
    </row>
    <row r="110" spans="1:41" x14ac:dyDescent="0.35">
      <c r="A110">
        <v>2024</v>
      </c>
      <c r="B110">
        <v>3</v>
      </c>
      <c r="C110">
        <v>11</v>
      </c>
      <c r="D110" s="14">
        <v>45364</v>
      </c>
      <c r="E110" t="s">
        <v>44</v>
      </c>
      <c r="F110" t="s">
        <v>47</v>
      </c>
      <c r="G110" t="s">
        <v>51</v>
      </c>
      <c r="H110">
        <v>3197.3499999999995</v>
      </c>
      <c r="I110">
        <v>3197.3499999999995</v>
      </c>
      <c r="J110">
        <v>0</v>
      </c>
      <c r="K110">
        <v>80</v>
      </c>
      <c r="L110">
        <v>80</v>
      </c>
      <c r="M110">
        <v>0</v>
      </c>
      <c r="N110">
        <v>0</v>
      </c>
      <c r="O110">
        <v>0</v>
      </c>
      <c r="P110">
        <v>0</v>
      </c>
      <c r="Q110">
        <v>-807.95</v>
      </c>
      <c r="R110">
        <v>-807.95</v>
      </c>
      <c r="S110">
        <v>0</v>
      </c>
      <c r="T110">
        <v>-32</v>
      </c>
      <c r="U110">
        <v>-32</v>
      </c>
      <c r="V110">
        <v>0</v>
      </c>
      <c r="W110">
        <v>0</v>
      </c>
      <c r="X110">
        <v>0</v>
      </c>
      <c r="Y110">
        <v>0</v>
      </c>
      <c r="Z110">
        <v>2437.3999999999992</v>
      </c>
      <c r="AA110">
        <v>2437.3999999999992</v>
      </c>
      <c r="AB110">
        <v>0</v>
      </c>
      <c r="AC110">
        <v>16.66</v>
      </c>
      <c r="AD110">
        <v>16.66</v>
      </c>
      <c r="AE110">
        <v>0</v>
      </c>
      <c r="AF110">
        <v>2420.7399999999993</v>
      </c>
      <c r="AG110">
        <v>2420.7399999999993</v>
      </c>
      <c r="AH110">
        <v>0</v>
      </c>
      <c r="AI110">
        <v>521.79</v>
      </c>
      <c r="AJ110">
        <v>0</v>
      </c>
      <c r="AK110">
        <v>-521.79</v>
      </c>
      <c r="AL110">
        <v>1898.9499999999994</v>
      </c>
      <c r="AM110">
        <v>2420.7399999999993</v>
      </c>
      <c r="AN110">
        <v>521.79</v>
      </c>
      <c r="AO110">
        <v>52</v>
      </c>
    </row>
    <row r="111" spans="1:41" x14ac:dyDescent="0.35">
      <c r="A111">
        <v>2024</v>
      </c>
      <c r="B111">
        <v>3</v>
      </c>
      <c r="C111">
        <v>11</v>
      </c>
      <c r="D111" s="14">
        <v>45365</v>
      </c>
      <c r="E111" t="s">
        <v>44</v>
      </c>
      <c r="F111" t="s">
        <v>47</v>
      </c>
      <c r="G111" t="s">
        <v>51</v>
      </c>
      <c r="H111">
        <v>3031.7500000000009</v>
      </c>
      <c r="I111">
        <v>3031.7500000000009</v>
      </c>
      <c r="J111">
        <v>0</v>
      </c>
      <c r="K111">
        <v>30</v>
      </c>
      <c r="L111">
        <v>30</v>
      </c>
      <c r="M111">
        <v>0</v>
      </c>
      <c r="N111">
        <v>15.99</v>
      </c>
      <c r="O111">
        <v>15.99</v>
      </c>
      <c r="P111">
        <v>0</v>
      </c>
      <c r="Q111">
        <v>-779.85</v>
      </c>
      <c r="R111">
        <v>-774.85</v>
      </c>
      <c r="S111">
        <v>5</v>
      </c>
      <c r="T111">
        <v>-12</v>
      </c>
      <c r="U111">
        <v>-12</v>
      </c>
      <c r="V111">
        <v>0</v>
      </c>
      <c r="W111">
        <v>0</v>
      </c>
      <c r="X111">
        <v>0</v>
      </c>
      <c r="Y111">
        <v>0</v>
      </c>
      <c r="Z111">
        <v>2285.8900000000003</v>
      </c>
      <c r="AA111">
        <v>2290.8900000000003</v>
      </c>
      <c r="AB111">
        <v>5</v>
      </c>
      <c r="AC111">
        <v>82.4</v>
      </c>
      <c r="AD111">
        <v>57.41</v>
      </c>
      <c r="AE111">
        <v>-24.990000000000002</v>
      </c>
      <c r="AF111">
        <v>2203.4900000000002</v>
      </c>
      <c r="AG111">
        <v>2233.4800000000005</v>
      </c>
      <c r="AH111">
        <v>29.989999999999995</v>
      </c>
      <c r="AI111">
        <v>520.62</v>
      </c>
      <c r="AJ111">
        <v>5.78</v>
      </c>
      <c r="AK111">
        <v>-514.84</v>
      </c>
      <c r="AL111">
        <v>1682.8699999999997</v>
      </c>
      <c r="AM111">
        <v>2227.7000000000003</v>
      </c>
      <c r="AN111">
        <v>544.82999999999993</v>
      </c>
      <c r="AO111">
        <v>48</v>
      </c>
    </row>
    <row r="112" spans="1:41" x14ac:dyDescent="0.35">
      <c r="A112">
        <v>2024</v>
      </c>
      <c r="B112">
        <v>3</v>
      </c>
      <c r="C112">
        <v>11</v>
      </c>
      <c r="D112" s="14">
        <v>45366</v>
      </c>
      <c r="E112" t="s">
        <v>44</v>
      </c>
      <c r="F112" t="s">
        <v>47</v>
      </c>
      <c r="G112" t="s">
        <v>51</v>
      </c>
      <c r="H112">
        <v>4153.8</v>
      </c>
      <c r="I112">
        <v>4153.8</v>
      </c>
      <c r="J112">
        <v>0</v>
      </c>
      <c r="K112">
        <v>37.46</v>
      </c>
      <c r="L112">
        <v>37.46</v>
      </c>
      <c r="M112">
        <v>0</v>
      </c>
      <c r="N112">
        <v>76.95</v>
      </c>
      <c r="O112">
        <v>76.95</v>
      </c>
      <c r="P112">
        <v>0</v>
      </c>
      <c r="Q112">
        <v>-782.05</v>
      </c>
      <c r="R112">
        <v>-782.05</v>
      </c>
      <c r="S112">
        <v>0</v>
      </c>
      <c r="T112">
        <v>-12</v>
      </c>
      <c r="U112">
        <v>-12</v>
      </c>
      <c r="V112">
        <v>0</v>
      </c>
      <c r="W112">
        <v>0</v>
      </c>
      <c r="X112">
        <v>0</v>
      </c>
      <c r="Y112">
        <v>0</v>
      </c>
      <c r="Z112">
        <v>3474.1599999999989</v>
      </c>
      <c r="AA112">
        <v>3474.1599999999989</v>
      </c>
      <c r="AB112">
        <v>0</v>
      </c>
      <c r="AC112">
        <v>104.37</v>
      </c>
      <c r="AD112">
        <v>38.33</v>
      </c>
      <c r="AE112">
        <v>-66.040000000000006</v>
      </c>
      <c r="AF112">
        <v>3369.7899999999995</v>
      </c>
      <c r="AG112">
        <v>3435.829999999999</v>
      </c>
      <c r="AH112">
        <v>66.040000000000006</v>
      </c>
      <c r="AI112">
        <v>834.71000000000038</v>
      </c>
      <c r="AJ112">
        <v>14.34</v>
      </c>
      <c r="AK112">
        <v>-820.37000000000035</v>
      </c>
      <c r="AL112">
        <v>2535.0800000000008</v>
      </c>
      <c r="AM112">
        <v>3421.4899999999989</v>
      </c>
      <c r="AN112">
        <v>886.4100000000002</v>
      </c>
      <c r="AO112">
        <v>73</v>
      </c>
    </row>
    <row r="113" spans="1:41" x14ac:dyDescent="0.35">
      <c r="A113">
        <v>2024</v>
      </c>
      <c r="B113">
        <v>3</v>
      </c>
      <c r="C113">
        <v>11</v>
      </c>
      <c r="D113" s="14">
        <v>45367</v>
      </c>
      <c r="E113" t="s">
        <v>44</v>
      </c>
      <c r="F113" t="s">
        <v>47</v>
      </c>
      <c r="G113" t="s">
        <v>51</v>
      </c>
      <c r="H113">
        <v>5488.2500000000009</v>
      </c>
      <c r="I113">
        <v>5488.2500000000009</v>
      </c>
      <c r="J113">
        <v>0</v>
      </c>
      <c r="K113">
        <v>27.46</v>
      </c>
      <c r="L113">
        <v>27.46</v>
      </c>
      <c r="M113">
        <v>0</v>
      </c>
      <c r="N113">
        <v>12.99</v>
      </c>
      <c r="O113">
        <v>12.99</v>
      </c>
      <c r="P113">
        <v>0</v>
      </c>
      <c r="Q113">
        <v>-1328.7</v>
      </c>
      <c r="R113">
        <v>-1318.7</v>
      </c>
      <c r="S113">
        <v>10</v>
      </c>
      <c r="T113">
        <v>-8</v>
      </c>
      <c r="U113">
        <v>-8</v>
      </c>
      <c r="V113">
        <v>0</v>
      </c>
      <c r="W113">
        <v>0</v>
      </c>
      <c r="X113">
        <v>0</v>
      </c>
      <c r="Y113">
        <v>0</v>
      </c>
      <c r="Z113">
        <v>4192.0000000000009</v>
      </c>
      <c r="AA113">
        <v>4202.0000000000009</v>
      </c>
      <c r="AB113">
        <v>10</v>
      </c>
      <c r="AC113">
        <v>333.30000000000007</v>
      </c>
      <c r="AD113">
        <v>15</v>
      </c>
      <c r="AE113">
        <v>-318.30000000000007</v>
      </c>
      <c r="AF113">
        <v>3858.700000000003</v>
      </c>
      <c r="AG113">
        <v>4187.0000000000009</v>
      </c>
      <c r="AH113">
        <v>328.29999999999961</v>
      </c>
      <c r="AI113">
        <v>806.99999999999977</v>
      </c>
      <c r="AJ113">
        <v>187.70000000000005</v>
      </c>
      <c r="AK113">
        <v>-619.3000000000003</v>
      </c>
      <c r="AL113">
        <v>3051.7000000000003</v>
      </c>
      <c r="AM113">
        <v>3999.300000000002</v>
      </c>
      <c r="AN113">
        <v>947.60000000000082</v>
      </c>
      <c r="AO113">
        <v>102</v>
      </c>
    </row>
    <row r="114" spans="1:41" x14ac:dyDescent="0.35">
      <c r="A114">
        <v>2024</v>
      </c>
      <c r="B114">
        <v>3</v>
      </c>
      <c r="C114">
        <v>12</v>
      </c>
      <c r="D114" s="14">
        <v>45368</v>
      </c>
      <c r="E114" t="s">
        <v>41</v>
      </c>
      <c r="F114" t="s">
        <v>42</v>
      </c>
      <c r="G114" t="s">
        <v>43</v>
      </c>
      <c r="H114">
        <v>112454.75</v>
      </c>
      <c r="I114">
        <v>112454.75</v>
      </c>
      <c r="J114">
        <v>0</v>
      </c>
      <c r="K114">
        <v>1371.8600000000097</v>
      </c>
      <c r="L114">
        <v>1371.8600000000097</v>
      </c>
      <c r="M114">
        <v>0</v>
      </c>
      <c r="N114">
        <v>2949.0499999999879</v>
      </c>
      <c r="O114">
        <v>2949.0499999999879</v>
      </c>
      <c r="P114">
        <v>0</v>
      </c>
      <c r="Q114">
        <v>-12381.96</v>
      </c>
      <c r="R114">
        <v>-11087.96</v>
      </c>
      <c r="S114">
        <v>1294</v>
      </c>
      <c r="T114">
        <v>-8.2200000000000006</v>
      </c>
      <c r="U114">
        <v>-8.2200000000000006</v>
      </c>
      <c r="V114">
        <v>0</v>
      </c>
      <c r="W114">
        <v>-145.97</v>
      </c>
      <c r="X114">
        <v>-145.97</v>
      </c>
      <c r="Y114">
        <v>0</v>
      </c>
      <c r="Z114">
        <v>104239.510000001</v>
      </c>
      <c r="AA114">
        <v>105533.51000000104</v>
      </c>
      <c r="AB114">
        <v>1294</v>
      </c>
      <c r="AC114">
        <v>32173.309999999648</v>
      </c>
      <c r="AD114">
        <v>16863.229999999978</v>
      </c>
      <c r="AE114">
        <v>-15310.07999999998</v>
      </c>
      <c r="AF114">
        <v>72066.200000000186</v>
      </c>
      <c r="AG114">
        <v>88670.280000000435</v>
      </c>
      <c r="AH114">
        <v>16604.079999999973</v>
      </c>
      <c r="AI114">
        <v>-8142.949999999998</v>
      </c>
      <c r="AJ114">
        <v>0</v>
      </c>
      <c r="AK114">
        <v>8142.949999999998</v>
      </c>
      <c r="AL114">
        <v>80209.149999999951</v>
      </c>
      <c r="AM114">
        <v>88670.280000000435</v>
      </c>
      <c r="AN114">
        <v>8461.1300000000192</v>
      </c>
      <c r="AO114">
        <v>1953</v>
      </c>
    </row>
    <row r="115" spans="1:41" x14ac:dyDescent="0.35">
      <c r="A115">
        <v>2024</v>
      </c>
      <c r="B115">
        <v>3</v>
      </c>
      <c r="C115">
        <v>12</v>
      </c>
      <c r="D115" s="14">
        <v>45369</v>
      </c>
      <c r="E115" t="s">
        <v>41</v>
      </c>
      <c r="F115" t="s">
        <v>42</v>
      </c>
      <c r="G115" t="s">
        <v>43</v>
      </c>
      <c r="H115">
        <v>120865.25</v>
      </c>
      <c r="I115">
        <v>120865.25</v>
      </c>
      <c r="J115">
        <v>0</v>
      </c>
      <c r="K115">
        <v>1345.5200000000157</v>
      </c>
      <c r="L115">
        <v>1331.5200000000157</v>
      </c>
      <c r="M115">
        <v>-14</v>
      </c>
      <c r="N115">
        <v>2955.049999999987</v>
      </c>
      <c r="O115">
        <v>2955.049999999987</v>
      </c>
      <c r="P115">
        <v>0</v>
      </c>
      <c r="Q115">
        <v>-13225.78</v>
      </c>
      <c r="R115">
        <v>-11566.78</v>
      </c>
      <c r="S115">
        <v>1659</v>
      </c>
      <c r="T115">
        <v>-3.7200000000000006</v>
      </c>
      <c r="U115">
        <v>-3.7200000000000006</v>
      </c>
      <c r="V115">
        <v>0</v>
      </c>
      <c r="W115">
        <v>-129.97</v>
      </c>
      <c r="X115">
        <v>-113.97999999999999</v>
      </c>
      <c r="Y115">
        <v>15.99</v>
      </c>
      <c r="Z115">
        <v>111806.35000000066</v>
      </c>
      <c r="AA115">
        <v>113467.34000000069</v>
      </c>
      <c r="AB115">
        <v>1660.99</v>
      </c>
      <c r="AC115">
        <v>33836.829999999689</v>
      </c>
      <c r="AD115">
        <v>17244.80999999995</v>
      </c>
      <c r="AE115">
        <v>-16592.019999999968</v>
      </c>
      <c r="AF115">
        <v>77969.520000000091</v>
      </c>
      <c r="AG115">
        <v>96222.530000000261</v>
      </c>
      <c r="AH115">
        <v>18253.009999999955</v>
      </c>
      <c r="AI115">
        <v>-8641.0000000000146</v>
      </c>
      <c r="AJ115">
        <v>0</v>
      </c>
      <c r="AK115">
        <v>8641.0000000000146</v>
      </c>
      <c r="AL115">
        <v>86610.519999999815</v>
      </c>
      <c r="AM115">
        <v>96222.530000000261</v>
      </c>
      <c r="AN115">
        <v>9612.0099999999911</v>
      </c>
      <c r="AO115">
        <v>2095</v>
      </c>
    </row>
    <row r="116" spans="1:41" x14ac:dyDescent="0.35">
      <c r="A116">
        <v>2024</v>
      </c>
      <c r="B116">
        <v>3</v>
      </c>
      <c r="C116">
        <v>12</v>
      </c>
      <c r="D116" s="14">
        <v>45370</v>
      </c>
      <c r="E116" t="s">
        <v>41</v>
      </c>
      <c r="F116" t="s">
        <v>42</v>
      </c>
      <c r="G116" t="s">
        <v>43</v>
      </c>
      <c r="H116">
        <v>124512</v>
      </c>
      <c r="I116">
        <v>124512</v>
      </c>
      <c r="J116">
        <v>0</v>
      </c>
      <c r="K116">
        <v>1243.610000000009</v>
      </c>
      <c r="L116">
        <v>1243.610000000009</v>
      </c>
      <c r="M116">
        <v>0</v>
      </c>
      <c r="N116">
        <v>2821.1199999999903</v>
      </c>
      <c r="O116">
        <v>2805.1299999999906</v>
      </c>
      <c r="P116">
        <v>-15.99</v>
      </c>
      <c r="Q116">
        <v>-13550.58</v>
      </c>
      <c r="R116">
        <v>-12782.58</v>
      </c>
      <c r="S116">
        <v>768</v>
      </c>
      <c r="T116">
        <v>-7.75</v>
      </c>
      <c r="U116">
        <v>-7.75</v>
      </c>
      <c r="V116">
        <v>0</v>
      </c>
      <c r="W116">
        <v>-135.99</v>
      </c>
      <c r="X116">
        <v>-135.99</v>
      </c>
      <c r="Y116">
        <v>0</v>
      </c>
      <c r="Z116">
        <v>114882.41000000089</v>
      </c>
      <c r="AA116">
        <v>115634.42000000089</v>
      </c>
      <c r="AB116">
        <v>752.01</v>
      </c>
      <c r="AC116">
        <v>34217.929999999717</v>
      </c>
      <c r="AD116">
        <v>17032.44999999995</v>
      </c>
      <c r="AE116">
        <v>-17185.479999999952</v>
      </c>
      <c r="AF116">
        <v>80664.480000000374</v>
      </c>
      <c r="AG116">
        <v>98601.970000000467</v>
      </c>
      <c r="AH116">
        <v>17937.489999999936</v>
      </c>
      <c r="AI116">
        <v>-8630.8300000000054</v>
      </c>
      <c r="AJ116">
        <v>0</v>
      </c>
      <c r="AK116">
        <v>8630.8300000000054</v>
      </c>
      <c r="AL116">
        <v>89295.310000000172</v>
      </c>
      <c r="AM116">
        <v>98601.970000000467</v>
      </c>
      <c r="AN116">
        <v>9306.6600000000108</v>
      </c>
      <c r="AO116">
        <v>2162</v>
      </c>
    </row>
    <row r="117" spans="1:41" x14ac:dyDescent="0.35">
      <c r="A117">
        <v>2024</v>
      </c>
      <c r="B117">
        <v>3</v>
      </c>
      <c r="C117">
        <v>12</v>
      </c>
      <c r="D117" s="14">
        <v>45371</v>
      </c>
      <c r="E117" t="s">
        <v>41</v>
      </c>
      <c r="F117" t="s">
        <v>42</v>
      </c>
      <c r="G117" t="s">
        <v>43</v>
      </c>
      <c r="H117">
        <v>132056.75</v>
      </c>
      <c r="I117">
        <v>132056.75</v>
      </c>
      <c r="J117">
        <v>0</v>
      </c>
      <c r="K117">
        <v>1396.4000000000185</v>
      </c>
      <c r="L117">
        <v>1396.4000000000185</v>
      </c>
      <c r="M117">
        <v>0</v>
      </c>
      <c r="N117">
        <v>3230.8799999999842</v>
      </c>
      <c r="O117">
        <v>3230.8799999999842</v>
      </c>
      <c r="P117">
        <v>0</v>
      </c>
      <c r="Q117">
        <v>-13892</v>
      </c>
      <c r="R117">
        <v>-12365</v>
      </c>
      <c r="S117">
        <v>1527</v>
      </c>
      <c r="T117">
        <v>-15.680000000000001</v>
      </c>
      <c r="U117">
        <v>-15.680000000000001</v>
      </c>
      <c r="V117">
        <v>0</v>
      </c>
      <c r="W117">
        <v>-169.98000000000002</v>
      </c>
      <c r="X117">
        <v>-169.98000000000002</v>
      </c>
      <c r="Y117">
        <v>0</v>
      </c>
      <c r="Z117">
        <v>122606.37000000093</v>
      </c>
      <c r="AA117">
        <v>124133.37000000096</v>
      </c>
      <c r="AB117">
        <v>1527</v>
      </c>
      <c r="AC117">
        <v>37461.909999999567</v>
      </c>
      <c r="AD117">
        <v>20600.459999999908</v>
      </c>
      <c r="AE117">
        <v>-16861.449999999964</v>
      </c>
      <c r="AF117">
        <v>85144.460000000297</v>
      </c>
      <c r="AG117">
        <v>103532.91000000054</v>
      </c>
      <c r="AH117">
        <v>18388.449999999957</v>
      </c>
      <c r="AI117">
        <v>-9809.920000000011</v>
      </c>
      <c r="AJ117">
        <v>0</v>
      </c>
      <c r="AK117">
        <v>9809.920000000011</v>
      </c>
      <c r="AL117">
        <v>94954.379999999946</v>
      </c>
      <c r="AM117">
        <v>103532.91000000054</v>
      </c>
      <c r="AN117">
        <v>8578.5300000000134</v>
      </c>
      <c r="AO117">
        <v>2283</v>
      </c>
    </row>
    <row r="118" spans="1:41" x14ac:dyDescent="0.35">
      <c r="A118">
        <v>2024</v>
      </c>
      <c r="B118">
        <v>3</v>
      </c>
      <c r="C118">
        <v>12</v>
      </c>
      <c r="D118" s="14">
        <v>45372</v>
      </c>
      <c r="E118" t="s">
        <v>41</v>
      </c>
      <c r="F118" t="s">
        <v>42</v>
      </c>
      <c r="G118" t="s">
        <v>43</v>
      </c>
      <c r="H118">
        <v>120828.75</v>
      </c>
      <c r="I118">
        <v>120828.75</v>
      </c>
      <c r="J118">
        <v>0</v>
      </c>
      <c r="K118">
        <v>1465.8100000000102</v>
      </c>
      <c r="L118">
        <v>1465.8100000000102</v>
      </c>
      <c r="M118">
        <v>0</v>
      </c>
      <c r="N118">
        <v>2970.0199999999882</v>
      </c>
      <c r="O118">
        <v>2970.0199999999882</v>
      </c>
      <c r="P118">
        <v>0</v>
      </c>
      <c r="Q118">
        <v>-12400.5</v>
      </c>
      <c r="R118">
        <v>-10926.5</v>
      </c>
      <c r="S118">
        <v>1474</v>
      </c>
      <c r="T118">
        <v>-14.190000000000003</v>
      </c>
      <c r="U118">
        <v>-14.190000000000003</v>
      </c>
      <c r="V118">
        <v>0</v>
      </c>
      <c r="W118">
        <v>-126.98</v>
      </c>
      <c r="X118">
        <v>-126.98</v>
      </c>
      <c r="Y118">
        <v>0</v>
      </c>
      <c r="Z118">
        <v>112722.91000000111</v>
      </c>
      <c r="AA118">
        <v>114196.91000000117</v>
      </c>
      <c r="AB118">
        <v>1474</v>
      </c>
      <c r="AC118">
        <v>34642.699999999619</v>
      </c>
      <c r="AD118">
        <v>14295.349999999986</v>
      </c>
      <c r="AE118">
        <v>-20347.349999999875</v>
      </c>
      <c r="AF118">
        <v>78080.210000000487</v>
      </c>
      <c r="AG118">
        <v>99901.560000000754</v>
      </c>
      <c r="AH118">
        <v>21821.349999999846</v>
      </c>
      <c r="AI118">
        <v>-6972.3300000000027</v>
      </c>
      <c r="AJ118">
        <v>0</v>
      </c>
      <c r="AK118">
        <v>6972.3300000000027</v>
      </c>
      <c r="AL118">
        <v>85052.540000000299</v>
      </c>
      <c r="AM118">
        <v>99901.560000000754</v>
      </c>
      <c r="AN118">
        <v>14849.019999999948</v>
      </c>
      <c r="AO118">
        <v>2086</v>
      </c>
    </row>
    <row r="119" spans="1:41" x14ac:dyDescent="0.35">
      <c r="A119">
        <v>2024</v>
      </c>
      <c r="B119">
        <v>3</v>
      </c>
      <c r="C119">
        <v>12</v>
      </c>
      <c r="D119" s="14">
        <v>45373</v>
      </c>
      <c r="E119" t="s">
        <v>41</v>
      </c>
      <c r="F119" t="s">
        <v>42</v>
      </c>
      <c r="G119" t="s">
        <v>43</v>
      </c>
      <c r="H119">
        <v>99288.5</v>
      </c>
      <c r="I119">
        <v>99288.5</v>
      </c>
      <c r="J119">
        <v>0</v>
      </c>
      <c r="K119">
        <v>1309.5400000000154</v>
      </c>
      <c r="L119">
        <v>1309.5400000000154</v>
      </c>
      <c r="M119">
        <v>0</v>
      </c>
      <c r="N119">
        <v>2715.1899999999905</v>
      </c>
      <c r="O119">
        <v>2715.1899999999905</v>
      </c>
      <c r="P119">
        <v>0</v>
      </c>
      <c r="Q119">
        <v>-10534.5</v>
      </c>
      <c r="R119">
        <v>-9446.5</v>
      </c>
      <c r="S119">
        <v>1088</v>
      </c>
      <c r="T119">
        <v>-17.930000000000003</v>
      </c>
      <c r="U119">
        <v>-17.930000000000003</v>
      </c>
      <c r="V119">
        <v>0</v>
      </c>
      <c r="W119">
        <v>-124.98</v>
      </c>
      <c r="X119">
        <v>-124.98</v>
      </c>
      <c r="Y119">
        <v>0</v>
      </c>
      <c r="Z119">
        <v>92635.820000000225</v>
      </c>
      <c r="AA119">
        <v>93723.82000000024</v>
      </c>
      <c r="AB119">
        <v>1088</v>
      </c>
      <c r="AC119">
        <v>29716.379999999801</v>
      </c>
      <c r="AD119">
        <v>15612.209999999981</v>
      </c>
      <c r="AE119">
        <v>-14104.169999999978</v>
      </c>
      <c r="AF119">
        <v>62919.440000000111</v>
      </c>
      <c r="AG119">
        <v>78111.61000000003</v>
      </c>
      <c r="AH119">
        <v>15192.169999999973</v>
      </c>
      <c r="AI119">
        <v>-7558.7799999999979</v>
      </c>
      <c r="AJ119">
        <v>0</v>
      </c>
      <c r="AK119">
        <v>7558.7799999999979</v>
      </c>
      <c r="AL119">
        <v>70478.220000000045</v>
      </c>
      <c r="AM119">
        <v>78111.61000000003</v>
      </c>
      <c r="AN119">
        <v>7633.390000000024</v>
      </c>
      <c r="AO119">
        <v>1722</v>
      </c>
    </row>
    <row r="120" spans="1:41" x14ac:dyDescent="0.35">
      <c r="A120">
        <v>2024</v>
      </c>
      <c r="B120">
        <v>3</v>
      </c>
      <c r="C120">
        <v>12</v>
      </c>
      <c r="D120" s="14">
        <v>45374</v>
      </c>
      <c r="E120" t="s">
        <v>41</v>
      </c>
      <c r="F120" t="s">
        <v>42</v>
      </c>
      <c r="G120" t="s">
        <v>43</v>
      </c>
      <c r="H120">
        <v>112919.25</v>
      </c>
      <c r="I120">
        <v>112919.25</v>
      </c>
      <c r="J120">
        <v>0</v>
      </c>
      <c r="K120">
        <v>1398.1300000000117</v>
      </c>
      <c r="L120">
        <v>1398.1300000000117</v>
      </c>
      <c r="M120">
        <v>0</v>
      </c>
      <c r="N120">
        <v>2987.9999999999873</v>
      </c>
      <c r="O120">
        <v>2987.9999999999873</v>
      </c>
      <c r="P120">
        <v>0</v>
      </c>
      <c r="Q120">
        <v>-11968.2</v>
      </c>
      <c r="R120">
        <v>-10873.2</v>
      </c>
      <c r="S120">
        <v>1095</v>
      </c>
      <c r="T120">
        <v>-15.58</v>
      </c>
      <c r="U120">
        <v>-15.58</v>
      </c>
      <c r="V120">
        <v>0</v>
      </c>
      <c r="W120">
        <v>-150.98000000000002</v>
      </c>
      <c r="X120">
        <v>-150.98000000000002</v>
      </c>
      <c r="Y120">
        <v>0</v>
      </c>
      <c r="Z120">
        <v>105170.6200000009</v>
      </c>
      <c r="AA120">
        <v>106265.62000000096</v>
      </c>
      <c r="AB120">
        <v>1095</v>
      </c>
      <c r="AC120">
        <v>31995.919999999678</v>
      </c>
      <c r="AD120">
        <v>16557.489999999932</v>
      </c>
      <c r="AE120">
        <v>-15438.429999999988</v>
      </c>
      <c r="AF120">
        <v>73174.70000000039</v>
      </c>
      <c r="AG120">
        <v>89708.130000000412</v>
      </c>
      <c r="AH120">
        <v>16533.429999999978</v>
      </c>
      <c r="AI120">
        <v>-7877.5100000000039</v>
      </c>
      <c r="AJ120">
        <v>0</v>
      </c>
      <c r="AK120">
        <v>7877.5100000000039</v>
      </c>
      <c r="AL120">
        <v>81052.210000000137</v>
      </c>
      <c r="AM120">
        <v>89708.130000000412</v>
      </c>
      <c r="AN120">
        <v>8655.9200000000201</v>
      </c>
      <c r="AO120">
        <v>1957</v>
      </c>
    </row>
    <row r="121" spans="1:41" x14ac:dyDescent="0.35">
      <c r="A121">
        <v>2024</v>
      </c>
      <c r="B121">
        <v>3</v>
      </c>
      <c r="C121">
        <v>12</v>
      </c>
      <c r="D121" s="14">
        <v>45368</v>
      </c>
      <c r="E121" t="s">
        <v>44</v>
      </c>
      <c r="F121" t="s">
        <v>42</v>
      </c>
      <c r="G121" t="s">
        <v>45</v>
      </c>
      <c r="H121">
        <v>146335.5</v>
      </c>
      <c r="I121">
        <v>146335.5</v>
      </c>
      <c r="J121">
        <v>0</v>
      </c>
      <c r="K121">
        <v>1240.9700000000105</v>
      </c>
      <c r="L121">
        <v>1240.9700000000105</v>
      </c>
      <c r="M121">
        <v>0</v>
      </c>
      <c r="N121">
        <v>6431.8199999999388</v>
      </c>
      <c r="O121">
        <v>6415.829999999939</v>
      </c>
      <c r="P121">
        <v>-15.99</v>
      </c>
      <c r="Q121">
        <v>-28230.21</v>
      </c>
      <c r="R121">
        <v>-27426.21</v>
      </c>
      <c r="S121">
        <v>804</v>
      </c>
      <c r="T121">
        <v>-5.3200000000000012</v>
      </c>
      <c r="U121">
        <v>-5.3200000000000012</v>
      </c>
      <c r="V121">
        <v>0</v>
      </c>
      <c r="W121">
        <v>-128.80000000000001</v>
      </c>
      <c r="X121">
        <v>-128.80000000000001</v>
      </c>
      <c r="Y121">
        <v>0</v>
      </c>
      <c r="Z121">
        <v>125643.96000000092</v>
      </c>
      <c r="AA121">
        <v>126431.97000000093</v>
      </c>
      <c r="AB121">
        <v>788.01</v>
      </c>
      <c r="AC121">
        <v>27221.719999999805</v>
      </c>
      <c r="AD121">
        <v>14974.629999999986</v>
      </c>
      <c r="AE121">
        <v>-12247.089999999995</v>
      </c>
      <c r="AF121">
        <v>98422.240000000646</v>
      </c>
      <c r="AG121">
        <v>111457.34000000078</v>
      </c>
      <c r="AH121">
        <v>13035.099999999991</v>
      </c>
      <c r="AI121">
        <v>-7420.4800000000141</v>
      </c>
      <c r="AJ121">
        <v>0</v>
      </c>
      <c r="AK121">
        <v>7420.4800000000141</v>
      </c>
      <c r="AL121">
        <v>105842.71999999978</v>
      </c>
      <c r="AM121">
        <v>111457.34000000078</v>
      </c>
      <c r="AN121">
        <v>5614.620000000009</v>
      </c>
      <c r="AO121">
        <v>1886</v>
      </c>
    </row>
    <row r="122" spans="1:41" x14ac:dyDescent="0.35">
      <c r="A122">
        <v>2024</v>
      </c>
      <c r="B122">
        <v>3</v>
      </c>
      <c r="C122">
        <v>12</v>
      </c>
      <c r="D122" s="14">
        <v>45369</v>
      </c>
      <c r="E122" t="s">
        <v>44</v>
      </c>
      <c r="F122" t="s">
        <v>42</v>
      </c>
      <c r="G122" t="s">
        <v>45</v>
      </c>
      <c r="H122">
        <v>154470</v>
      </c>
      <c r="I122">
        <v>154470</v>
      </c>
      <c r="J122">
        <v>0</v>
      </c>
      <c r="K122">
        <v>1314.1700000000069</v>
      </c>
      <c r="L122">
        <v>1314.1700000000069</v>
      </c>
      <c r="M122">
        <v>0</v>
      </c>
      <c r="N122">
        <v>6622.7299999999359</v>
      </c>
      <c r="O122">
        <v>6622.7299999999359</v>
      </c>
      <c r="P122">
        <v>0</v>
      </c>
      <c r="Q122">
        <v>-30186.75</v>
      </c>
      <c r="R122">
        <v>-29411.25</v>
      </c>
      <c r="S122">
        <v>775.5</v>
      </c>
      <c r="T122">
        <v>-2.7500000000000004</v>
      </c>
      <c r="U122">
        <v>-2.7500000000000004</v>
      </c>
      <c r="V122">
        <v>0</v>
      </c>
      <c r="W122">
        <v>-134.29</v>
      </c>
      <c r="X122">
        <v>-134.29</v>
      </c>
      <c r="Y122">
        <v>0</v>
      </c>
      <c r="Z122">
        <v>132083.11000000095</v>
      </c>
      <c r="AA122">
        <v>132858.61000000092</v>
      </c>
      <c r="AB122">
        <v>775.5</v>
      </c>
      <c r="AC122">
        <v>29442.64999999979</v>
      </c>
      <c r="AD122">
        <v>14926.709999999975</v>
      </c>
      <c r="AE122">
        <v>-14515.939999999982</v>
      </c>
      <c r="AF122">
        <v>102640.46000000072</v>
      </c>
      <c r="AG122">
        <v>117931.90000000085</v>
      </c>
      <c r="AH122">
        <v>15291.439999999977</v>
      </c>
      <c r="AI122">
        <v>-7251.2100000000155</v>
      </c>
      <c r="AJ122">
        <v>0</v>
      </c>
      <c r="AK122">
        <v>7251.2100000000155</v>
      </c>
      <c r="AL122">
        <v>109891.67000000013</v>
      </c>
      <c r="AM122">
        <v>117931.90000000085</v>
      </c>
      <c r="AN122">
        <v>8040.2300000000077</v>
      </c>
      <c r="AO122">
        <v>1984</v>
      </c>
    </row>
    <row r="123" spans="1:41" x14ac:dyDescent="0.35">
      <c r="A123">
        <v>2024</v>
      </c>
      <c r="B123">
        <v>3</v>
      </c>
      <c r="C123">
        <v>12</v>
      </c>
      <c r="D123" s="14">
        <v>45370</v>
      </c>
      <c r="E123" t="s">
        <v>44</v>
      </c>
      <c r="F123" t="s">
        <v>42</v>
      </c>
      <c r="G123" t="s">
        <v>45</v>
      </c>
      <c r="H123">
        <v>142165.5</v>
      </c>
      <c r="I123">
        <v>142165.5</v>
      </c>
      <c r="J123">
        <v>0</v>
      </c>
      <c r="K123">
        <v>1000.9700000000078</v>
      </c>
      <c r="L123">
        <v>1000.9700000000078</v>
      </c>
      <c r="M123">
        <v>0</v>
      </c>
      <c r="N123">
        <v>5520.4599999999527</v>
      </c>
      <c r="O123">
        <v>5485.4799999999532</v>
      </c>
      <c r="P123">
        <v>-34.980000000000004</v>
      </c>
      <c r="Q123">
        <v>-28003</v>
      </c>
      <c r="R123">
        <v>-27687.5</v>
      </c>
      <c r="S123">
        <v>315.5</v>
      </c>
      <c r="T123">
        <v>-19.170000000000002</v>
      </c>
      <c r="U123">
        <v>-19.170000000000002</v>
      </c>
      <c r="V123">
        <v>0</v>
      </c>
      <c r="W123">
        <v>-86.27</v>
      </c>
      <c r="X123">
        <v>-86.27</v>
      </c>
      <c r="Y123">
        <v>0</v>
      </c>
      <c r="Z123">
        <v>120578.49000000092</v>
      </c>
      <c r="AA123">
        <v>120859.01000000093</v>
      </c>
      <c r="AB123">
        <v>280.52</v>
      </c>
      <c r="AC123">
        <v>26665.839999999869</v>
      </c>
      <c r="AD123">
        <v>12056.47</v>
      </c>
      <c r="AE123">
        <v>-14609.369999999984</v>
      </c>
      <c r="AF123">
        <v>93912.650000000605</v>
      </c>
      <c r="AG123">
        <v>108802.54000000078</v>
      </c>
      <c r="AH123">
        <v>14889.889999999983</v>
      </c>
      <c r="AI123">
        <v>-6056.8200000000088</v>
      </c>
      <c r="AJ123">
        <v>0</v>
      </c>
      <c r="AK123">
        <v>6056.8200000000088</v>
      </c>
      <c r="AL123">
        <v>99969.470000000074</v>
      </c>
      <c r="AM123">
        <v>108802.54000000078</v>
      </c>
      <c r="AN123">
        <v>8833.0700000000033</v>
      </c>
      <c r="AO123">
        <v>1816</v>
      </c>
    </row>
    <row r="124" spans="1:41" x14ac:dyDescent="0.35">
      <c r="A124">
        <v>2024</v>
      </c>
      <c r="B124">
        <v>3</v>
      </c>
      <c r="C124">
        <v>12</v>
      </c>
      <c r="D124" s="14">
        <v>45371</v>
      </c>
      <c r="E124" t="s">
        <v>44</v>
      </c>
      <c r="F124" t="s">
        <v>42</v>
      </c>
      <c r="G124" t="s">
        <v>45</v>
      </c>
      <c r="H124">
        <v>163033</v>
      </c>
      <c r="I124">
        <v>163033</v>
      </c>
      <c r="J124">
        <v>0</v>
      </c>
      <c r="K124">
        <v>1397.930000000008</v>
      </c>
      <c r="L124">
        <v>1404.930000000008</v>
      </c>
      <c r="M124">
        <v>7</v>
      </c>
      <c r="N124">
        <v>6468.0399999999427</v>
      </c>
      <c r="O124">
        <v>6468.0399999999427</v>
      </c>
      <c r="P124">
        <v>0</v>
      </c>
      <c r="Q124">
        <v>-30559.199999999997</v>
      </c>
      <c r="R124">
        <v>-29751.199999999997</v>
      </c>
      <c r="S124">
        <v>808</v>
      </c>
      <c r="T124">
        <v>-39.130000000000003</v>
      </c>
      <c r="U124">
        <v>-39.130000000000003</v>
      </c>
      <c r="V124">
        <v>0</v>
      </c>
      <c r="W124">
        <v>-115.67999999999999</v>
      </c>
      <c r="X124">
        <v>-115.67999999999999</v>
      </c>
      <c r="Y124">
        <v>0</v>
      </c>
      <c r="Z124">
        <v>140184.96000000069</v>
      </c>
      <c r="AA124">
        <v>140999.96000000069</v>
      </c>
      <c r="AB124">
        <v>815</v>
      </c>
      <c r="AC124">
        <v>31677.899999999892</v>
      </c>
      <c r="AD124">
        <v>19977.529999999904</v>
      </c>
      <c r="AE124">
        <v>-11700.36999999999</v>
      </c>
      <c r="AF124">
        <v>108507.06000000067</v>
      </c>
      <c r="AG124">
        <v>121022.43000000065</v>
      </c>
      <c r="AH124">
        <v>12515.369999999988</v>
      </c>
      <c r="AI124">
        <v>-9996.5300000000079</v>
      </c>
      <c r="AJ124">
        <v>0</v>
      </c>
      <c r="AK124">
        <v>9996.5300000000079</v>
      </c>
      <c r="AL124">
        <v>118503.59000000029</v>
      </c>
      <c r="AM124">
        <v>121022.43000000065</v>
      </c>
      <c r="AN124">
        <v>2518.8400000000106</v>
      </c>
      <c r="AO124">
        <v>2064</v>
      </c>
    </row>
    <row r="125" spans="1:41" x14ac:dyDescent="0.35">
      <c r="A125">
        <v>2024</v>
      </c>
      <c r="B125">
        <v>3</v>
      </c>
      <c r="C125">
        <v>12</v>
      </c>
      <c r="D125" s="14">
        <v>45372</v>
      </c>
      <c r="E125" t="s">
        <v>44</v>
      </c>
      <c r="F125" t="s">
        <v>42</v>
      </c>
      <c r="G125" t="s">
        <v>45</v>
      </c>
      <c r="H125">
        <v>159420.5</v>
      </c>
      <c r="I125">
        <v>159420.5</v>
      </c>
      <c r="J125">
        <v>0</v>
      </c>
      <c r="K125">
        <v>1324.2200000000116</v>
      </c>
      <c r="L125">
        <v>1294.2200000000116</v>
      </c>
      <c r="M125">
        <v>-30</v>
      </c>
      <c r="N125">
        <v>6556.9799999999404</v>
      </c>
      <c r="O125">
        <v>6521.9999999999409</v>
      </c>
      <c r="P125">
        <v>-34.980000000000004</v>
      </c>
      <c r="Q125">
        <v>-29120.75</v>
      </c>
      <c r="R125">
        <v>-28247.75</v>
      </c>
      <c r="S125">
        <v>873</v>
      </c>
      <c r="T125">
        <v>-19.289999999999996</v>
      </c>
      <c r="U125">
        <v>-19.289999999999996</v>
      </c>
      <c r="V125">
        <v>0</v>
      </c>
      <c r="W125">
        <v>-175.48</v>
      </c>
      <c r="X125">
        <v>-175.48</v>
      </c>
      <c r="Y125">
        <v>0</v>
      </c>
      <c r="Z125">
        <v>137986.18000000095</v>
      </c>
      <c r="AA125">
        <v>138794.20000000091</v>
      </c>
      <c r="AB125">
        <v>808.02</v>
      </c>
      <c r="AC125">
        <v>31255.649999999816</v>
      </c>
      <c r="AD125">
        <v>11610.299999999994</v>
      </c>
      <c r="AE125">
        <v>-19645.3499999999</v>
      </c>
      <c r="AF125">
        <v>106730.53000000061</v>
      </c>
      <c r="AG125">
        <v>127183.90000000101</v>
      </c>
      <c r="AH125">
        <v>20453.369999999908</v>
      </c>
      <c r="AI125">
        <v>-5721.1300000000092</v>
      </c>
      <c r="AJ125">
        <v>0</v>
      </c>
      <c r="AK125">
        <v>5721.1300000000092</v>
      </c>
      <c r="AL125">
        <v>112451.65999999996</v>
      </c>
      <c r="AM125">
        <v>127183.90000000101</v>
      </c>
      <c r="AN125">
        <v>14732.239999999903</v>
      </c>
      <c r="AO125">
        <v>2019</v>
      </c>
    </row>
    <row r="126" spans="1:41" x14ac:dyDescent="0.35">
      <c r="A126">
        <v>2024</v>
      </c>
      <c r="B126">
        <v>3</v>
      </c>
      <c r="C126">
        <v>12</v>
      </c>
      <c r="D126" s="14">
        <v>45373</v>
      </c>
      <c r="E126" t="s">
        <v>44</v>
      </c>
      <c r="F126" t="s">
        <v>42</v>
      </c>
      <c r="G126" t="s">
        <v>45</v>
      </c>
      <c r="H126">
        <v>136030.5</v>
      </c>
      <c r="I126">
        <v>136030.5</v>
      </c>
      <c r="J126">
        <v>0</v>
      </c>
      <c r="K126">
        <v>1014.5300000000053</v>
      </c>
      <c r="L126">
        <v>1014.5300000000053</v>
      </c>
      <c r="M126">
        <v>0</v>
      </c>
      <c r="N126">
        <v>5797.2799999999497</v>
      </c>
      <c r="O126">
        <v>5781.2899999999499</v>
      </c>
      <c r="P126">
        <v>-15.99</v>
      </c>
      <c r="Q126">
        <v>-26524.1</v>
      </c>
      <c r="R126">
        <v>-25686.1</v>
      </c>
      <c r="S126">
        <v>838</v>
      </c>
      <c r="T126">
        <v>-5.95</v>
      </c>
      <c r="U126">
        <v>-5.95</v>
      </c>
      <c r="V126">
        <v>0</v>
      </c>
      <c r="W126">
        <v>-118.28999999999999</v>
      </c>
      <c r="X126">
        <v>-110.28999999999999</v>
      </c>
      <c r="Y126">
        <v>8</v>
      </c>
      <c r="Z126">
        <v>116193.97000000069</v>
      </c>
      <c r="AA126">
        <v>117023.98000000068</v>
      </c>
      <c r="AB126">
        <v>830.01</v>
      </c>
      <c r="AC126">
        <v>26694.609999999833</v>
      </c>
      <c r="AD126">
        <v>15491.019999999966</v>
      </c>
      <c r="AE126">
        <v>-11203.589999999998</v>
      </c>
      <c r="AF126">
        <v>89499.360000000597</v>
      </c>
      <c r="AG126">
        <v>101532.96000000049</v>
      </c>
      <c r="AH126">
        <v>12033.599999999991</v>
      </c>
      <c r="AI126">
        <v>-7547.2300000000068</v>
      </c>
      <c r="AJ126">
        <v>0</v>
      </c>
      <c r="AK126">
        <v>7547.2300000000068</v>
      </c>
      <c r="AL126">
        <v>97046.590000000186</v>
      </c>
      <c r="AM126">
        <v>101532.96000000049</v>
      </c>
      <c r="AN126">
        <v>4486.3700000000126</v>
      </c>
      <c r="AO126">
        <v>1733</v>
      </c>
    </row>
    <row r="127" spans="1:41" x14ac:dyDescent="0.35">
      <c r="A127">
        <v>2024</v>
      </c>
      <c r="B127">
        <v>3</v>
      </c>
      <c r="C127">
        <v>12</v>
      </c>
      <c r="D127" s="14">
        <v>45374</v>
      </c>
      <c r="E127" t="s">
        <v>44</v>
      </c>
      <c r="F127" t="s">
        <v>42</v>
      </c>
      <c r="G127" t="s">
        <v>45</v>
      </c>
      <c r="H127">
        <v>145322</v>
      </c>
      <c r="I127">
        <v>145322</v>
      </c>
      <c r="J127">
        <v>0</v>
      </c>
      <c r="K127">
        <v>1168.6100000000104</v>
      </c>
      <c r="L127">
        <v>1138.6100000000104</v>
      </c>
      <c r="M127">
        <v>-30</v>
      </c>
      <c r="N127">
        <v>6417.7999999999383</v>
      </c>
      <c r="O127">
        <v>6417.7999999999383</v>
      </c>
      <c r="P127">
        <v>0</v>
      </c>
      <c r="Q127">
        <v>-28719.599999999999</v>
      </c>
      <c r="R127">
        <v>-27785.599999999999</v>
      </c>
      <c r="S127">
        <v>934</v>
      </c>
      <c r="T127">
        <v>-11.990000000000002</v>
      </c>
      <c r="U127">
        <v>-11.990000000000002</v>
      </c>
      <c r="V127">
        <v>0</v>
      </c>
      <c r="W127">
        <v>-118.09</v>
      </c>
      <c r="X127">
        <v>-118.09</v>
      </c>
      <c r="Y127">
        <v>0</v>
      </c>
      <c r="Z127">
        <v>124058.73000000099</v>
      </c>
      <c r="AA127">
        <v>124962.73000000099</v>
      </c>
      <c r="AB127">
        <v>904</v>
      </c>
      <c r="AC127">
        <v>27910.219999999765</v>
      </c>
      <c r="AD127">
        <v>12751.439999999975</v>
      </c>
      <c r="AE127">
        <v>-15158.779999999982</v>
      </c>
      <c r="AF127">
        <v>96148.510000000504</v>
      </c>
      <c r="AG127">
        <v>112211.29000000049</v>
      </c>
      <c r="AH127">
        <v>16062.779999999982</v>
      </c>
      <c r="AI127">
        <v>-6384.7700000000168</v>
      </c>
      <c r="AJ127">
        <v>0</v>
      </c>
      <c r="AK127">
        <v>6384.7700000000168</v>
      </c>
      <c r="AL127">
        <v>102533.28000000009</v>
      </c>
      <c r="AM127">
        <v>112211.29000000049</v>
      </c>
      <c r="AN127">
        <v>9678.0099999999929</v>
      </c>
      <c r="AO127">
        <v>1869</v>
      </c>
    </row>
    <row r="128" spans="1:41" x14ac:dyDescent="0.35">
      <c r="A128">
        <v>2024</v>
      </c>
      <c r="B128">
        <v>3</v>
      </c>
      <c r="C128">
        <v>12</v>
      </c>
      <c r="D128" s="14">
        <v>45368</v>
      </c>
      <c r="E128" t="s">
        <v>44</v>
      </c>
      <c r="F128" t="s">
        <v>42</v>
      </c>
      <c r="G128" t="s">
        <v>46</v>
      </c>
      <c r="H128">
        <v>51400.059999999947</v>
      </c>
      <c r="I128">
        <v>51400.059999999947</v>
      </c>
      <c r="J128">
        <v>0</v>
      </c>
      <c r="K128">
        <v>255.58000000000024</v>
      </c>
      <c r="L128">
        <v>225.58000000000024</v>
      </c>
      <c r="M128">
        <v>-30</v>
      </c>
      <c r="N128">
        <v>1261.2200000000005</v>
      </c>
      <c r="O128">
        <v>1242.2300000000005</v>
      </c>
      <c r="P128">
        <v>-18.990000000000002</v>
      </c>
      <c r="Q128">
        <v>-18197.279999999962</v>
      </c>
      <c r="R128">
        <v>-17795.279999999959</v>
      </c>
      <c r="S128">
        <v>402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34719.58</v>
      </c>
      <c r="AA128">
        <v>35072.590000000004</v>
      </c>
      <c r="AB128">
        <v>353.01</v>
      </c>
      <c r="AC128">
        <v>9158.4300000000076</v>
      </c>
      <c r="AD128">
        <v>4806.8300000000045</v>
      </c>
      <c r="AE128">
        <v>-4351.6000000000058</v>
      </c>
      <c r="AF128">
        <v>25561.150000000041</v>
      </c>
      <c r="AG128">
        <v>30265.760000000042</v>
      </c>
      <c r="AH128">
        <v>4704.6100000000051</v>
      </c>
      <c r="AI128">
        <v>-1604.2699999999998</v>
      </c>
      <c r="AJ128">
        <v>0</v>
      </c>
      <c r="AK128">
        <v>1604.2699999999998</v>
      </c>
      <c r="AL128">
        <v>27165.420000000002</v>
      </c>
      <c r="AM128">
        <v>30265.760000000042</v>
      </c>
      <c r="AN128">
        <v>3100.3400000000011</v>
      </c>
      <c r="AO128">
        <v>606</v>
      </c>
    </row>
    <row r="129" spans="1:41" x14ac:dyDescent="0.35">
      <c r="A129">
        <v>2024</v>
      </c>
      <c r="B129">
        <v>3</v>
      </c>
      <c r="C129">
        <v>12</v>
      </c>
      <c r="D129" s="14">
        <v>45369</v>
      </c>
      <c r="E129" t="s">
        <v>44</v>
      </c>
      <c r="F129" t="s">
        <v>42</v>
      </c>
      <c r="G129" t="s">
        <v>46</v>
      </c>
      <c r="H129">
        <v>47861.199999999961</v>
      </c>
      <c r="I129">
        <v>47861.199999999961</v>
      </c>
      <c r="J129">
        <v>0</v>
      </c>
      <c r="K129">
        <v>199.07000000000002</v>
      </c>
      <c r="L129">
        <v>199.07000000000002</v>
      </c>
      <c r="M129">
        <v>0</v>
      </c>
      <c r="N129">
        <v>1333.1400000000006</v>
      </c>
      <c r="O129">
        <v>1333.1400000000006</v>
      </c>
      <c r="P129">
        <v>0</v>
      </c>
      <c r="Q129">
        <v>-17161.749999999964</v>
      </c>
      <c r="R129">
        <v>-16822.749999999964</v>
      </c>
      <c r="S129">
        <v>339</v>
      </c>
      <c r="T129">
        <v>0</v>
      </c>
      <c r="U129">
        <v>0</v>
      </c>
      <c r="V129">
        <v>0</v>
      </c>
      <c r="W129">
        <v>-5</v>
      </c>
      <c r="X129">
        <v>-5</v>
      </c>
      <c r="Y129">
        <v>0</v>
      </c>
      <c r="Z129">
        <v>32226.660000000003</v>
      </c>
      <c r="AA129">
        <v>32565.660000000003</v>
      </c>
      <c r="AB129">
        <v>339</v>
      </c>
      <c r="AC129">
        <v>8825.6600000000071</v>
      </c>
      <c r="AD129">
        <v>4218.9600000000037</v>
      </c>
      <c r="AE129">
        <v>-4606.7000000000044</v>
      </c>
      <c r="AF129">
        <v>23401.00000000004</v>
      </c>
      <c r="AG129">
        <v>28346.700000000015</v>
      </c>
      <c r="AH129">
        <v>4945.7000000000044</v>
      </c>
      <c r="AI129">
        <v>-1744.4700000000016</v>
      </c>
      <c r="AJ129">
        <v>0</v>
      </c>
      <c r="AK129">
        <v>1744.4700000000016</v>
      </c>
      <c r="AL129">
        <v>25145.470000000005</v>
      </c>
      <c r="AM129">
        <v>28346.700000000015</v>
      </c>
      <c r="AN129">
        <v>3201.2300000000027</v>
      </c>
      <c r="AO129">
        <v>557</v>
      </c>
    </row>
    <row r="130" spans="1:41" x14ac:dyDescent="0.35">
      <c r="A130">
        <v>2024</v>
      </c>
      <c r="B130">
        <v>3</v>
      </c>
      <c r="C130">
        <v>12</v>
      </c>
      <c r="D130" s="14">
        <v>45370</v>
      </c>
      <c r="E130" t="s">
        <v>44</v>
      </c>
      <c r="F130" t="s">
        <v>42</v>
      </c>
      <c r="G130" t="s">
        <v>46</v>
      </c>
      <c r="H130">
        <v>39811.549999999974</v>
      </c>
      <c r="I130">
        <v>39811.549999999974</v>
      </c>
      <c r="J130">
        <v>0</v>
      </c>
      <c r="K130">
        <v>163.65000000000006</v>
      </c>
      <c r="L130">
        <v>163.65000000000006</v>
      </c>
      <c r="M130">
        <v>0</v>
      </c>
      <c r="N130">
        <v>1159.2400000000005</v>
      </c>
      <c r="O130">
        <v>1159.2400000000005</v>
      </c>
      <c r="P130">
        <v>0</v>
      </c>
      <c r="Q130">
        <v>-14175.999999999984</v>
      </c>
      <c r="R130">
        <v>-14162.499999999984</v>
      </c>
      <c r="S130">
        <v>13.5</v>
      </c>
      <c r="T130">
        <v>0</v>
      </c>
      <c r="U130">
        <v>0</v>
      </c>
      <c r="V130">
        <v>0</v>
      </c>
      <c r="W130">
        <v>-10</v>
      </c>
      <c r="X130">
        <v>-10</v>
      </c>
      <c r="Y130">
        <v>0</v>
      </c>
      <c r="Z130">
        <v>26948.440000000017</v>
      </c>
      <c r="AA130">
        <v>26961.940000000017</v>
      </c>
      <c r="AB130">
        <v>13.5</v>
      </c>
      <c r="AC130">
        <v>7430.8000000000093</v>
      </c>
      <c r="AD130">
        <v>3316.4700000000021</v>
      </c>
      <c r="AE130">
        <v>-4114.3300000000036</v>
      </c>
      <c r="AF130">
        <v>19517.64000000001</v>
      </c>
      <c r="AG130">
        <v>23645.470000000012</v>
      </c>
      <c r="AH130">
        <v>4127.8300000000036</v>
      </c>
      <c r="AI130">
        <v>-1316.4900000000002</v>
      </c>
      <c r="AJ130">
        <v>0</v>
      </c>
      <c r="AK130">
        <v>1316.4900000000002</v>
      </c>
      <c r="AL130">
        <v>20834.130000000012</v>
      </c>
      <c r="AM130">
        <v>23645.470000000012</v>
      </c>
      <c r="AN130">
        <v>2811.3400000000024</v>
      </c>
      <c r="AO130">
        <v>468</v>
      </c>
    </row>
    <row r="131" spans="1:41" x14ac:dyDescent="0.35">
      <c r="A131">
        <v>2024</v>
      </c>
      <c r="B131">
        <v>3</v>
      </c>
      <c r="C131">
        <v>12</v>
      </c>
      <c r="D131" s="14">
        <v>45371</v>
      </c>
      <c r="E131" t="s">
        <v>44</v>
      </c>
      <c r="F131" t="s">
        <v>42</v>
      </c>
      <c r="G131" t="s">
        <v>46</v>
      </c>
      <c r="H131">
        <v>56189.259999999958</v>
      </c>
      <c r="I131">
        <v>56189.259999999958</v>
      </c>
      <c r="J131">
        <v>0</v>
      </c>
      <c r="K131">
        <v>326.28999999999951</v>
      </c>
      <c r="L131">
        <v>326.28999999999951</v>
      </c>
      <c r="M131">
        <v>0</v>
      </c>
      <c r="N131">
        <v>1506.0600000000006</v>
      </c>
      <c r="O131">
        <v>1506.0600000000006</v>
      </c>
      <c r="P131">
        <v>0</v>
      </c>
      <c r="Q131">
        <v>-19702.529999999962</v>
      </c>
      <c r="R131">
        <v>-19497.529999999962</v>
      </c>
      <c r="S131">
        <v>205</v>
      </c>
      <c r="T131">
        <v>0</v>
      </c>
      <c r="U131">
        <v>0</v>
      </c>
      <c r="V131">
        <v>0</v>
      </c>
      <c r="W131">
        <v>-15</v>
      </c>
      <c r="X131">
        <v>-15</v>
      </c>
      <c r="Y131">
        <v>0</v>
      </c>
      <c r="Z131">
        <v>38304.079999999973</v>
      </c>
      <c r="AA131">
        <v>38509.079999999973</v>
      </c>
      <c r="AB131">
        <v>205</v>
      </c>
      <c r="AC131">
        <v>10617.45999999999</v>
      </c>
      <c r="AD131">
        <v>7342.4500000000135</v>
      </c>
      <c r="AE131">
        <v>-3275.0100000000029</v>
      </c>
      <c r="AF131">
        <v>27686.620000000035</v>
      </c>
      <c r="AG131">
        <v>31166.630000000026</v>
      </c>
      <c r="AH131">
        <v>3480.0100000000029</v>
      </c>
      <c r="AI131">
        <v>-2758.5299999999997</v>
      </c>
      <c r="AJ131">
        <v>0</v>
      </c>
      <c r="AK131">
        <v>2758.5299999999997</v>
      </c>
      <c r="AL131">
        <v>30445.149999999991</v>
      </c>
      <c r="AM131">
        <v>31166.630000000026</v>
      </c>
      <c r="AN131">
        <v>721.47999999999911</v>
      </c>
      <c r="AO131">
        <v>657</v>
      </c>
    </row>
    <row r="132" spans="1:41" x14ac:dyDescent="0.35">
      <c r="A132">
        <v>2024</v>
      </c>
      <c r="B132">
        <v>3</v>
      </c>
      <c r="C132">
        <v>12</v>
      </c>
      <c r="D132" s="14">
        <v>45372</v>
      </c>
      <c r="E132" t="s">
        <v>44</v>
      </c>
      <c r="F132" t="s">
        <v>42</v>
      </c>
      <c r="G132" t="s">
        <v>46</v>
      </c>
      <c r="H132">
        <v>61650.029999999941</v>
      </c>
      <c r="I132">
        <v>61650.029999999941</v>
      </c>
      <c r="J132">
        <v>0</v>
      </c>
      <c r="K132">
        <v>268.39999999999986</v>
      </c>
      <c r="L132">
        <v>268.39999999999986</v>
      </c>
      <c r="M132">
        <v>0</v>
      </c>
      <c r="N132">
        <v>1585.9900000000007</v>
      </c>
      <c r="O132">
        <v>1573.0000000000007</v>
      </c>
      <c r="P132">
        <v>-12.99</v>
      </c>
      <c r="Q132">
        <v>-21242.01999999996</v>
      </c>
      <c r="R132">
        <v>-20878.019999999957</v>
      </c>
      <c r="S132">
        <v>364</v>
      </c>
      <c r="T132">
        <v>0</v>
      </c>
      <c r="U132">
        <v>0</v>
      </c>
      <c r="V132">
        <v>0</v>
      </c>
      <c r="W132">
        <v>-15</v>
      </c>
      <c r="X132">
        <v>-15</v>
      </c>
      <c r="Y132">
        <v>0</v>
      </c>
      <c r="Z132">
        <v>42247.399999999936</v>
      </c>
      <c r="AA132">
        <v>42598.409999999931</v>
      </c>
      <c r="AB132">
        <v>351.01</v>
      </c>
      <c r="AC132">
        <v>11536.559999999989</v>
      </c>
      <c r="AD132">
        <v>4485.2400000000052</v>
      </c>
      <c r="AE132">
        <v>-7051.3200000000124</v>
      </c>
      <c r="AF132">
        <v>30710.840000000044</v>
      </c>
      <c r="AG132">
        <v>38113.170000000006</v>
      </c>
      <c r="AH132">
        <v>7402.3300000000127</v>
      </c>
      <c r="AI132">
        <v>-1525.63</v>
      </c>
      <c r="AJ132">
        <v>0</v>
      </c>
      <c r="AK132">
        <v>1525.63</v>
      </c>
      <c r="AL132">
        <v>32236.470000000016</v>
      </c>
      <c r="AM132">
        <v>38113.170000000006</v>
      </c>
      <c r="AN132">
        <v>5876.7000000000107</v>
      </c>
      <c r="AO132">
        <v>729</v>
      </c>
    </row>
    <row r="133" spans="1:41" x14ac:dyDescent="0.35">
      <c r="A133">
        <v>2024</v>
      </c>
      <c r="B133">
        <v>3</v>
      </c>
      <c r="C133">
        <v>12</v>
      </c>
      <c r="D133" s="14">
        <v>45373</v>
      </c>
      <c r="E133" t="s">
        <v>44</v>
      </c>
      <c r="F133" t="s">
        <v>42</v>
      </c>
      <c r="G133" t="s">
        <v>46</v>
      </c>
      <c r="H133">
        <v>53986.389999999948</v>
      </c>
      <c r="I133">
        <v>53986.389999999948</v>
      </c>
      <c r="J133">
        <v>0</v>
      </c>
      <c r="K133">
        <v>281.74999999999972</v>
      </c>
      <c r="L133">
        <v>281.74999999999972</v>
      </c>
      <c r="M133">
        <v>0</v>
      </c>
      <c r="N133">
        <v>1465.0600000000006</v>
      </c>
      <c r="O133">
        <v>1465.0600000000006</v>
      </c>
      <c r="P133">
        <v>0</v>
      </c>
      <c r="Q133">
        <v>-18622.979999999956</v>
      </c>
      <c r="R133">
        <v>-18309.97999999996</v>
      </c>
      <c r="S133">
        <v>313</v>
      </c>
      <c r="T133">
        <v>-0.46</v>
      </c>
      <c r="U133">
        <v>-0.46</v>
      </c>
      <c r="V133">
        <v>0</v>
      </c>
      <c r="W133">
        <v>-5</v>
      </c>
      <c r="X133">
        <v>-5</v>
      </c>
      <c r="Y133">
        <v>0</v>
      </c>
      <c r="Z133">
        <v>37104.759999999987</v>
      </c>
      <c r="AA133">
        <v>37417.75999999998</v>
      </c>
      <c r="AB133">
        <v>313</v>
      </c>
      <c r="AC133">
        <v>9409.9100000000071</v>
      </c>
      <c r="AD133">
        <v>5121.4700000000075</v>
      </c>
      <c r="AE133">
        <v>-4288.4400000000041</v>
      </c>
      <c r="AF133">
        <v>27694.850000000042</v>
      </c>
      <c r="AG133">
        <v>32296.290000000037</v>
      </c>
      <c r="AH133">
        <v>4601.4400000000051</v>
      </c>
      <c r="AI133">
        <v>-1589.7400000000007</v>
      </c>
      <c r="AJ133">
        <v>0</v>
      </c>
      <c r="AK133">
        <v>1589.7400000000007</v>
      </c>
      <c r="AL133">
        <v>29284.589999999989</v>
      </c>
      <c r="AM133">
        <v>32296.290000000037</v>
      </c>
      <c r="AN133">
        <v>3011.7</v>
      </c>
      <c r="AO133">
        <v>641</v>
      </c>
    </row>
    <row r="134" spans="1:41" x14ac:dyDescent="0.35">
      <c r="A134">
        <v>2024</v>
      </c>
      <c r="B134">
        <v>3</v>
      </c>
      <c r="C134">
        <v>12</v>
      </c>
      <c r="D134" s="14">
        <v>45374</v>
      </c>
      <c r="E134" t="s">
        <v>44</v>
      </c>
      <c r="F134" t="s">
        <v>42</v>
      </c>
      <c r="G134" t="s">
        <v>46</v>
      </c>
      <c r="H134">
        <v>58083.499999999942</v>
      </c>
      <c r="I134">
        <v>58083.499999999942</v>
      </c>
      <c r="J134">
        <v>0</v>
      </c>
      <c r="K134">
        <v>408.66999999999905</v>
      </c>
      <c r="L134">
        <v>408.66999999999905</v>
      </c>
      <c r="M134">
        <v>0</v>
      </c>
      <c r="N134">
        <v>1652.9600000000007</v>
      </c>
      <c r="O134">
        <v>1652.9600000000007</v>
      </c>
      <c r="P134">
        <v>0</v>
      </c>
      <c r="Q134">
        <v>-20381.76999999995</v>
      </c>
      <c r="R134">
        <v>-20026.55999999995</v>
      </c>
      <c r="S134">
        <v>355.21</v>
      </c>
      <c r="T134">
        <v>-0.46</v>
      </c>
      <c r="U134">
        <v>-0.46</v>
      </c>
      <c r="V134">
        <v>0</v>
      </c>
      <c r="W134">
        <v>-10</v>
      </c>
      <c r="X134">
        <v>-10</v>
      </c>
      <c r="Y134">
        <v>0</v>
      </c>
      <c r="Z134">
        <v>39752.899999999958</v>
      </c>
      <c r="AA134">
        <v>40108.10999999995</v>
      </c>
      <c r="AB134">
        <v>355.21</v>
      </c>
      <c r="AC134">
        <v>10370.739999999996</v>
      </c>
      <c r="AD134">
        <v>5275.0200000000068</v>
      </c>
      <c r="AE134">
        <v>-5095.7200000000057</v>
      </c>
      <c r="AF134">
        <v>29382.160000000062</v>
      </c>
      <c r="AG134">
        <v>34833.09000000004</v>
      </c>
      <c r="AH134">
        <v>5450.9300000000067</v>
      </c>
      <c r="AI134">
        <v>-1522.7500000000016</v>
      </c>
      <c r="AJ134">
        <v>0</v>
      </c>
      <c r="AK134">
        <v>1522.7500000000016</v>
      </c>
      <c r="AL134">
        <v>30904.91</v>
      </c>
      <c r="AM134">
        <v>34833.09000000004</v>
      </c>
      <c r="AN134">
        <v>3928.1800000000017</v>
      </c>
      <c r="AO134">
        <v>692</v>
      </c>
    </row>
    <row r="135" spans="1:41" x14ac:dyDescent="0.35">
      <c r="A135">
        <v>2024</v>
      </c>
      <c r="B135">
        <v>3</v>
      </c>
      <c r="C135">
        <v>12</v>
      </c>
      <c r="D135" s="14">
        <v>45368</v>
      </c>
      <c r="E135" t="s">
        <v>44</v>
      </c>
      <c r="F135" t="s">
        <v>47</v>
      </c>
      <c r="G135" t="s">
        <v>48</v>
      </c>
      <c r="H135">
        <v>10289.099999999973</v>
      </c>
      <c r="I135">
        <v>10289.099999999973</v>
      </c>
      <c r="J135">
        <v>0</v>
      </c>
      <c r="K135">
        <v>1053.3500000000006</v>
      </c>
      <c r="L135">
        <v>1053.3500000000006</v>
      </c>
      <c r="M135">
        <v>0</v>
      </c>
      <c r="N135">
        <v>27.980000000000004</v>
      </c>
      <c r="O135">
        <v>27.980000000000004</v>
      </c>
      <c r="P135">
        <v>0</v>
      </c>
      <c r="Q135">
        <v>-2328.3500000000022</v>
      </c>
      <c r="R135">
        <v>-2328.3500000000022</v>
      </c>
      <c r="S135">
        <v>0</v>
      </c>
      <c r="T135">
        <v>-97.6</v>
      </c>
      <c r="U135">
        <v>-97.6</v>
      </c>
      <c r="V135">
        <v>0</v>
      </c>
      <c r="W135">
        <v>0</v>
      </c>
      <c r="X135">
        <v>0</v>
      </c>
      <c r="Y135">
        <v>0</v>
      </c>
      <c r="Z135">
        <v>8944.4799999999832</v>
      </c>
      <c r="AA135">
        <v>8944.4799999999832</v>
      </c>
      <c r="AB135">
        <v>0</v>
      </c>
      <c r="AC135">
        <v>15</v>
      </c>
      <c r="AE135">
        <v>-15</v>
      </c>
      <c r="AF135">
        <v>8929.4799999999832</v>
      </c>
      <c r="AG135">
        <v>8944.4799999999832</v>
      </c>
      <c r="AH135">
        <v>15</v>
      </c>
      <c r="AI135">
        <v>3080.3700000000008</v>
      </c>
      <c r="AJ135">
        <v>0</v>
      </c>
      <c r="AK135">
        <v>-3080.3700000000008</v>
      </c>
      <c r="AL135">
        <v>5849.11</v>
      </c>
      <c r="AM135">
        <v>8944.4799999999832</v>
      </c>
      <c r="AN135">
        <v>3095.3700000000008</v>
      </c>
      <c r="AO135">
        <v>231</v>
      </c>
    </row>
    <row r="136" spans="1:41" x14ac:dyDescent="0.35">
      <c r="A136">
        <v>2024</v>
      </c>
      <c r="B136">
        <v>3</v>
      </c>
      <c r="C136">
        <v>12</v>
      </c>
      <c r="D136" s="14">
        <v>45369</v>
      </c>
      <c r="E136" t="s">
        <v>44</v>
      </c>
      <c r="F136" t="s">
        <v>47</v>
      </c>
      <c r="G136" t="s">
        <v>48</v>
      </c>
      <c r="H136">
        <v>4719.75</v>
      </c>
      <c r="I136">
        <v>4719.75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-2107.9999999999995</v>
      </c>
      <c r="R136">
        <v>-2107.9999999999995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2611.7500000000014</v>
      </c>
      <c r="AA136">
        <v>2611.7500000000014</v>
      </c>
      <c r="AB136">
        <v>0</v>
      </c>
      <c r="AC136">
        <v>15</v>
      </c>
      <c r="AD136">
        <v>15</v>
      </c>
      <c r="AE136">
        <v>0</v>
      </c>
      <c r="AF136">
        <v>2596.7500000000014</v>
      </c>
      <c r="AG136">
        <v>2596.7500000000014</v>
      </c>
      <c r="AH136">
        <v>0</v>
      </c>
      <c r="AI136">
        <v>951.86000000000013</v>
      </c>
      <c r="AJ136">
        <v>0</v>
      </c>
      <c r="AK136">
        <v>-951.86000000000013</v>
      </c>
      <c r="AL136">
        <v>1644.8900000000008</v>
      </c>
      <c r="AM136">
        <v>2596.7500000000014</v>
      </c>
      <c r="AN136">
        <v>951.86000000000013</v>
      </c>
      <c r="AO136">
        <v>113</v>
      </c>
    </row>
    <row r="137" spans="1:41" x14ac:dyDescent="0.35">
      <c r="A137">
        <v>2024</v>
      </c>
      <c r="B137">
        <v>3</v>
      </c>
      <c r="C137">
        <v>12</v>
      </c>
      <c r="D137" s="14">
        <v>45370</v>
      </c>
      <c r="E137" t="s">
        <v>44</v>
      </c>
      <c r="F137" t="s">
        <v>47</v>
      </c>
      <c r="G137" t="s">
        <v>48</v>
      </c>
      <c r="H137">
        <v>6360</v>
      </c>
      <c r="I137">
        <v>6360</v>
      </c>
      <c r="J137">
        <v>0</v>
      </c>
      <c r="K137">
        <v>12.5</v>
      </c>
      <c r="L137">
        <v>12.5</v>
      </c>
      <c r="M137">
        <v>0</v>
      </c>
      <c r="N137">
        <v>0</v>
      </c>
      <c r="O137">
        <v>0</v>
      </c>
      <c r="P137">
        <v>0</v>
      </c>
      <c r="Q137">
        <v>-1516.25</v>
      </c>
      <c r="R137">
        <v>-1516.25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4856.25</v>
      </c>
      <c r="AA137">
        <v>4856.25</v>
      </c>
      <c r="AB137">
        <v>0</v>
      </c>
      <c r="AC137">
        <v>15</v>
      </c>
      <c r="AE137">
        <v>-15</v>
      </c>
      <c r="AF137">
        <v>4841.25</v>
      </c>
      <c r="AG137">
        <v>4856.25</v>
      </c>
      <c r="AH137">
        <v>15</v>
      </c>
      <c r="AI137">
        <v>639.7700000000001</v>
      </c>
      <c r="AJ137">
        <v>0</v>
      </c>
      <c r="AK137">
        <v>-639.7700000000001</v>
      </c>
      <c r="AL137">
        <v>4201.4799999999987</v>
      </c>
      <c r="AM137">
        <v>4856.25</v>
      </c>
      <c r="AN137">
        <v>654.77</v>
      </c>
      <c r="AO137">
        <v>98</v>
      </c>
    </row>
    <row r="138" spans="1:41" x14ac:dyDescent="0.35">
      <c r="A138">
        <v>2024</v>
      </c>
      <c r="B138">
        <v>3</v>
      </c>
      <c r="C138">
        <v>12</v>
      </c>
      <c r="D138" s="14">
        <v>45371</v>
      </c>
      <c r="E138" t="s">
        <v>44</v>
      </c>
      <c r="F138" t="s">
        <v>47</v>
      </c>
      <c r="G138" t="s">
        <v>48</v>
      </c>
      <c r="H138">
        <v>2272.3999999999987</v>
      </c>
      <c r="I138">
        <v>2272.3999999999987</v>
      </c>
      <c r="J138">
        <v>0</v>
      </c>
      <c r="K138">
        <v>198.08999999999997</v>
      </c>
      <c r="L138">
        <v>198.08999999999997</v>
      </c>
      <c r="M138">
        <v>0</v>
      </c>
      <c r="N138">
        <v>15.99</v>
      </c>
      <c r="O138">
        <v>15.99</v>
      </c>
      <c r="P138">
        <v>0</v>
      </c>
      <c r="Q138">
        <v>-439.5</v>
      </c>
      <c r="R138">
        <v>-439.5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2046.9799999999991</v>
      </c>
      <c r="AA138">
        <v>2046.9799999999991</v>
      </c>
      <c r="AB138">
        <v>0</v>
      </c>
      <c r="AC138">
        <v>116.46000000000001</v>
      </c>
      <c r="AD138">
        <v>116.46000000000001</v>
      </c>
      <c r="AE138">
        <v>0</v>
      </c>
      <c r="AF138">
        <v>1930.5199999999991</v>
      </c>
      <c r="AG138">
        <v>1930.5199999999991</v>
      </c>
      <c r="AH138">
        <v>0</v>
      </c>
      <c r="AI138">
        <v>383.62</v>
      </c>
      <c r="AJ138">
        <v>0</v>
      </c>
      <c r="AK138">
        <v>-383.62</v>
      </c>
      <c r="AL138">
        <v>1546.8999999999996</v>
      </c>
      <c r="AM138">
        <v>1930.5199999999991</v>
      </c>
      <c r="AN138">
        <v>383.62000000000006</v>
      </c>
      <c r="AO138">
        <v>65</v>
      </c>
    </row>
    <row r="139" spans="1:41" x14ac:dyDescent="0.35">
      <c r="A139">
        <v>2024</v>
      </c>
      <c r="B139">
        <v>3</v>
      </c>
      <c r="C139">
        <v>12</v>
      </c>
      <c r="D139" s="14">
        <v>45372</v>
      </c>
      <c r="E139" t="s">
        <v>44</v>
      </c>
      <c r="F139" t="s">
        <v>47</v>
      </c>
      <c r="G139" t="s">
        <v>48</v>
      </c>
      <c r="H139">
        <v>5394.6500000000096</v>
      </c>
      <c r="I139">
        <v>5394.6500000000096</v>
      </c>
      <c r="J139">
        <v>0</v>
      </c>
      <c r="K139">
        <v>194.2</v>
      </c>
      <c r="L139">
        <v>194.2</v>
      </c>
      <c r="M139">
        <v>0</v>
      </c>
      <c r="N139">
        <v>15.99</v>
      </c>
      <c r="O139">
        <v>15.99</v>
      </c>
      <c r="P139">
        <v>0</v>
      </c>
      <c r="Q139">
        <v>-1035.4000000000001</v>
      </c>
      <c r="R139">
        <v>-975.4</v>
      </c>
      <c r="S139">
        <v>60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4569.4400000000041</v>
      </c>
      <c r="AA139">
        <v>4629.4400000000041</v>
      </c>
      <c r="AB139">
        <v>60</v>
      </c>
      <c r="AC139">
        <v>116.46000000000001</v>
      </c>
      <c r="AE139">
        <v>-116.46000000000001</v>
      </c>
      <c r="AF139">
        <v>4452.9800000000041</v>
      </c>
      <c r="AG139">
        <v>4629.4400000000041</v>
      </c>
      <c r="AH139">
        <v>176.45999999999998</v>
      </c>
      <c r="AI139">
        <v>1433.4700000000003</v>
      </c>
      <c r="AJ139">
        <v>0</v>
      </c>
      <c r="AK139">
        <v>-1433.4700000000003</v>
      </c>
      <c r="AL139">
        <v>3019.5100000000029</v>
      </c>
      <c r="AM139">
        <v>4629.4400000000041</v>
      </c>
      <c r="AN139">
        <v>1609.9300000000003</v>
      </c>
      <c r="AO139">
        <v>135</v>
      </c>
    </row>
    <row r="140" spans="1:41" x14ac:dyDescent="0.35">
      <c r="A140">
        <v>2024</v>
      </c>
      <c r="B140">
        <v>3</v>
      </c>
      <c r="C140">
        <v>12</v>
      </c>
      <c r="D140" s="14">
        <v>45373</v>
      </c>
      <c r="E140" t="s">
        <v>44</v>
      </c>
      <c r="F140" t="s">
        <v>47</v>
      </c>
      <c r="G140" t="s">
        <v>48</v>
      </c>
      <c r="H140">
        <v>8346.7500000000291</v>
      </c>
      <c r="I140">
        <v>8346.7500000000291</v>
      </c>
      <c r="J140">
        <v>0</v>
      </c>
      <c r="K140">
        <v>305.36</v>
      </c>
      <c r="L140">
        <v>305.36</v>
      </c>
      <c r="M140">
        <v>0</v>
      </c>
      <c r="N140">
        <v>0</v>
      </c>
      <c r="O140">
        <v>0</v>
      </c>
      <c r="P140">
        <v>0</v>
      </c>
      <c r="Q140">
        <v>-1285.6500000000005</v>
      </c>
      <c r="R140">
        <v>-1285.6500000000005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7366.460000000031</v>
      </c>
      <c r="AA140">
        <v>7366.460000000031</v>
      </c>
      <c r="AB140">
        <v>0</v>
      </c>
      <c r="AC140">
        <v>30</v>
      </c>
      <c r="AD140">
        <v>30</v>
      </c>
      <c r="AE140">
        <v>0</v>
      </c>
      <c r="AF140">
        <v>7336.460000000031</v>
      </c>
      <c r="AG140">
        <v>7336.460000000031</v>
      </c>
      <c r="AH140">
        <v>0</v>
      </c>
      <c r="AI140">
        <v>2482.86</v>
      </c>
      <c r="AJ140">
        <v>0</v>
      </c>
      <c r="AK140">
        <v>-2482.86</v>
      </c>
      <c r="AL140">
        <v>4853.6000000000004</v>
      </c>
      <c r="AM140">
        <v>7336.460000000031</v>
      </c>
      <c r="AN140">
        <v>2482.86</v>
      </c>
      <c r="AO140">
        <v>246</v>
      </c>
    </row>
    <row r="141" spans="1:41" x14ac:dyDescent="0.35">
      <c r="A141">
        <v>2024</v>
      </c>
      <c r="B141">
        <v>3</v>
      </c>
      <c r="C141">
        <v>12</v>
      </c>
      <c r="D141" s="14">
        <v>45374</v>
      </c>
      <c r="E141" t="s">
        <v>44</v>
      </c>
      <c r="F141" t="s">
        <v>47</v>
      </c>
      <c r="G141" t="s">
        <v>48</v>
      </c>
      <c r="H141">
        <v>12663.299999999917</v>
      </c>
      <c r="I141">
        <v>12663.299999999917</v>
      </c>
      <c r="J141">
        <v>0</v>
      </c>
      <c r="K141">
        <v>254.59999999999997</v>
      </c>
      <c r="L141">
        <v>254.59999999999997</v>
      </c>
      <c r="M141">
        <v>0</v>
      </c>
      <c r="N141">
        <v>0</v>
      </c>
      <c r="O141">
        <v>0</v>
      </c>
      <c r="P141">
        <v>0</v>
      </c>
      <c r="Q141">
        <v>-4667.2000000000089</v>
      </c>
      <c r="R141">
        <v>-4667.2000000000089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8250.700000000008</v>
      </c>
      <c r="AA141">
        <v>8250.700000000008</v>
      </c>
      <c r="AB141">
        <v>0</v>
      </c>
      <c r="AC141">
        <v>30</v>
      </c>
      <c r="AE141">
        <v>-30</v>
      </c>
      <c r="AF141">
        <v>8220.700000000008</v>
      </c>
      <c r="AG141">
        <v>8250.700000000008</v>
      </c>
      <c r="AH141">
        <v>30</v>
      </c>
      <c r="AI141">
        <v>1948.07</v>
      </c>
      <c r="AJ141">
        <v>0</v>
      </c>
      <c r="AK141">
        <v>-1948.07</v>
      </c>
      <c r="AL141">
        <v>6272.6299999999883</v>
      </c>
      <c r="AM141">
        <v>8250.700000000008</v>
      </c>
      <c r="AN141">
        <v>1978.0700000000004</v>
      </c>
      <c r="AO141">
        <v>260</v>
      </c>
    </row>
    <row r="142" spans="1:41" x14ac:dyDescent="0.35">
      <c r="A142">
        <v>2024</v>
      </c>
      <c r="B142">
        <v>3</v>
      </c>
      <c r="C142">
        <v>12</v>
      </c>
      <c r="D142" s="14">
        <v>45368</v>
      </c>
      <c r="E142" t="s">
        <v>44</v>
      </c>
      <c r="F142" t="s">
        <v>47</v>
      </c>
      <c r="G142" t="s">
        <v>49</v>
      </c>
      <c r="H142">
        <v>14001.699999999993</v>
      </c>
      <c r="I142">
        <v>14001.699999999993</v>
      </c>
      <c r="J142">
        <v>0</v>
      </c>
      <c r="K142">
        <v>124.70000000000002</v>
      </c>
      <c r="L142">
        <v>124.70000000000002</v>
      </c>
      <c r="M142">
        <v>0</v>
      </c>
      <c r="N142">
        <v>108.92999999999999</v>
      </c>
      <c r="O142">
        <v>108.92999999999999</v>
      </c>
      <c r="P142">
        <v>0</v>
      </c>
      <c r="Q142">
        <v>-4301.1799999999985</v>
      </c>
      <c r="R142">
        <v>-4296.1799999999985</v>
      </c>
      <c r="S142">
        <v>5</v>
      </c>
      <c r="T142">
        <v>-15</v>
      </c>
      <c r="U142">
        <v>-15</v>
      </c>
      <c r="V142">
        <v>0</v>
      </c>
      <c r="W142">
        <v>-10</v>
      </c>
      <c r="X142">
        <v>-10</v>
      </c>
      <c r="Y142">
        <v>0</v>
      </c>
      <c r="Z142">
        <v>9909.1499999999942</v>
      </c>
      <c r="AA142">
        <v>9914.1499999999942</v>
      </c>
      <c r="AB142">
        <v>5</v>
      </c>
      <c r="AC142">
        <v>614.75</v>
      </c>
      <c r="AD142">
        <v>466.82000000000011</v>
      </c>
      <c r="AE142">
        <v>-147.93</v>
      </c>
      <c r="AF142">
        <v>9294.399999999996</v>
      </c>
      <c r="AG142">
        <v>9447.3299999999927</v>
      </c>
      <c r="AH142">
        <v>152.92999999999998</v>
      </c>
      <c r="AI142">
        <v>2228.0700000000011</v>
      </c>
      <c r="AJ142">
        <v>0</v>
      </c>
      <c r="AK142">
        <v>-2228.0700000000011</v>
      </c>
      <c r="AL142">
        <v>7066.3299999999927</v>
      </c>
      <c r="AM142">
        <v>9447.3299999999927</v>
      </c>
      <c r="AN142">
        <v>2381.0000000000018</v>
      </c>
      <c r="AO142">
        <v>192</v>
      </c>
    </row>
    <row r="143" spans="1:41" x14ac:dyDescent="0.35">
      <c r="A143">
        <v>2024</v>
      </c>
      <c r="B143">
        <v>3</v>
      </c>
      <c r="C143">
        <v>12</v>
      </c>
      <c r="D143" s="14">
        <v>45369</v>
      </c>
      <c r="E143" t="s">
        <v>44</v>
      </c>
      <c r="F143" t="s">
        <v>47</v>
      </c>
      <c r="G143" t="s">
        <v>49</v>
      </c>
      <c r="H143">
        <v>8951</v>
      </c>
      <c r="I143">
        <v>8951</v>
      </c>
      <c r="J143">
        <v>0</v>
      </c>
      <c r="K143">
        <v>124.86000000000001</v>
      </c>
      <c r="L143">
        <v>124.86000000000001</v>
      </c>
      <c r="M143">
        <v>0</v>
      </c>
      <c r="N143">
        <v>175.89000000000001</v>
      </c>
      <c r="O143">
        <v>175.89000000000001</v>
      </c>
      <c r="P143">
        <v>0</v>
      </c>
      <c r="Q143">
        <v>-2529.2499999999995</v>
      </c>
      <c r="R143">
        <v>-2513.2499999999995</v>
      </c>
      <c r="S143">
        <v>16</v>
      </c>
      <c r="T143">
        <v>-26</v>
      </c>
      <c r="U143">
        <v>-26</v>
      </c>
      <c r="V143">
        <v>0</v>
      </c>
      <c r="W143">
        <v>-5</v>
      </c>
      <c r="X143">
        <v>-5</v>
      </c>
      <c r="Y143">
        <v>0</v>
      </c>
      <c r="Z143">
        <v>6691.4999999999936</v>
      </c>
      <c r="AA143">
        <v>6707.4999999999936</v>
      </c>
      <c r="AB143">
        <v>16</v>
      </c>
      <c r="AC143">
        <v>568.91</v>
      </c>
      <c r="AD143">
        <v>112.51</v>
      </c>
      <c r="AE143">
        <v>-456.39999999999992</v>
      </c>
      <c r="AF143">
        <v>6122.5899999999947</v>
      </c>
      <c r="AG143">
        <v>6594.9899999999934</v>
      </c>
      <c r="AH143">
        <v>472.39999999999992</v>
      </c>
      <c r="AI143">
        <v>1236.1600000000001</v>
      </c>
      <c r="AJ143">
        <v>8.57</v>
      </c>
      <c r="AK143">
        <v>-1227.5899999999999</v>
      </c>
      <c r="AL143">
        <v>4886.4299999999985</v>
      </c>
      <c r="AM143">
        <v>6586.4199999999928</v>
      </c>
      <c r="AN143">
        <v>1699.99</v>
      </c>
      <c r="AO143">
        <v>129</v>
      </c>
    </row>
    <row r="144" spans="1:41" x14ac:dyDescent="0.35">
      <c r="A144">
        <v>2024</v>
      </c>
      <c r="B144">
        <v>3</v>
      </c>
      <c r="C144">
        <v>12</v>
      </c>
      <c r="D144" s="14">
        <v>45370</v>
      </c>
      <c r="E144" t="s">
        <v>44</v>
      </c>
      <c r="F144" t="s">
        <v>47</v>
      </c>
      <c r="G144" t="s">
        <v>49</v>
      </c>
      <c r="H144">
        <v>1324</v>
      </c>
      <c r="I144">
        <v>1324</v>
      </c>
      <c r="J144">
        <v>0</v>
      </c>
      <c r="K144">
        <v>12.3</v>
      </c>
      <c r="L144">
        <v>12.3</v>
      </c>
      <c r="M144">
        <v>0</v>
      </c>
      <c r="N144">
        <v>60.96</v>
      </c>
      <c r="O144">
        <v>60.96</v>
      </c>
      <c r="P144">
        <v>0</v>
      </c>
      <c r="Q144">
        <v>-544.5</v>
      </c>
      <c r="R144">
        <v>-544.5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852.7600000000001</v>
      </c>
      <c r="AA144">
        <v>852.7600000000001</v>
      </c>
      <c r="AB144">
        <v>0</v>
      </c>
      <c r="AC144">
        <v>200.84</v>
      </c>
      <c r="AD144">
        <v>93.5</v>
      </c>
      <c r="AE144">
        <v>-107.34</v>
      </c>
      <c r="AF144">
        <v>651.92000000000007</v>
      </c>
      <c r="AG144">
        <v>759.2600000000001</v>
      </c>
      <c r="AH144">
        <v>107.34</v>
      </c>
      <c r="AI144">
        <v>-70</v>
      </c>
      <c r="AJ144">
        <v>0</v>
      </c>
      <c r="AK144">
        <v>70</v>
      </c>
      <c r="AL144">
        <v>721.92000000000007</v>
      </c>
      <c r="AM144">
        <v>759.2600000000001</v>
      </c>
      <c r="AN144">
        <v>37.339999999999989</v>
      </c>
      <c r="AO144">
        <v>16</v>
      </c>
    </row>
    <row r="145" spans="1:41" x14ac:dyDescent="0.35">
      <c r="A145">
        <v>2024</v>
      </c>
      <c r="B145">
        <v>3</v>
      </c>
      <c r="C145">
        <v>12</v>
      </c>
      <c r="D145" s="14">
        <v>45371</v>
      </c>
      <c r="E145" t="s">
        <v>44</v>
      </c>
      <c r="F145" t="s">
        <v>47</v>
      </c>
      <c r="G145" t="s">
        <v>49</v>
      </c>
      <c r="H145">
        <v>5031.2000000000007</v>
      </c>
      <c r="I145">
        <v>5031.2000000000007</v>
      </c>
      <c r="J145">
        <v>0</v>
      </c>
      <c r="K145">
        <v>79.679999999999964</v>
      </c>
      <c r="L145">
        <v>79.679999999999964</v>
      </c>
      <c r="M145">
        <v>0</v>
      </c>
      <c r="N145">
        <v>108.92999999999999</v>
      </c>
      <c r="O145">
        <v>108.92999999999999</v>
      </c>
      <c r="P145">
        <v>0</v>
      </c>
      <c r="Q145">
        <v>-2131.4500000000007</v>
      </c>
      <c r="R145">
        <v>-2126.4500000000007</v>
      </c>
      <c r="S145">
        <v>5</v>
      </c>
      <c r="T145">
        <v>-5</v>
      </c>
      <c r="U145">
        <v>-5</v>
      </c>
      <c r="V145">
        <v>0</v>
      </c>
      <c r="W145">
        <v>-5</v>
      </c>
      <c r="X145">
        <v>-5</v>
      </c>
      <c r="Y145">
        <v>0</v>
      </c>
      <c r="Z145">
        <v>3078.3600000000006</v>
      </c>
      <c r="AA145">
        <v>3083.3600000000006</v>
      </c>
      <c r="AB145">
        <v>5</v>
      </c>
      <c r="AC145">
        <v>338.94</v>
      </c>
      <c r="AD145">
        <v>245.44000000000003</v>
      </c>
      <c r="AE145">
        <v>-93.5</v>
      </c>
      <c r="AF145">
        <v>2739.42</v>
      </c>
      <c r="AG145">
        <v>2837.92</v>
      </c>
      <c r="AH145">
        <v>98.500000000000014</v>
      </c>
      <c r="AI145">
        <v>282.24000000000007</v>
      </c>
      <c r="AJ145">
        <v>0</v>
      </c>
      <c r="AK145">
        <v>-282.24000000000007</v>
      </c>
      <c r="AL145">
        <v>2457.1800000000003</v>
      </c>
      <c r="AM145">
        <v>2837.92</v>
      </c>
      <c r="AN145">
        <v>380.74</v>
      </c>
      <c r="AO145">
        <v>58</v>
      </c>
    </row>
    <row r="146" spans="1:41" x14ac:dyDescent="0.35">
      <c r="A146">
        <v>2024</v>
      </c>
      <c r="B146">
        <v>3</v>
      </c>
      <c r="C146">
        <v>12</v>
      </c>
      <c r="D146" s="14">
        <v>45372</v>
      </c>
      <c r="E146" t="s">
        <v>44</v>
      </c>
      <c r="F146" t="s">
        <v>47</v>
      </c>
      <c r="G146" t="s">
        <v>49</v>
      </c>
      <c r="H146">
        <v>12507.119999999999</v>
      </c>
      <c r="I146">
        <v>12507.119999999999</v>
      </c>
      <c r="J146">
        <v>0</v>
      </c>
      <c r="K146">
        <v>152.39999999999998</v>
      </c>
      <c r="L146">
        <v>152.39999999999998</v>
      </c>
      <c r="M146">
        <v>0</v>
      </c>
      <c r="N146">
        <v>236.85000000000005</v>
      </c>
      <c r="O146">
        <v>236.85000000000005</v>
      </c>
      <c r="P146">
        <v>0</v>
      </c>
      <c r="Q146">
        <v>-4727.22</v>
      </c>
      <c r="R146">
        <v>-4715.22</v>
      </c>
      <c r="S146">
        <v>12</v>
      </c>
      <c r="T146">
        <v>-17.04</v>
      </c>
      <c r="U146">
        <v>-17.04</v>
      </c>
      <c r="V146">
        <v>0</v>
      </c>
      <c r="W146">
        <v>0</v>
      </c>
      <c r="X146">
        <v>0</v>
      </c>
      <c r="Y146">
        <v>0</v>
      </c>
      <c r="Z146">
        <v>8152.1099999999969</v>
      </c>
      <c r="AA146">
        <v>8164.1099999999969</v>
      </c>
      <c r="AB146">
        <v>12</v>
      </c>
      <c r="AC146">
        <v>740.40999999999985</v>
      </c>
      <c r="AD146">
        <v>494.96999999999991</v>
      </c>
      <c r="AE146">
        <v>-245.44000000000003</v>
      </c>
      <c r="AF146">
        <v>7411.6999999999953</v>
      </c>
      <c r="AG146">
        <v>7669.1399999999958</v>
      </c>
      <c r="AH146">
        <v>257.44000000000005</v>
      </c>
      <c r="AI146">
        <v>1436.6199999999988</v>
      </c>
      <c r="AJ146">
        <v>0</v>
      </c>
      <c r="AK146">
        <v>-1436.6199999999988</v>
      </c>
      <c r="AL146">
        <v>5975.0799999999981</v>
      </c>
      <c r="AM146">
        <v>7669.1399999999958</v>
      </c>
      <c r="AN146">
        <v>1694.0599999999988</v>
      </c>
      <c r="AO146">
        <v>149</v>
      </c>
    </row>
    <row r="147" spans="1:41" x14ac:dyDescent="0.35">
      <c r="A147">
        <v>2024</v>
      </c>
      <c r="B147">
        <v>3</v>
      </c>
      <c r="C147">
        <v>12</v>
      </c>
      <c r="D147" s="14">
        <v>45373</v>
      </c>
      <c r="E147" t="s">
        <v>44</v>
      </c>
      <c r="F147" t="s">
        <v>47</v>
      </c>
      <c r="G147" t="s">
        <v>49</v>
      </c>
      <c r="H147">
        <v>13763.099999999999</v>
      </c>
      <c r="I147">
        <v>13763.099999999999</v>
      </c>
      <c r="J147">
        <v>0</v>
      </c>
      <c r="K147">
        <v>425.61999999999995</v>
      </c>
      <c r="L147">
        <v>425.61999999999995</v>
      </c>
      <c r="M147">
        <v>0</v>
      </c>
      <c r="N147">
        <v>346.81000000000012</v>
      </c>
      <c r="O147">
        <v>346.81000000000012</v>
      </c>
      <c r="P147">
        <v>0</v>
      </c>
      <c r="Q147">
        <v>-4584.6500000000005</v>
      </c>
      <c r="R147">
        <v>-4573.6500000000005</v>
      </c>
      <c r="S147">
        <v>11</v>
      </c>
      <c r="T147">
        <v>-68.5</v>
      </c>
      <c r="U147">
        <v>-68.5</v>
      </c>
      <c r="V147">
        <v>0</v>
      </c>
      <c r="W147">
        <v>-15</v>
      </c>
      <c r="X147">
        <v>-15</v>
      </c>
      <c r="Y147">
        <v>0</v>
      </c>
      <c r="Z147">
        <v>9867.3799999999992</v>
      </c>
      <c r="AA147">
        <v>9878.3799999999992</v>
      </c>
      <c r="AB147">
        <v>11</v>
      </c>
      <c r="AC147">
        <v>1149.1499999999999</v>
      </c>
      <c r="AD147">
        <v>654.18000000000006</v>
      </c>
      <c r="AE147">
        <v>-494.96999999999991</v>
      </c>
      <c r="AF147">
        <v>8718.23</v>
      </c>
      <c r="AG147">
        <v>9224.2000000000007</v>
      </c>
      <c r="AH147">
        <v>505.96999999999997</v>
      </c>
      <c r="AI147">
        <v>1413.5100000000007</v>
      </c>
      <c r="AJ147">
        <v>0</v>
      </c>
      <c r="AK147">
        <v>-1413.5100000000007</v>
      </c>
      <c r="AL147">
        <v>7304.7199999999993</v>
      </c>
      <c r="AM147">
        <v>9224.2000000000007</v>
      </c>
      <c r="AN147">
        <v>1919.4800000000007</v>
      </c>
      <c r="AO147">
        <v>168</v>
      </c>
    </row>
    <row r="148" spans="1:41" x14ac:dyDescent="0.35">
      <c r="A148">
        <v>2024</v>
      </c>
      <c r="B148">
        <v>3</v>
      </c>
      <c r="C148">
        <v>12</v>
      </c>
      <c r="D148" s="14">
        <v>45374</v>
      </c>
      <c r="E148" t="s">
        <v>44</v>
      </c>
      <c r="F148" t="s">
        <v>47</v>
      </c>
      <c r="G148" t="s">
        <v>49</v>
      </c>
      <c r="H148">
        <v>14122.05</v>
      </c>
      <c r="I148">
        <v>14122.05</v>
      </c>
      <c r="J148">
        <v>0</v>
      </c>
      <c r="K148">
        <v>99.36999999999999</v>
      </c>
      <c r="L148">
        <v>99.36999999999999</v>
      </c>
      <c r="M148">
        <v>0</v>
      </c>
      <c r="N148">
        <v>273.84000000000003</v>
      </c>
      <c r="O148">
        <v>273.84000000000003</v>
      </c>
      <c r="P148">
        <v>0</v>
      </c>
      <c r="Q148">
        <v>-5268.4999999999973</v>
      </c>
      <c r="R148">
        <v>-5185.4999999999982</v>
      </c>
      <c r="S148">
        <v>83</v>
      </c>
      <c r="T148">
        <v>-5</v>
      </c>
      <c r="U148">
        <v>-5</v>
      </c>
      <c r="V148">
        <v>0</v>
      </c>
      <c r="W148">
        <v>-20</v>
      </c>
      <c r="X148">
        <v>-20</v>
      </c>
      <c r="Y148">
        <v>0</v>
      </c>
      <c r="Z148">
        <v>9201.76</v>
      </c>
      <c r="AA148">
        <v>9284.760000000002</v>
      </c>
      <c r="AB148">
        <v>83</v>
      </c>
      <c r="AC148">
        <v>920.17999999999984</v>
      </c>
      <c r="AD148">
        <v>423.08</v>
      </c>
      <c r="AE148">
        <v>-497.1</v>
      </c>
      <c r="AF148">
        <v>8281.5800000000054</v>
      </c>
      <c r="AG148">
        <v>8861.6800000000021</v>
      </c>
      <c r="AH148">
        <v>580.09999999999991</v>
      </c>
      <c r="AI148">
        <v>1658.7499999999989</v>
      </c>
      <c r="AJ148">
        <v>0</v>
      </c>
      <c r="AK148">
        <v>-1658.7499999999989</v>
      </c>
      <c r="AL148">
        <v>6622.829999999999</v>
      </c>
      <c r="AM148">
        <v>8861.6800000000021</v>
      </c>
      <c r="AN148">
        <v>2238.8499999999995</v>
      </c>
      <c r="AO148">
        <v>170</v>
      </c>
    </row>
    <row r="149" spans="1:41" x14ac:dyDescent="0.35">
      <c r="A149">
        <v>2024</v>
      </c>
      <c r="B149">
        <v>3</v>
      </c>
      <c r="C149">
        <v>12</v>
      </c>
      <c r="D149" s="14">
        <v>45368</v>
      </c>
      <c r="E149" t="s">
        <v>44</v>
      </c>
      <c r="F149" t="s">
        <v>47</v>
      </c>
      <c r="G149" t="s">
        <v>50</v>
      </c>
      <c r="H149">
        <v>36400.200000000004</v>
      </c>
      <c r="I149">
        <v>36400.200000000004</v>
      </c>
      <c r="J149">
        <v>0</v>
      </c>
      <c r="K149">
        <v>645.40000000000191</v>
      </c>
      <c r="L149">
        <v>645.40000000000191</v>
      </c>
      <c r="M149">
        <v>0</v>
      </c>
      <c r="N149">
        <v>1337.1500000000005</v>
      </c>
      <c r="O149">
        <v>1337.1500000000005</v>
      </c>
      <c r="P149">
        <v>0</v>
      </c>
      <c r="Q149">
        <v>-11630</v>
      </c>
      <c r="R149">
        <v>-11407</v>
      </c>
      <c r="S149">
        <v>223</v>
      </c>
      <c r="T149">
        <v>-20</v>
      </c>
      <c r="U149">
        <v>-20</v>
      </c>
      <c r="V149">
        <v>0</v>
      </c>
      <c r="W149">
        <v>-15</v>
      </c>
      <c r="X149">
        <v>-15</v>
      </c>
      <c r="Y149">
        <v>0</v>
      </c>
      <c r="Z149">
        <v>26717.750000000018</v>
      </c>
      <c r="AA149">
        <v>26940.750000000022</v>
      </c>
      <c r="AB149">
        <v>223</v>
      </c>
      <c r="AC149">
        <v>5767.6200000000072</v>
      </c>
      <c r="AD149">
        <v>2963.5500000000015</v>
      </c>
      <c r="AE149">
        <v>-2804.070000000002</v>
      </c>
      <c r="AF149">
        <v>20950.130000000026</v>
      </c>
      <c r="AG149">
        <v>23977.200000000019</v>
      </c>
      <c r="AH149">
        <v>3027.070000000002</v>
      </c>
      <c r="AI149">
        <v>-1498.4899999999993</v>
      </c>
      <c r="AJ149">
        <v>0</v>
      </c>
      <c r="AK149">
        <v>1498.4899999999993</v>
      </c>
      <c r="AL149">
        <v>22448.620000000024</v>
      </c>
      <c r="AM149">
        <v>23977.200000000019</v>
      </c>
      <c r="AN149">
        <v>1528.579999999999</v>
      </c>
      <c r="AO149">
        <v>409</v>
      </c>
    </row>
    <row r="150" spans="1:41" x14ac:dyDescent="0.35">
      <c r="A150">
        <v>2024</v>
      </c>
      <c r="B150">
        <v>3</v>
      </c>
      <c r="C150">
        <v>12</v>
      </c>
      <c r="D150" s="14">
        <v>45369</v>
      </c>
      <c r="E150" t="s">
        <v>44</v>
      </c>
      <c r="F150" t="s">
        <v>47</v>
      </c>
      <c r="G150" t="s">
        <v>50</v>
      </c>
      <c r="H150">
        <v>39576</v>
      </c>
      <c r="I150">
        <v>39576</v>
      </c>
      <c r="J150">
        <v>0</v>
      </c>
      <c r="K150">
        <v>531.68999999999949</v>
      </c>
      <c r="L150">
        <v>531.68999999999949</v>
      </c>
      <c r="M150">
        <v>0</v>
      </c>
      <c r="N150">
        <v>1421.1300000000006</v>
      </c>
      <c r="O150">
        <v>1421.1300000000006</v>
      </c>
      <c r="P150">
        <v>0</v>
      </c>
      <c r="Q150">
        <v>-12669.1</v>
      </c>
      <c r="R150">
        <v>-12249.1</v>
      </c>
      <c r="S150">
        <v>420</v>
      </c>
      <c r="T150">
        <v>-25</v>
      </c>
      <c r="U150">
        <v>-25</v>
      </c>
      <c r="V150">
        <v>0</v>
      </c>
      <c r="W150">
        <v>-15</v>
      </c>
      <c r="X150">
        <v>-15</v>
      </c>
      <c r="Y150">
        <v>0</v>
      </c>
      <c r="Z150">
        <v>28819.720000000048</v>
      </c>
      <c r="AA150">
        <v>29239.720000000052</v>
      </c>
      <c r="AB150">
        <v>420</v>
      </c>
      <c r="AC150">
        <v>6337.0400000000091</v>
      </c>
      <c r="AD150">
        <v>3448.490000000003</v>
      </c>
      <c r="AE150">
        <v>-2888.5500000000025</v>
      </c>
      <c r="AF150">
        <v>22482.680000000044</v>
      </c>
      <c r="AG150">
        <v>25791.230000000058</v>
      </c>
      <c r="AH150">
        <v>3308.5500000000025</v>
      </c>
      <c r="AI150">
        <v>-1789.0199999999998</v>
      </c>
      <c r="AJ150">
        <v>0</v>
      </c>
      <c r="AK150">
        <v>1789.0199999999998</v>
      </c>
      <c r="AL150">
        <v>24271.700000000023</v>
      </c>
      <c r="AM150">
        <v>25791.230000000058</v>
      </c>
      <c r="AN150">
        <v>1519.5300000000007</v>
      </c>
      <c r="AO150">
        <v>438</v>
      </c>
    </row>
    <row r="151" spans="1:41" x14ac:dyDescent="0.35">
      <c r="A151">
        <v>2024</v>
      </c>
      <c r="B151">
        <v>3</v>
      </c>
      <c r="C151">
        <v>12</v>
      </c>
      <c r="D151" s="14">
        <v>45370</v>
      </c>
      <c r="E151" t="s">
        <v>44</v>
      </c>
      <c r="F151" t="s">
        <v>47</v>
      </c>
      <c r="G151" t="s">
        <v>50</v>
      </c>
      <c r="H151">
        <v>33950</v>
      </c>
      <c r="I151">
        <v>33950</v>
      </c>
      <c r="J151">
        <v>0</v>
      </c>
      <c r="K151">
        <v>466.96999999999929</v>
      </c>
      <c r="L151">
        <v>466.96999999999929</v>
      </c>
      <c r="M151">
        <v>0</v>
      </c>
      <c r="N151">
        <v>1137.3100000000004</v>
      </c>
      <c r="O151">
        <v>1137.3100000000004</v>
      </c>
      <c r="P151">
        <v>0</v>
      </c>
      <c r="Q151">
        <v>-11002.51</v>
      </c>
      <c r="R151">
        <v>-10946.51</v>
      </c>
      <c r="S151">
        <v>56</v>
      </c>
      <c r="T151">
        <v>-30</v>
      </c>
      <c r="U151">
        <v>-30</v>
      </c>
      <c r="V151">
        <v>0</v>
      </c>
      <c r="W151">
        <v>-15</v>
      </c>
      <c r="X151">
        <v>-15</v>
      </c>
      <c r="Y151">
        <v>0</v>
      </c>
      <c r="Z151">
        <v>24506.770000000008</v>
      </c>
      <c r="AA151">
        <v>24562.770000000008</v>
      </c>
      <c r="AB151">
        <v>56</v>
      </c>
      <c r="AC151">
        <v>5427.1600000000062</v>
      </c>
      <c r="AD151">
        <v>2012.1400000000015</v>
      </c>
      <c r="AE151">
        <v>-3415.0200000000032</v>
      </c>
      <c r="AF151">
        <v>19079.610000000019</v>
      </c>
      <c r="AG151">
        <v>22550.63</v>
      </c>
      <c r="AH151">
        <v>3471.0200000000032</v>
      </c>
      <c r="AI151">
        <v>-1197.82</v>
      </c>
      <c r="AJ151">
        <v>0</v>
      </c>
      <c r="AK151">
        <v>1197.82</v>
      </c>
      <c r="AL151">
        <v>20277.429999999989</v>
      </c>
      <c r="AM151">
        <v>22550.63</v>
      </c>
      <c r="AN151">
        <v>2273.2000000000012</v>
      </c>
      <c r="AO151">
        <v>375</v>
      </c>
    </row>
    <row r="152" spans="1:41" x14ac:dyDescent="0.35">
      <c r="A152">
        <v>2024</v>
      </c>
      <c r="B152">
        <v>3</v>
      </c>
      <c r="C152">
        <v>12</v>
      </c>
      <c r="D152" s="14">
        <v>45371</v>
      </c>
      <c r="E152" t="s">
        <v>44</v>
      </c>
      <c r="F152" t="s">
        <v>47</v>
      </c>
      <c r="G152" t="s">
        <v>50</v>
      </c>
      <c r="H152">
        <v>35379.050000000003</v>
      </c>
      <c r="I152">
        <v>35379.050000000003</v>
      </c>
      <c r="J152">
        <v>0</v>
      </c>
      <c r="K152">
        <v>543.38000000000011</v>
      </c>
      <c r="L152">
        <v>543.38000000000011</v>
      </c>
      <c r="M152">
        <v>0</v>
      </c>
      <c r="N152">
        <v>1167.2800000000004</v>
      </c>
      <c r="O152">
        <v>1167.2800000000004</v>
      </c>
      <c r="P152">
        <v>0</v>
      </c>
      <c r="Q152">
        <v>-11217.44</v>
      </c>
      <c r="R152">
        <v>-11068.44</v>
      </c>
      <c r="S152">
        <v>149</v>
      </c>
      <c r="T152">
        <v>-45</v>
      </c>
      <c r="U152">
        <v>-45</v>
      </c>
      <c r="V152">
        <v>0</v>
      </c>
      <c r="W152">
        <v>-53.99</v>
      </c>
      <c r="X152">
        <v>-53.99</v>
      </c>
      <c r="Y152">
        <v>0</v>
      </c>
      <c r="Z152">
        <v>25773.280000000017</v>
      </c>
      <c r="AA152">
        <v>25922.280000000017</v>
      </c>
      <c r="AB152">
        <v>149</v>
      </c>
      <c r="AC152">
        <v>5931.3900000000076</v>
      </c>
      <c r="AD152">
        <v>4004.7500000000036</v>
      </c>
      <c r="AE152">
        <v>-1926.6400000000006</v>
      </c>
      <c r="AF152">
        <v>19841.890000000032</v>
      </c>
      <c r="AG152">
        <v>21917.530000000032</v>
      </c>
      <c r="AH152">
        <v>2075.6400000000003</v>
      </c>
      <c r="AI152">
        <v>-2041.39</v>
      </c>
      <c r="AJ152">
        <v>0</v>
      </c>
      <c r="AK152">
        <v>2041.39</v>
      </c>
      <c r="AL152">
        <v>21883.279999999995</v>
      </c>
      <c r="AM152">
        <v>21917.530000000032</v>
      </c>
      <c r="AN152">
        <v>34.249999999999488</v>
      </c>
      <c r="AO152">
        <v>397</v>
      </c>
    </row>
    <row r="153" spans="1:41" x14ac:dyDescent="0.35">
      <c r="A153">
        <v>2024</v>
      </c>
      <c r="B153">
        <v>3</v>
      </c>
      <c r="C153">
        <v>12</v>
      </c>
      <c r="D153" s="14">
        <v>45372</v>
      </c>
      <c r="E153" t="s">
        <v>44</v>
      </c>
      <c r="F153" t="s">
        <v>47</v>
      </c>
      <c r="G153" t="s">
        <v>50</v>
      </c>
      <c r="H153">
        <v>37366.050000000003</v>
      </c>
      <c r="I153">
        <v>37366.050000000003</v>
      </c>
      <c r="J153">
        <v>0</v>
      </c>
      <c r="K153">
        <v>665.2400000000016</v>
      </c>
      <c r="L153">
        <v>665.2400000000016</v>
      </c>
      <c r="M153">
        <v>0</v>
      </c>
      <c r="N153">
        <v>1175.2500000000005</v>
      </c>
      <c r="O153">
        <v>1175.2500000000005</v>
      </c>
      <c r="P153">
        <v>0</v>
      </c>
      <c r="Q153">
        <v>-11078.469999999998</v>
      </c>
      <c r="R153">
        <v>-10821.469999999998</v>
      </c>
      <c r="S153">
        <v>257</v>
      </c>
      <c r="T153">
        <v>-35</v>
      </c>
      <c r="U153">
        <v>-35</v>
      </c>
      <c r="V153">
        <v>0</v>
      </c>
      <c r="W153">
        <v>-74.98</v>
      </c>
      <c r="X153">
        <v>-74.98</v>
      </c>
      <c r="Y153">
        <v>0</v>
      </c>
      <c r="Z153">
        <v>28018.090000000007</v>
      </c>
      <c r="AA153">
        <v>28275.090000000007</v>
      </c>
      <c r="AB153">
        <v>257</v>
      </c>
      <c r="AC153">
        <v>6553.5600000000104</v>
      </c>
      <c r="AD153">
        <v>2544.3500000000022</v>
      </c>
      <c r="AE153">
        <v>-4009.2100000000059</v>
      </c>
      <c r="AF153">
        <v>21464.530000000024</v>
      </c>
      <c r="AG153">
        <v>25730.740000000005</v>
      </c>
      <c r="AH153">
        <v>4266.2100000000055</v>
      </c>
      <c r="AI153">
        <v>-1390.5199999999988</v>
      </c>
      <c r="AJ153">
        <v>0</v>
      </c>
      <c r="AK153">
        <v>1390.5199999999988</v>
      </c>
      <c r="AL153">
        <v>22855.050000000025</v>
      </c>
      <c r="AM153">
        <v>25730.740000000005</v>
      </c>
      <c r="AN153">
        <v>2875.6900000000014</v>
      </c>
      <c r="AO153">
        <v>422</v>
      </c>
    </row>
    <row r="154" spans="1:41" x14ac:dyDescent="0.35">
      <c r="A154">
        <v>2024</v>
      </c>
      <c r="B154">
        <v>3</v>
      </c>
      <c r="C154">
        <v>12</v>
      </c>
      <c r="D154" s="14">
        <v>45373</v>
      </c>
      <c r="E154" t="s">
        <v>44</v>
      </c>
      <c r="F154" t="s">
        <v>47</v>
      </c>
      <c r="G154" t="s">
        <v>50</v>
      </c>
      <c r="H154">
        <v>35292.35</v>
      </c>
      <c r="I154">
        <v>35292.35</v>
      </c>
      <c r="J154">
        <v>0</v>
      </c>
      <c r="K154">
        <v>735.74000000000092</v>
      </c>
      <c r="L154">
        <v>735.74000000000092</v>
      </c>
      <c r="M154">
        <v>0</v>
      </c>
      <c r="N154">
        <v>1285.2000000000005</v>
      </c>
      <c r="O154">
        <v>1269.2100000000005</v>
      </c>
      <c r="P154">
        <v>-15.99</v>
      </c>
      <c r="Q154">
        <v>-10803.849999999999</v>
      </c>
      <c r="R154">
        <v>-10562.849999999999</v>
      </c>
      <c r="S154">
        <v>241</v>
      </c>
      <c r="T154">
        <v>-40</v>
      </c>
      <c r="U154">
        <v>-40</v>
      </c>
      <c r="V154">
        <v>0</v>
      </c>
      <c r="W154">
        <v>-35.99</v>
      </c>
      <c r="X154">
        <v>-35.99</v>
      </c>
      <c r="Y154">
        <v>0</v>
      </c>
      <c r="Z154">
        <v>26433.450000000048</v>
      </c>
      <c r="AA154">
        <v>26658.460000000046</v>
      </c>
      <c r="AB154">
        <v>225.01</v>
      </c>
      <c r="AC154">
        <v>5687.8800000000083</v>
      </c>
      <c r="AD154">
        <v>3169.2800000000025</v>
      </c>
      <c r="AE154">
        <v>-2518.6000000000013</v>
      </c>
      <c r="AF154">
        <v>20745.57000000004</v>
      </c>
      <c r="AG154">
        <v>23489.180000000044</v>
      </c>
      <c r="AH154">
        <v>2743.6100000000015</v>
      </c>
      <c r="AI154">
        <v>-1623.7600000000002</v>
      </c>
      <c r="AJ154">
        <v>0</v>
      </c>
      <c r="AK154">
        <v>1623.7600000000002</v>
      </c>
      <c r="AL154">
        <v>22369.330000000009</v>
      </c>
      <c r="AM154">
        <v>23489.180000000044</v>
      </c>
      <c r="AN154">
        <v>1119.849999999999</v>
      </c>
      <c r="AO154">
        <v>398</v>
      </c>
    </row>
    <row r="155" spans="1:41" x14ac:dyDescent="0.35">
      <c r="A155">
        <v>2024</v>
      </c>
      <c r="B155">
        <v>3</v>
      </c>
      <c r="C155">
        <v>12</v>
      </c>
      <c r="D155" s="14">
        <v>45374</v>
      </c>
      <c r="E155" t="s">
        <v>44</v>
      </c>
      <c r="F155" t="s">
        <v>47</v>
      </c>
      <c r="G155" t="s">
        <v>50</v>
      </c>
      <c r="H155">
        <v>35352.749999999985</v>
      </c>
      <c r="I155">
        <v>35352.749999999985</v>
      </c>
      <c r="J155">
        <v>0</v>
      </c>
      <c r="K155">
        <v>682.46000000000129</v>
      </c>
      <c r="L155">
        <v>682.46000000000129</v>
      </c>
      <c r="M155">
        <v>0</v>
      </c>
      <c r="N155">
        <v>1386.1600000000005</v>
      </c>
      <c r="O155">
        <v>1386.1600000000005</v>
      </c>
      <c r="P155">
        <v>0</v>
      </c>
      <c r="Q155">
        <v>-10645</v>
      </c>
      <c r="R155">
        <v>-10418</v>
      </c>
      <c r="S155">
        <v>227</v>
      </c>
      <c r="T155">
        <v>-25</v>
      </c>
      <c r="U155">
        <v>-25</v>
      </c>
      <c r="V155">
        <v>0</v>
      </c>
      <c r="W155">
        <v>-30.990000000000002</v>
      </c>
      <c r="X155">
        <v>-30.990000000000002</v>
      </c>
      <c r="Y155">
        <v>0</v>
      </c>
      <c r="Z155">
        <v>26720.380000000005</v>
      </c>
      <c r="AA155">
        <v>26947.380000000005</v>
      </c>
      <c r="AB155">
        <v>227</v>
      </c>
      <c r="AC155">
        <v>5660.9800000000077</v>
      </c>
      <c r="AD155">
        <v>2506.7000000000021</v>
      </c>
      <c r="AE155">
        <v>-3154.2800000000029</v>
      </c>
      <c r="AF155">
        <v>21059.399999999994</v>
      </c>
      <c r="AG155">
        <v>24440.680000000015</v>
      </c>
      <c r="AH155">
        <v>3381.2800000000029</v>
      </c>
      <c r="AI155">
        <v>-1246.1600000000001</v>
      </c>
      <c r="AJ155">
        <v>0</v>
      </c>
      <c r="AK155">
        <v>1246.1600000000001</v>
      </c>
      <c r="AL155">
        <v>22305.559999999994</v>
      </c>
      <c r="AM155">
        <v>24440.680000000015</v>
      </c>
      <c r="AN155">
        <v>2135.1200000000013</v>
      </c>
      <c r="AO155">
        <v>401</v>
      </c>
    </row>
    <row r="156" spans="1:41" x14ac:dyDescent="0.35">
      <c r="A156">
        <v>2024</v>
      </c>
      <c r="B156">
        <v>3</v>
      </c>
      <c r="C156">
        <v>12</v>
      </c>
      <c r="D156" s="14">
        <v>45368</v>
      </c>
      <c r="E156" t="s">
        <v>44</v>
      </c>
      <c r="F156" t="s">
        <v>47</v>
      </c>
      <c r="G156" t="s">
        <v>51</v>
      </c>
      <c r="H156">
        <v>17922.100000000002</v>
      </c>
      <c r="I156">
        <v>17922.100000000002</v>
      </c>
      <c r="J156">
        <v>0</v>
      </c>
      <c r="K156">
        <v>10</v>
      </c>
      <c r="L156">
        <v>10</v>
      </c>
      <c r="M156">
        <v>0</v>
      </c>
      <c r="N156">
        <v>122.92999999999999</v>
      </c>
      <c r="O156">
        <v>122.92999999999999</v>
      </c>
      <c r="P156">
        <v>0</v>
      </c>
      <c r="Q156">
        <v>-6891.05</v>
      </c>
      <c r="R156">
        <v>-6891.05</v>
      </c>
      <c r="S156">
        <v>0</v>
      </c>
      <c r="T156">
        <v>-4</v>
      </c>
      <c r="U156">
        <v>-4</v>
      </c>
      <c r="V156">
        <v>0</v>
      </c>
      <c r="W156">
        <v>0</v>
      </c>
      <c r="X156">
        <v>0</v>
      </c>
      <c r="Y156">
        <v>0</v>
      </c>
      <c r="Z156">
        <v>11159.980000000001</v>
      </c>
      <c r="AA156">
        <v>11159.980000000001</v>
      </c>
      <c r="AB156">
        <v>0</v>
      </c>
      <c r="AC156">
        <v>78.319999999999993</v>
      </c>
      <c r="AD156">
        <v>63.319999999999993</v>
      </c>
      <c r="AE156">
        <v>-15</v>
      </c>
      <c r="AF156">
        <v>11081.660000000002</v>
      </c>
      <c r="AG156">
        <v>11096.660000000002</v>
      </c>
      <c r="AH156">
        <v>15</v>
      </c>
      <c r="AI156">
        <v>2830.8000000000011</v>
      </c>
      <c r="AJ156">
        <v>0</v>
      </c>
      <c r="AK156">
        <v>-2830.8000000000011</v>
      </c>
      <c r="AL156">
        <v>8250.8600000000097</v>
      </c>
      <c r="AM156">
        <v>11096.660000000002</v>
      </c>
      <c r="AN156">
        <v>2845.8000000000006</v>
      </c>
      <c r="AO156">
        <v>269</v>
      </c>
    </row>
    <row r="157" spans="1:41" x14ac:dyDescent="0.35">
      <c r="A157">
        <v>2024</v>
      </c>
      <c r="B157">
        <v>3</v>
      </c>
      <c r="C157">
        <v>12</v>
      </c>
      <c r="D157" s="14">
        <v>45369</v>
      </c>
      <c r="E157" t="s">
        <v>44</v>
      </c>
      <c r="F157" t="s">
        <v>47</v>
      </c>
      <c r="G157" t="s">
        <v>51</v>
      </c>
      <c r="H157">
        <v>2541.25</v>
      </c>
      <c r="I157">
        <v>2541.25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-613.4</v>
      </c>
      <c r="R157">
        <v>-613.4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1927.85</v>
      </c>
      <c r="AA157">
        <v>1927.85</v>
      </c>
      <c r="AB157">
        <v>0</v>
      </c>
      <c r="AC157">
        <v>87.47999999999999</v>
      </c>
      <c r="AE157">
        <v>-87.47999999999999</v>
      </c>
      <c r="AF157">
        <v>1840.37</v>
      </c>
      <c r="AG157">
        <v>1927.85</v>
      </c>
      <c r="AH157">
        <v>87.47999999999999</v>
      </c>
      <c r="AI157">
        <v>350.00000000000017</v>
      </c>
      <c r="AJ157">
        <v>22.869999999999997</v>
      </c>
      <c r="AK157">
        <v>-327.13000000000011</v>
      </c>
      <c r="AL157">
        <v>1490.3700000000003</v>
      </c>
      <c r="AM157">
        <v>1904.98</v>
      </c>
      <c r="AN157">
        <v>414.61000000000018</v>
      </c>
      <c r="AO157">
        <v>42</v>
      </c>
    </row>
    <row r="158" spans="1:41" x14ac:dyDescent="0.35">
      <c r="A158">
        <v>2024</v>
      </c>
      <c r="B158">
        <v>3</v>
      </c>
      <c r="C158">
        <v>12</v>
      </c>
      <c r="D158" s="14">
        <v>45370</v>
      </c>
      <c r="E158" t="s">
        <v>44</v>
      </c>
      <c r="F158" t="s">
        <v>47</v>
      </c>
      <c r="G158" t="s">
        <v>51</v>
      </c>
      <c r="H158">
        <v>65</v>
      </c>
      <c r="I158">
        <v>65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-29.900000000000002</v>
      </c>
      <c r="R158">
        <v>-29.900000000000002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35.1</v>
      </c>
      <c r="AA158">
        <v>35.1</v>
      </c>
      <c r="AB158">
        <v>0</v>
      </c>
      <c r="AE158">
        <v>0</v>
      </c>
      <c r="AF158">
        <v>35.1</v>
      </c>
      <c r="AG158">
        <v>35.1</v>
      </c>
      <c r="AH158">
        <v>0</v>
      </c>
      <c r="AI158">
        <v>4.83</v>
      </c>
      <c r="AJ158">
        <v>0</v>
      </c>
      <c r="AK158">
        <v>-4.83</v>
      </c>
      <c r="AL158">
        <v>30.27</v>
      </c>
      <c r="AM158">
        <v>35.1</v>
      </c>
      <c r="AN158">
        <v>4.8300000000000018</v>
      </c>
      <c r="AO158">
        <v>1</v>
      </c>
    </row>
    <row r="159" spans="1:41" x14ac:dyDescent="0.35">
      <c r="A159">
        <v>2024</v>
      </c>
      <c r="B159">
        <v>3</v>
      </c>
      <c r="C159">
        <v>12</v>
      </c>
      <c r="D159" s="14">
        <v>45371</v>
      </c>
      <c r="E159" t="s">
        <v>44</v>
      </c>
      <c r="F159" t="s">
        <v>47</v>
      </c>
      <c r="G159" t="s">
        <v>51</v>
      </c>
      <c r="H159">
        <v>1231.8</v>
      </c>
      <c r="I159">
        <v>1231.8</v>
      </c>
      <c r="J159">
        <v>0</v>
      </c>
      <c r="K159">
        <v>57</v>
      </c>
      <c r="L159">
        <v>57</v>
      </c>
      <c r="M159">
        <v>0</v>
      </c>
      <c r="N159">
        <v>0</v>
      </c>
      <c r="O159">
        <v>0</v>
      </c>
      <c r="P159">
        <v>0</v>
      </c>
      <c r="Q159">
        <v>-277.35000000000002</v>
      </c>
      <c r="R159">
        <v>-277.35000000000002</v>
      </c>
      <c r="S159">
        <v>0</v>
      </c>
      <c r="T159">
        <v>-20</v>
      </c>
      <c r="U159">
        <v>-20</v>
      </c>
      <c r="V159">
        <v>0</v>
      </c>
      <c r="W159">
        <v>0</v>
      </c>
      <c r="X159">
        <v>0</v>
      </c>
      <c r="Y159">
        <v>0</v>
      </c>
      <c r="Z159">
        <v>991.45</v>
      </c>
      <c r="AA159">
        <v>991.45</v>
      </c>
      <c r="AB159">
        <v>0</v>
      </c>
      <c r="AC159">
        <v>57.83</v>
      </c>
      <c r="AD159">
        <v>57.83</v>
      </c>
      <c r="AE159">
        <v>0</v>
      </c>
      <c r="AF159">
        <v>933.62</v>
      </c>
      <c r="AG159">
        <v>933.62</v>
      </c>
      <c r="AH159">
        <v>0</v>
      </c>
      <c r="AI159">
        <v>167.35000000000002</v>
      </c>
      <c r="AJ159">
        <v>0</v>
      </c>
      <c r="AK159">
        <v>-167.35000000000002</v>
      </c>
      <c r="AL159">
        <v>766.26999999999987</v>
      </c>
      <c r="AM159">
        <v>933.62</v>
      </c>
      <c r="AN159">
        <v>167.35000000000002</v>
      </c>
      <c r="AO159">
        <v>20</v>
      </c>
    </row>
    <row r="160" spans="1:41" x14ac:dyDescent="0.35">
      <c r="A160">
        <v>2024</v>
      </c>
      <c r="B160">
        <v>3</v>
      </c>
      <c r="C160">
        <v>12</v>
      </c>
      <c r="D160" s="14">
        <v>45372</v>
      </c>
      <c r="E160" t="s">
        <v>44</v>
      </c>
      <c r="F160" t="s">
        <v>47</v>
      </c>
      <c r="G160" t="s">
        <v>51</v>
      </c>
      <c r="H160">
        <v>2879</v>
      </c>
      <c r="I160">
        <v>2879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-725.35</v>
      </c>
      <c r="R160">
        <v>-725.35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2153.6499999999996</v>
      </c>
      <c r="AA160">
        <v>2153.6499999999996</v>
      </c>
      <c r="AB160">
        <v>0</v>
      </c>
      <c r="AC160">
        <v>24.990000000000002</v>
      </c>
      <c r="AD160">
        <v>16.66</v>
      </c>
      <c r="AE160">
        <v>-8.33</v>
      </c>
      <c r="AF160">
        <v>2128.66</v>
      </c>
      <c r="AG160">
        <v>2136.9899999999998</v>
      </c>
      <c r="AH160">
        <v>8.3299999999999983</v>
      </c>
      <c r="AI160">
        <v>682.15000000000009</v>
      </c>
      <c r="AJ160">
        <v>0</v>
      </c>
      <c r="AK160">
        <v>-682.15000000000009</v>
      </c>
      <c r="AL160">
        <v>1446.5099999999998</v>
      </c>
      <c r="AM160">
        <v>2136.9899999999998</v>
      </c>
      <c r="AN160">
        <v>690.48</v>
      </c>
      <c r="AO160">
        <v>51</v>
      </c>
    </row>
    <row r="161" spans="1:41" x14ac:dyDescent="0.35">
      <c r="A161">
        <v>2024</v>
      </c>
      <c r="B161">
        <v>3</v>
      </c>
      <c r="C161">
        <v>12</v>
      </c>
      <c r="D161" s="14">
        <v>45373</v>
      </c>
      <c r="E161" t="s">
        <v>44</v>
      </c>
      <c r="F161" t="s">
        <v>47</v>
      </c>
      <c r="G161" t="s">
        <v>51</v>
      </c>
      <c r="H161">
        <v>6598.720000000003</v>
      </c>
      <c r="I161">
        <v>6598.720000000003</v>
      </c>
      <c r="J161">
        <v>0</v>
      </c>
      <c r="K161">
        <v>626.72000000000048</v>
      </c>
      <c r="L161">
        <v>626.72000000000048</v>
      </c>
      <c r="M161">
        <v>0</v>
      </c>
      <c r="N161">
        <v>0</v>
      </c>
      <c r="O161">
        <v>0</v>
      </c>
      <c r="P161">
        <v>0</v>
      </c>
      <c r="Q161">
        <v>-1519.1700000000003</v>
      </c>
      <c r="R161">
        <v>-1519.1700000000003</v>
      </c>
      <c r="S161">
        <v>0</v>
      </c>
      <c r="T161">
        <v>-13.5</v>
      </c>
      <c r="U161">
        <v>-13.5</v>
      </c>
      <c r="V161">
        <v>0</v>
      </c>
      <c r="W161">
        <v>0</v>
      </c>
      <c r="X161">
        <v>0</v>
      </c>
      <c r="Y161">
        <v>0</v>
      </c>
      <c r="Z161">
        <v>5692.7700000000023</v>
      </c>
      <c r="AA161">
        <v>5692.7700000000023</v>
      </c>
      <c r="AB161">
        <v>0</v>
      </c>
      <c r="AC161">
        <v>45.54</v>
      </c>
      <c r="AD161">
        <v>28.88</v>
      </c>
      <c r="AE161">
        <v>-16.66</v>
      </c>
      <c r="AF161">
        <v>5647.2300000000023</v>
      </c>
      <c r="AG161">
        <v>5663.8900000000021</v>
      </c>
      <c r="AH161">
        <v>16.659999999999997</v>
      </c>
      <c r="AI161">
        <v>1284.6699999999992</v>
      </c>
      <c r="AJ161">
        <v>0</v>
      </c>
      <c r="AK161">
        <v>-1284.6699999999992</v>
      </c>
      <c r="AL161">
        <v>4362.5599999999995</v>
      </c>
      <c r="AM161">
        <v>5663.8900000000021</v>
      </c>
      <c r="AN161">
        <v>1301.3299999999992</v>
      </c>
      <c r="AO161">
        <v>155</v>
      </c>
    </row>
    <row r="162" spans="1:41" x14ac:dyDescent="0.35">
      <c r="A162">
        <v>2024</v>
      </c>
      <c r="B162">
        <v>3</v>
      </c>
      <c r="C162">
        <v>12</v>
      </c>
      <c r="D162" s="14">
        <v>45374</v>
      </c>
      <c r="E162" t="s">
        <v>44</v>
      </c>
      <c r="F162" t="s">
        <v>47</v>
      </c>
      <c r="G162" t="s">
        <v>51</v>
      </c>
      <c r="H162">
        <v>2422.2199999999998</v>
      </c>
      <c r="I162">
        <v>2422.2199999999998</v>
      </c>
      <c r="J162">
        <v>0</v>
      </c>
      <c r="K162">
        <v>20</v>
      </c>
      <c r="L162">
        <v>20</v>
      </c>
      <c r="M162">
        <v>0</v>
      </c>
      <c r="N162">
        <v>0</v>
      </c>
      <c r="O162">
        <v>0</v>
      </c>
      <c r="P162">
        <v>0</v>
      </c>
      <c r="Q162">
        <v>-620.47</v>
      </c>
      <c r="R162">
        <v>-620.47</v>
      </c>
      <c r="S162">
        <v>0</v>
      </c>
      <c r="T162">
        <v>-8</v>
      </c>
      <c r="U162">
        <v>-8</v>
      </c>
      <c r="V162">
        <v>0</v>
      </c>
      <c r="W162">
        <v>0</v>
      </c>
      <c r="X162">
        <v>0</v>
      </c>
      <c r="Y162">
        <v>0</v>
      </c>
      <c r="Z162">
        <v>1813.75</v>
      </c>
      <c r="AA162">
        <v>1813.75</v>
      </c>
      <c r="AB162">
        <v>0</v>
      </c>
      <c r="AC162">
        <v>88.88</v>
      </c>
      <c r="AD162">
        <v>60</v>
      </c>
      <c r="AE162">
        <v>-28.88</v>
      </c>
      <c r="AF162">
        <v>1724.8700000000001</v>
      </c>
      <c r="AG162">
        <v>1753.75</v>
      </c>
      <c r="AH162">
        <v>28.880000000000003</v>
      </c>
      <c r="AI162">
        <v>496.87000000000018</v>
      </c>
      <c r="AJ162">
        <v>0</v>
      </c>
      <c r="AK162">
        <v>-496.87000000000018</v>
      </c>
      <c r="AL162">
        <v>1228</v>
      </c>
      <c r="AM162">
        <v>1753.75</v>
      </c>
      <c r="AN162">
        <v>525.75</v>
      </c>
      <c r="AO162">
        <v>41</v>
      </c>
    </row>
    <row r="163" spans="1:41" x14ac:dyDescent="0.35">
      <c r="A163">
        <v>2024</v>
      </c>
      <c r="B163">
        <v>3</v>
      </c>
      <c r="C163">
        <v>13</v>
      </c>
      <c r="D163" s="14">
        <v>45375</v>
      </c>
      <c r="E163" t="s">
        <v>41</v>
      </c>
      <c r="F163" t="s">
        <v>42</v>
      </c>
      <c r="G163" t="s">
        <v>43</v>
      </c>
      <c r="H163">
        <v>135812.75</v>
      </c>
      <c r="I163">
        <v>135812.75</v>
      </c>
      <c r="J163">
        <v>0</v>
      </c>
      <c r="K163">
        <v>1761.7500000000157</v>
      </c>
      <c r="L163">
        <v>1747.7500000000157</v>
      </c>
      <c r="M163">
        <v>-14</v>
      </c>
      <c r="N163">
        <v>3434.6399999999794</v>
      </c>
      <c r="O163">
        <v>3418.6499999999796</v>
      </c>
      <c r="P163">
        <v>-15.99</v>
      </c>
      <c r="Q163">
        <v>-14097.2</v>
      </c>
      <c r="R163">
        <v>-12833.2</v>
      </c>
      <c r="S163">
        <v>1264</v>
      </c>
      <c r="T163">
        <v>-3.39</v>
      </c>
      <c r="U163">
        <v>-3.39</v>
      </c>
      <c r="V163">
        <v>0</v>
      </c>
      <c r="W163">
        <v>-184.99</v>
      </c>
      <c r="X163">
        <v>-179.99</v>
      </c>
      <c r="Y163">
        <v>5</v>
      </c>
      <c r="Z163">
        <v>126723.56000000167</v>
      </c>
      <c r="AA163">
        <v>127962.57000000171</v>
      </c>
      <c r="AB163">
        <v>1239.01</v>
      </c>
      <c r="AC163">
        <v>39665.969999999383</v>
      </c>
      <c r="AD163">
        <v>23320.63999999981</v>
      </c>
      <c r="AE163">
        <v>-16345.329999999927</v>
      </c>
      <c r="AF163">
        <v>87057.590000000273</v>
      </c>
      <c r="AG163">
        <v>104641.93000000059</v>
      </c>
      <c r="AH163">
        <v>17584.339999999909</v>
      </c>
      <c r="AI163">
        <v>-11587.180000000002</v>
      </c>
      <c r="AJ163">
        <v>0</v>
      </c>
      <c r="AK163">
        <v>11587.180000000002</v>
      </c>
      <c r="AL163">
        <v>98644.769999999946</v>
      </c>
      <c r="AM163">
        <v>104641.93000000059</v>
      </c>
      <c r="AN163">
        <v>5997.1600000000253</v>
      </c>
      <c r="AO163">
        <v>2355</v>
      </c>
    </row>
    <row r="164" spans="1:41" x14ac:dyDescent="0.35">
      <c r="A164">
        <v>2024</v>
      </c>
      <c r="B164">
        <v>3</v>
      </c>
      <c r="C164">
        <v>13</v>
      </c>
      <c r="D164" s="14">
        <v>45376</v>
      </c>
      <c r="E164" t="s">
        <v>41</v>
      </c>
      <c r="F164" t="s">
        <v>42</v>
      </c>
      <c r="G164" t="s">
        <v>43</v>
      </c>
      <c r="H164">
        <v>133908.5</v>
      </c>
      <c r="I164">
        <v>133908.5</v>
      </c>
      <c r="J164">
        <v>0</v>
      </c>
      <c r="K164">
        <v>1595.5900000000195</v>
      </c>
      <c r="L164">
        <v>1595.5900000000195</v>
      </c>
      <c r="M164">
        <v>0</v>
      </c>
      <c r="N164">
        <v>3414.6499999999801</v>
      </c>
      <c r="O164">
        <v>3414.6499999999801</v>
      </c>
      <c r="P164">
        <v>0</v>
      </c>
      <c r="Q164">
        <v>-14299.16</v>
      </c>
      <c r="R164">
        <v>-12818.16</v>
      </c>
      <c r="S164">
        <v>1481</v>
      </c>
      <c r="T164">
        <v>-2.73</v>
      </c>
      <c r="U164">
        <v>-2.73</v>
      </c>
      <c r="V164">
        <v>0</v>
      </c>
      <c r="W164">
        <v>-161.98000000000002</v>
      </c>
      <c r="X164">
        <v>-161.98000000000002</v>
      </c>
      <c r="Y164">
        <v>0</v>
      </c>
      <c r="Z164">
        <v>124454.8700000008</v>
      </c>
      <c r="AA164">
        <v>125935.8700000008</v>
      </c>
      <c r="AB164">
        <v>1481</v>
      </c>
      <c r="AC164">
        <v>39765.349999999482</v>
      </c>
      <c r="AD164">
        <v>16692.229999999952</v>
      </c>
      <c r="AE164">
        <v>-23073.119999999846</v>
      </c>
      <c r="AF164">
        <v>84689.520000000135</v>
      </c>
      <c r="AG164">
        <v>109243.6400000006</v>
      </c>
      <c r="AH164">
        <v>24554.119999999839</v>
      </c>
      <c r="AI164">
        <v>-8457.1399999999958</v>
      </c>
      <c r="AJ164">
        <v>0</v>
      </c>
      <c r="AK164">
        <v>8457.1399999999958</v>
      </c>
      <c r="AL164">
        <v>93146.659999999552</v>
      </c>
      <c r="AM164">
        <v>109243.6400000006</v>
      </c>
      <c r="AN164">
        <v>16096.979999999781</v>
      </c>
      <c r="AO164">
        <v>2326</v>
      </c>
    </row>
    <row r="165" spans="1:41" x14ac:dyDescent="0.35">
      <c r="A165">
        <v>2024</v>
      </c>
      <c r="B165">
        <v>3</v>
      </c>
      <c r="C165">
        <v>13</v>
      </c>
      <c r="D165" s="14">
        <v>45377</v>
      </c>
      <c r="E165" t="s">
        <v>41</v>
      </c>
      <c r="F165" t="s">
        <v>42</v>
      </c>
      <c r="G165" t="s">
        <v>43</v>
      </c>
      <c r="H165">
        <v>115885.75</v>
      </c>
      <c r="I165">
        <v>115885.75</v>
      </c>
      <c r="J165">
        <v>0</v>
      </c>
      <c r="K165">
        <v>1162.5900000000092</v>
      </c>
      <c r="L165">
        <v>1162.5900000000092</v>
      </c>
      <c r="M165">
        <v>0</v>
      </c>
      <c r="N165">
        <v>2398.3199999999956</v>
      </c>
      <c r="O165">
        <v>2366.3399999999961</v>
      </c>
      <c r="P165">
        <v>-31.98</v>
      </c>
      <c r="Q165">
        <v>-12335.659999999998</v>
      </c>
      <c r="R165">
        <v>-10487.66</v>
      </c>
      <c r="S165">
        <v>1848</v>
      </c>
      <c r="T165">
        <v>-9.59</v>
      </c>
      <c r="U165">
        <v>-9.59</v>
      </c>
      <c r="V165">
        <v>0</v>
      </c>
      <c r="W165">
        <v>-80.990000000000009</v>
      </c>
      <c r="X165">
        <v>-80.990000000000009</v>
      </c>
      <c r="Y165">
        <v>0</v>
      </c>
      <c r="Z165">
        <v>107020.42000000071</v>
      </c>
      <c r="AA165">
        <v>108836.44000000074</v>
      </c>
      <c r="AB165">
        <v>1816.02</v>
      </c>
      <c r="AC165">
        <v>32500.34999999986</v>
      </c>
      <c r="AD165">
        <v>16096.679999999951</v>
      </c>
      <c r="AE165">
        <v>-16403.669999999951</v>
      </c>
      <c r="AF165">
        <v>74520.070000000211</v>
      </c>
      <c r="AG165">
        <v>92739.760000000344</v>
      </c>
      <c r="AH165">
        <v>18219.68999999993</v>
      </c>
      <c r="AI165">
        <v>-7836.42</v>
      </c>
      <c r="AJ165">
        <v>0</v>
      </c>
      <c r="AK165">
        <v>7836.42</v>
      </c>
      <c r="AL165">
        <v>82356.490000000049</v>
      </c>
      <c r="AM165">
        <v>92739.760000000344</v>
      </c>
      <c r="AN165">
        <v>10383.269999999975</v>
      </c>
      <c r="AO165">
        <v>2015</v>
      </c>
    </row>
    <row r="166" spans="1:41" x14ac:dyDescent="0.35">
      <c r="A166">
        <v>2024</v>
      </c>
      <c r="B166">
        <v>3</v>
      </c>
      <c r="C166">
        <v>13</v>
      </c>
      <c r="D166" s="14">
        <v>45378</v>
      </c>
      <c r="E166" t="s">
        <v>41</v>
      </c>
      <c r="F166" t="s">
        <v>42</v>
      </c>
      <c r="G166" t="s">
        <v>43</v>
      </c>
      <c r="H166">
        <v>119993.75</v>
      </c>
      <c r="I166">
        <v>119993.75</v>
      </c>
      <c r="J166">
        <v>0</v>
      </c>
      <c r="K166">
        <v>1219.6200000000133</v>
      </c>
      <c r="L166">
        <v>1212.6200000000133</v>
      </c>
      <c r="M166">
        <v>-7</v>
      </c>
      <c r="N166">
        <v>2278.4199999999978</v>
      </c>
      <c r="O166">
        <v>2278.4199999999978</v>
      </c>
      <c r="P166">
        <v>0</v>
      </c>
      <c r="Q166">
        <v>-12966.5</v>
      </c>
      <c r="R166">
        <v>-11320.5</v>
      </c>
      <c r="S166">
        <v>1646</v>
      </c>
      <c r="T166">
        <v>-11.280000000000001</v>
      </c>
      <c r="U166">
        <v>-11.280000000000001</v>
      </c>
      <c r="V166">
        <v>0</v>
      </c>
      <c r="W166">
        <v>-84.6</v>
      </c>
      <c r="X166">
        <v>-84.6</v>
      </c>
      <c r="Y166">
        <v>0</v>
      </c>
      <c r="Z166">
        <v>110429.41000000057</v>
      </c>
      <c r="AA166">
        <v>112068.41000000059</v>
      </c>
      <c r="AB166">
        <v>1639</v>
      </c>
      <c r="AC166">
        <v>34493.3399999998</v>
      </c>
      <c r="AD166">
        <v>18822.829999999944</v>
      </c>
      <c r="AE166">
        <v>-15670.509999999947</v>
      </c>
      <c r="AF166">
        <v>75936.070000000182</v>
      </c>
      <c r="AG166">
        <v>93245.580000000351</v>
      </c>
      <c r="AH166">
        <v>17309.509999999951</v>
      </c>
      <c r="AI166">
        <v>-9100.160000000018</v>
      </c>
      <c r="AJ166">
        <v>0</v>
      </c>
      <c r="AK166">
        <v>9100.160000000018</v>
      </c>
      <c r="AL166">
        <v>85036.22999999988</v>
      </c>
      <c r="AM166">
        <v>93245.580000000351</v>
      </c>
      <c r="AN166">
        <v>8209.3500000000204</v>
      </c>
      <c r="AO166">
        <v>2084</v>
      </c>
    </row>
    <row r="167" spans="1:41" x14ac:dyDescent="0.35">
      <c r="A167">
        <v>2024</v>
      </c>
      <c r="B167">
        <v>3</v>
      </c>
      <c r="C167">
        <v>13</v>
      </c>
      <c r="D167" s="14">
        <v>45379</v>
      </c>
      <c r="E167" t="s">
        <v>41</v>
      </c>
      <c r="F167" t="s">
        <v>42</v>
      </c>
      <c r="G167" t="s">
        <v>43</v>
      </c>
      <c r="H167">
        <v>117542.5</v>
      </c>
      <c r="I167">
        <v>117542.5</v>
      </c>
      <c r="J167">
        <v>0</v>
      </c>
      <c r="K167">
        <v>1379.5200000000109</v>
      </c>
      <c r="L167">
        <v>1379.5200000000109</v>
      </c>
      <c r="M167">
        <v>0</v>
      </c>
      <c r="N167">
        <v>2606.1899999999923</v>
      </c>
      <c r="O167">
        <v>2606.1899999999923</v>
      </c>
      <c r="P167">
        <v>0</v>
      </c>
      <c r="Q167">
        <v>-12623.1</v>
      </c>
      <c r="R167">
        <v>-11195.1</v>
      </c>
      <c r="S167">
        <v>1428</v>
      </c>
      <c r="T167">
        <v>-9.76</v>
      </c>
      <c r="U167">
        <v>-9.76</v>
      </c>
      <c r="V167">
        <v>0</v>
      </c>
      <c r="W167">
        <v>-100.6</v>
      </c>
      <c r="X167">
        <v>-100.6</v>
      </c>
      <c r="Y167">
        <v>0</v>
      </c>
      <c r="Z167">
        <v>108794.75000000102</v>
      </c>
      <c r="AA167">
        <v>110222.75000000108</v>
      </c>
      <c r="AB167">
        <v>1428</v>
      </c>
      <c r="AC167">
        <v>34140.209999999657</v>
      </c>
      <c r="AD167">
        <v>15720.619999999972</v>
      </c>
      <c r="AE167">
        <v>-18419.589999999949</v>
      </c>
      <c r="AF167">
        <v>74654.540000000241</v>
      </c>
      <c r="AG167">
        <v>94502.130000000572</v>
      </c>
      <c r="AH167">
        <v>19847.589999999906</v>
      </c>
      <c r="AI167">
        <v>-7699.6799999999957</v>
      </c>
      <c r="AJ167">
        <v>0</v>
      </c>
      <c r="AK167">
        <v>7699.6799999999957</v>
      </c>
      <c r="AL167">
        <v>82354.220000000074</v>
      </c>
      <c r="AM167">
        <v>94502.130000000572</v>
      </c>
      <c r="AN167">
        <v>12147.90999999998</v>
      </c>
      <c r="AO167">
        <v>2046</v>
      </c>
    </row>
    <row r="168" spans="1:41" x14ac:dyDescent="0.35">
      <c r="A168">
        <v>2024</v>
      </c>
      <c r="B168">
        <v>3</v>
      </c>
      <c r="C168">
        <v>13</v>
      </c>
      <c r="D168" s="14">
        <v>45380</v>
      </c>
      <c r="E168" t="s">
        <v>41</v>
      </c>
      <c r="F168" t="s">
        <v>42</v>
      </c>
      <c r="G168" t="s">
        <v>43</v>
      </c>
      <c r="H168">
        <v>107024</v>
      </c>
      <c r="I168">
        <v>107024</v>
      </c>
      <c r="J168">
        <v>0</v>
      </c>
      <c r="K168">
        <v>1383.5100000000143</v>
      </c>
      <c r="L168">
        <v>1390.5100000000145</v>
      </c>
      <c r="M168">
        <v>7</v>
      </c>
      <c r="N168">
        <v>2281.4299999999976</v>
      </c>
      <c r="O168">
        <v>2281.4299999999976</v>
      </c>
      <c r="P168">
        <v>0</v>
      </c>
      <c r="Q168">
        <v>-12090.8</v>
      </c>
      <c r="R168">
        <v>-11594.8</v>
      </c>
      <c r="S168">
        <v>496</v>
      </c>
      <c r="T168">
        <v>-16.330000000000005</v>
      </c>
      <c r="U168">
        <v>-16.790000000000003</v>
      </c>
      <c r="V168">
        <v>-0.46</v>
      </c>
      <c r="W168">
        <v>-88.99</v>
      </c>
      <c r="X168">
        <v>-88.99</v>
      </c>
      <c r="Y168">
        <v>0</v>
      </c>
      <c r="Z168">
        <v>98492.820000000516</v>
      </c>
      <c r="AA168">
        <v>98995.360000000524</v>
      </c>
      <c r="AB168">
        <v>502.53999999999996</v>
      </c>
      <c r="AC168">
        <v>30904.279999999824</v>
      </c>
      <c r="AD168">
        <v>15159.469999999965</v>
      </c>
      <c r="AE168">
        <v>-15744.809999999972</v>
      </c>
      <c r="AF168">
        <v>67588.540000000226</v>
      </c>
      <c r="AG168">
        <v>83835.890000000305</v>
      </c>
      <c r="AH168">
        <v>16247.349999999971</v>
      </c>
      <c r="AI168">
        <v>-7342.3300000000017</v>
      </c>
      <c r="AJ168">
        <v>0</v>
      </c>
      <c r="AK168">
        <v>7342.3300000000017</v>
      </c>
      <c r="AL168">
        <v>74930.87000000001</v>
      </c>
      <c r="AM168">
        <v>83835.890000000305</v>
      </c>
      <c r="AN168">
        <v>8905.0200000000095</v>
      </c>
      <c r="AO168">
        <v>1867</v>
      </c>
    </row>
    <row r="169" spans="1:41" x14ac:dyDescent="0.35">
      <c r="A169">
        <v>2024</v>
      </c>
      <c r="B169">
        <v>3</v>
      </c>
      <c r="C169">
        <v>13</v>
      </c>
      <c r="D169" s="14">
        <v>45381</v>
      </c>
      <c r="E169" t="s">
        <v>41</v>
      </c>
      <c r="F169" t="s">
        <v>42</v>
      </c>
      <c r="G169" t="s">
        <v>43</v>
      </c>
      <c r="H169">
        <v>111154.75</v>
      </c>
      <c r="I169">
        <v>111154.75</v>
      </c>
      <c r="J169">
        <v>0</v>
      </c>
      <c r="K169">
        <v>1251.23000000001</v>
      </c>
      <c r="L169">
        <v>1251.23000000001</v>
      </c>
      <c r="M169">
        <v>0</v>
      </c>
      <c r="N169">
        <v>2187.5099999999989</v>
      </c>
      <c r="O169">
        <v>2187.5099999999989</v>
      </c>
      <c r="P169">
        <v>0</v>
      </c>
      <c r="Q169">
        <v>-12856.900000000001</v>
      </c>
      <c r="R169">
        <v>-12241.900000000001</v>
      </c>
      <c r="S169">
        <v>615</v>
      </c>
      <c r="T169">
        <v>-15.110000000000003</v>
      </c>
      <c r="U169">
        <v>-15.110000000000003</v>
      </c>
      <c r="V169">
        <v>0</v>
      </c>
      <c r="W169">
        <v>-60.99</v>
      </c>
      <c r="X169">
        <v>-60.99</v>
      </c>
      <c r="Y169">
        <v>0</v>
      </c>
      <c r="Z169">
        <v>101660.49000000065</v>
      </c>
      <c r="AA169">
        <v>102275.49000000065</v>
      </c>
      <c r="AB169">
        <v>615</v>
      </c>
      <c r="AC169">
        <v>31842.199999999826</v>
      </c>
      <c r="AD169">
        <v>16826.999999999956</v>
      </c>
      <c r="AE169">
        <v>-15015.199999999972</v>
      </c>
      <c r="AF169">
        <v>69818.290000000197</v>
      </c>
      <c r="AG169">
        <v>85448.490000000224</v>
      </c>
      <c r="AH169">
        <v>15630.199999999968</v>
      </c>
      <c r="AI169">
        <v>-8364.7199999999957</v>
      </c>
      <c r="AJ169">
        <v>0</v>
      </c>
      <c r="AK169">
        <v>8364.7199999999957</v>
      </c>
      <c r="AL169">
        <v>78183.009999999806</v>
      </c>
      <c r="AM169">
        <v>85448.490000000224</v>
      </c>
      <c r="AN169">
        <v>7265.4800000000178</v>
      </c>
      <c r="AO169">
        <v>1937</v>
      </c>
    </row>
    <row r="170" spans="1:41" x14ac:dyDescent="0.35">
      <c r="A170">
        <v>2024</v>
      </c>
      <c r="B170">
        <v>3</v>
      </c>
      <c r="C170">
        <v>13</v>
      </c>
      <c r="D170" s="14">
        <v>45375</v>
      </c>
      <c r="E170" t="s">
        <v>44</v>
      </c>
      <c r="F170" t="s">
        <v>42</v>
      </c>
      <c r="G170" t="s">
        <v>45</v>
      </c>
      <c r="H170">
        <v>152676</v>
      </c>
      <c r="I170">
        <v>152676</v>
      </c>
      <c r="J170">
        <v>0</v>
      </c>
      <c r="K170">
        <v>1280.5100000000132</v>
      </c>
      <c r="L170">
        <v>1280.5100000000132</v>
      </c>
      <c r="M170">
        <v>0</v>
      </c>
      <c r="N170">
        <v>6217.9399999999405</v>
      </c>
      <c r="O170">
        <v>6185.9599999999409</v>
      </c>
      <c r="P170">
        <v>-31.980000000000004</v>
      </c>
      <c r="Q170">
        <v>-28307.9</v>
      </c>
      <c r="R170">
        <v>-27353.9</v>
      </c>
      <c r="S170">
        <v>954</v>
      </c>
      <c r="T170">
        <v>-17.920000000000005</v>
      </c>
      <c r="U170">
        <v>-17.920000000000005</v>
      </c>
      <c r="V170">
        <v>0</v>
      </c>
      <c r="W170">
        <v>-143.29</v>
      </c>
      <c r="X170">
        <v>-143.29</v>
      </c>
      <c r="Y170">
        <v>0</v>
      </c>
      <c r="Z170">
        <v>131705.34000000113</v>
      </c>
      <c r="AA170">
        <v>132627.36000000118</v>
      </c>
      <c r="AB170">
        <v>922.02</v>
      </c>
      <c r="AC170">
        <v>29361.349999999726</v>
      </c>
      <c r="AD170">
        <v>16856.679999999917</v>
      </c>
      <c r="AE170">
        <v>-12504.669999999982</v>
      </c>
      <c r="AF170">
        <v>102343.99000000037</v>
      </c>
      <c r="AG170">
        <v>115770.68000000062</v>
      </c>
      <c r="AH170">
        <v>13426.689999999977</v>
      </c>
      <c r="AI170">
        <v>-8063.8100000000049</v>
      </c>
      <c r="AJ170">
        <v>0</v>
      </c>
      <c r="AK170">
        <v>8063.8100000000049</v>
      </c>
      <c r="AL170">
        <v>110407.79999999997</v>
      </c>
      <c r="AM170">
        <v>115770.68000000062</v>
      </c>
      <c r="AN170">
        <v>5362.8800000000174</v>
      </c>
      <c r="AO170">
        <v>2004</v>
      </c>
    </row>
    <row r="171" spans="1:41" x14ac:dyDescent="0.35">
      <c r="A171">
        <v>2024</v>
      </c>
      <c r="B171">
        <v>3</v>
      </c>
      <c r="C171">
        <v>13</v>
      </c>
      <c r="D171" s="14">
        <v>45376</v>
      </c>
      <c r="E171" t="s">
        <v>44</v>
      </c>
      <c r="F171" t="s">
        <v>42</v>
      </c>
      <c r="G171" t="s">
        <v>45</v>
      </c>
      <c r="H171">
        <v>157934</v>
      </c>
      <c r="I171">
        <v>157934</v>
      </c>
      <c r="J171">
        <v>0</v>
      </c>
      <c r="K171">
        <v>1314.5000000000086</v>
      </c>
      <c r="L171">
        <v>1323.5000000000086</v>
      </c>
      <c r="M171">
        <v>9</v>
      </c>
      <c r="N171">
        <v>6493.8399999999383</v>
      </c>
      <c r="O171">
        <v>6493.8399999999383</v>
      </c>
      <c r="P171">
        <v>0</v>
      </c>
      <c r="Q171">
        <v>-29452.11</v>
      </c>
      <c r="R171">
        <v>-28460.11</v>
      </c>
      <c r="S171">
        <v>992</v>
      </c>
      <c r="T171">
        <v>-8.36</v>
      </c>
      <c r="U171">
        <v>-8.36</v>
      </c>
      <c r="V171">
        <v>0</v>
      </c>
      <c r="W171">
        <v>-123.58</v>
      </c>
      <c r="X171">
        <v>-123.58</v>
      </c>
      <c r="Y171">
        <v>0</v>
      </c>
      <c r="Z171">
        <v>136158.29000000094</v>
      </c>
      <c r="AA171">
        <v>137159.29000000094</v>
      </c>
      <c r="AB171">
        <v>1001</v>
      </c>
      <c r="AC171">
        <v>30498.469999999787</v>
      </c>
      <c r="AD171">
        <v>13990.099999999982</v>
      </c>
      <c r="AE171">
        <v>-16508.369999999926</v>
      </c>
      <c r="AF171">
        <v>105659.82000000065</v>
      </c>
      <c r="AG171">
        <v>123169.19000000096</v>
      </c>
      <c r="AH171">
        <v>17509.369999999919</v>
      </c>
      <c r="AI171">
        <v>-7124.3300000000154</v>
      </c>
      <c r="AJ171">
        <v>0</v>
      </c>
      <c r="AK171">
        <v>7124.3300000000154</v>
      </c>
      <c r="AL171">
        <v>112784.15000000001</v>
      </c>
      <c r="AM171">
        <v>123169.19000000096</v>
      </c>
      <c r="AN171">
        <v>10385.039999999937</v>
      </c>
      <c r="AO171">
        <v>2053</v>
      </c>
    </row>
    <row r="172" spans="1:41" x14ac:dyDescent="0.35">
      <c r="A172">
        <v>2024</v>
      </c>
      <c r="B172">
        <v>3</v>
      </c>
      <c r="C172">
        <v>13</v>
      </c>
      <c r="D172" s="14">
        <v>45377</v>
      </c>
      <c r="E172" t="s">
        <v>44</v>
      </c>
      <c r="F172" t="s">
        <v>42</v>
      </c>
      <c r="G172" t="s">
        <v>45</v>
      </c>
      <c r="H172">
        <v>137016</v>
      </c>
      <c r="I172">
        <v>137016</v>
      </c>
      <c r="J172">
        <v>0</v>
      </c>
      <c r="K172">
        <v>1095.6400000000074</v>
      </c>
      <c r="L172">
        <v>1095.6400000000074</v>
      </c>
      <c r="M172">
        <v>0</v>
      </c>
      <c r="N172">
        <v>5659.3699999999508</v>
      </c>
      <c r="O172">
        <v>5659.3699999999508</v>
      </c>
      <c r="P172">
        <v>0</v>
      </c>
      <c r="Q172">
        <v>-27026.71</v>
      </c>
      <c r="R172">
        <v>-26150.21</v>
      </c>
      <c r="S172">
        <v>876.5</v>
      </c>
      <c r="T172">
        <v>-21.02</v>
      </c>
      <c r="U172">
        <v>-21.02</v>
      </c>
      <c r="V172">
        <v>0</v>
      </c>
      <c r="W172">
        <v>-153.88000000000002</v>
      </c>
      <c r="X172">
        <v>-153.88000000000002</v>
      </c>
      <c r="Y172">
        <v>0</v>
      </c>
      <c r="Z172">
        <v>116569.40000000077</v>
      </c>
      <c r="AA172">
        <v>117445.90000000077</v>
      </c>
      <c r="AB172">
        <v>876.5</v>
      </c>
      <c r="AC172">
        <v>25734.039999999881</v>
      </c>
      <c r="AD172">
        <v>11902.619999999988</v>
      </c>
      <c r="AE172">
        <v>-13831.419999999976</v>
      </c>
      <c r="AF172">
        <v>90835.360000000364</v>
      </c>
      <c r="AG172">
        <v>105543.28000000052</v>
      </c>
      <c r="AH172">
        <v>14707.919999999975</v>
      </c>
      <c r="AI172">
        <v>-5956.5700000000024</v>
      </c>
      <c r="AJ172">
        <v>0</v>
      </c>
      <c r="AK172">
        <v>5956.5700000000024</v>
      </c>
      <c r="AL172">
        <v>96791.930000000022</v>
      </c>
      <c r="AM172">
        <v>105543.28000000052</v>
      </c>
      <c r="AN172">
        <v>8751.3499999999858</v>
      </c>
      <c r="AO172">
        <v>1756</v>
      </c>
    </row>
    <row r="173" spans="1:41" x14ac:dyDescent="0.35">
      <c r="A173">
        <v>2024</v>
      </c>
      <c r="B173">
        <v>3</v>
      </c>
      <c r="C173">
        <v>13</v>
      </c>
      <c r="D173" s="14">
        <v>45378</v>
      </c>
      <c r="E173" t="s">
        <v>44</v>
      </c>
      <c r="F173" t="s">
        <v>42</v>
      </c>
      <c r="G173" t="s">
        <v>45</v>
      </c>
      <c r="H173">
        <v>144450</v>
      </c>
      <c r="I173">
        <v>144450</v>
      </c>
      <c r="J173">
        <v>0</v>
      </c>
      <c r="K173">
        <v>1102.0500000000056</v>
      </c>
      <c r="L173">
        <v>1102.0500000000056</v>
      </c>
      <c r="M173">
        <v>0</v>
      </c>
      <c r="N173">
        <v>6147.0899999999438</v>
      </c>
      <c r="O173">
        <v>6147.0899999999438</v>
      </c>
      <c r="P173">
        <v>0</v>
      </c>
      <c r="Q173">
        <v>-27062.5</v>
      </c>
      <c r="R173">
        <v>-26318</v>
      </c>
      <c r="S173">
        <v>744.5</v>
      </c>
      <c r="T173">
        <v>-10.420000000000002</v>
      </c>
      <c r="U173">
        <v>-10.420000000000002</v>
      </c>
      <c r="V173">
        <v>0</v>
      </c>
      <c r="W173">
        <v>-124.2</v>
      </c>
      <c r="X173">
        <v>-124.2</v>
      </c>
      <c r="Y173">
        <v>0</v>
      </c>
      <c r="Z173">
        <v>124502.02000000072</v>
      </c>
      <c r="AA173">
        <v>125246.52000000072</v>
      </c>
      <c r="AB173">
        <v>744.5</v>
      </c>
      <c r="AC173">
        <v>27680.989999999892</v>
      </c>
      <c r="AD173">
        <v>16136.769999999955</v>
      </c>
      <c r="AE173">
        <v>-11544.220000000003</v>
      </c>
      <c r="AF173">
        <v>96821.030000000552</v>
      </c>
      <c r="AG173">
        <v>109109.75000000048</v>
      </c>
      <c r="AH173">
        <v>12288.719999999996</v>
      </c>
      <c r="AI173">
        <v>-7946.3800000000065</v>
      </c>
      <c r="AJ173">
        <v>0</v>
      </c>
      <c r="AK173">
        <v>7946.3800000000065</v>
      </c>
      <c r="AL173">
        <v>104767.41000000016</v>
      </c>
      <c r="AM173">
        <v>109109.75000000048</v>
      </c>
      <c r="AN173">
        <v>4342.3400000000247</v>
      </c>
      <c r="AO173">
        <v>1853</v>
      </c>
    </row>
    <row r="174" spans="1:41" x14ac:dyDescent="0.35">
      <c r="A174">
        <v>2024</v>
      </c>
      <c r="B174">
        <v>3</v>
      </c>
      <c r="C174">
        <v>13</v>
      </c>
      <c r="D174" s="14">
        <v>45379</v>
      </c>
      <c r="E174" t="s">
        <v>44</v>
      </c>
      <c r="F174" t="s">
        <v>42</v>
      </c>
      <c r="G174" t="s">
        <v>45</v>
      </c>
      <c r="H174">
        <v>149852</v>
      </c>
      <c r="I174">
        <v>149852</v>
      </c>
      <c r="J174">
        <v>0</v>
      </c>
      <c r="K174">
        <v>1128.6500000000069</v>
      </c>
      <c r="L174">
        <v>1098.6500000000069</v>
      </c>
      <c r="M174">
        <v>-30</v>
      </c>
      <c r="N174">
        <v>6373.8499999999394</v>
      </c>
      <c r="O174">
        <v>6290.8999999999405</v>
      </c>
      <c r="P174">
        <v>-82.95</v>
      </c>
      <c r="Q174">
        <v>-28106.5</v>
      </c>
      <c r="R174">
        <v>-27197.5</v>
      </c>
      <c r="S174">
        <v>909</v>
      </c>
      <c r="T174">
        <v>-2.59</v>
      </c>
      <c r="U174">
        <v>-2.59</v>
      </c>
      <c r="V174">
        <v>0</v>
      </c>
      <c r="W174">
        <v>-133.19999999999999</v>
      </c>
      <c r="X174">
        <v>-125.2</v>
      </c>
      <c r="Y174">
        <v>8</v>
      </c>
      <c r="Z174">
        <v>129112.21000000105</v>
      </c>
      <c r="AA174">
        <v>129916.26000000106</v>
      </c>
      <c r="AB174">
        <v>804.05</v>
      </c>
      <c r="AC174">
        <v>29208.229999999858</v>
      </c>
      <c r="AD174">
        <v>13353.949999999973</v>
      </c>
      <c r="AE174">
        <v>-15854.279999999959</v>
      </c>
      <c r="AF174">
        <v>99903.980000000476</v>
      </c>
      <c r="AG174">
        <v>116562.31000000083</v>
      </c>
      <c r="AH174">
        <v>16658.329999999962</v>
      </c>
      <c r="AI174">
        <v>-6400.9900000000043</v>
      </c>
      <c r="AJ174">
        <v>0</v>
      </c>
      <c r="AK174">
        <v>6400.9900000000043</v>
      </c>
      <c r="AL174">
        <v>106304.97000000023</v>
      </c>
      <c r="AM174">
        <v>116562.31000000083</v>
      </c>
      <c r="AN174">
        <v>10257.339999999989</v>
      </c>
      <c r="AO174">
        <v>1954</v>
      </c>
    </row>
    <row r="175" spans="1:41" x14ac:dyDescent="0.35">
      <c r="A175">
        <v>2024</v>
      </c>
      <c r="B175">
        <v>3</v>
      </c>
      <c r="C175">
        <v>13</v>
      </c>
      <c r="D175" s="14">
        <v>45380</v>
      </c>
      <c r="E175" t="s">
        <v>44</v>
      </c>
      <c r="F175" t="s">
        <v>42</v>
      </c>
      <c r="G175" t="s">
        <v>45</v>
      </c>
      <c r="H175">
        <v>135494.32</v>
      </c>
      <c r="I175">
        <v>135494.32</v>
      </c>
      <c r="J175">
        <v>0</v>
      </c>
      <c r="K175">
        <v>1036.2100000000057</v>
      </c>
      <c r="L175">
        <v>1036.2100000000057</v>
      </c>
      <c r="M175">
        <v>0</v>
      </c>
      <c r="N175">
        <v>5432.4199999999519</v>
      </c>
      <c r="O175">
        <v>5432.4199999999519</v>
      </c>
      <c r="P175">
        <v>0</v>
      </c>
      <c r="Q175">
        <v>-25561.78</v>
      </c>
      <c r="R175">
        <v>-25201.78</v>
      </c>
      <c r="S175">
        <v>360</v>
      </c>
      <c r="T175">
        <v>-3.8800000000000003</v>
      </c>
      <c r="U175">
        <v>-3.8800000000000003</v>
      </c>
      <c r="V175">
        <v>0</v>
      </c>
      <c r="W175">
        <v>-112.9</v>
      </c>
      <c r="X175">
        <v>-112.9</v>
      </c>
      <c r="Y175">
        <v>0</v>
      </c>
      <c r="Z175">
        <v>116284.39000000061</v>
      </c>
      <c r="AA175">
        <v>116644.39000000061</v>
      </c>
      <c r="AB175">
        <v>360.00000000000006</v>
      </c>
      <c r="AC175">
        <v>25597.439999999911</v>
      </c>
      <c r="AD175">
        <v>12353.45999999999</v>
      </c>
      <c r="AE175">
        <v>-13243.979999999976</v>
      </c>
      <c r="AF175">
        <v>90686.950000000434</v>
      </c>
      <c r="AG175">
        <v>104290.94000000054</v>
      </c>
      <c r="AH175">
        <v>13603.989999999974</v>
      </c>
      <c r="AI175">
        <v>-6075.1600000000062</v>
      </c>
      <c r="AJ175">
        <v>0</v>
      </c>
      <c r="AK175">
        <v>6075.1600000000062</v>
      </c>
      <c r="AL175">
        <v>96762.110000000073</v>
      </c>
      <c r="AM175">
        <v>104290.94000000054</v>
      </c>
      <c r="AN175">
        <v>7528.8300000000181</v>
      </c>
      <c r="AO175">
        <v>1775</v>
      </c>
    </row>
    <row r="176" spans="1:41" x14ac:dyDescent="0.35">
      <c r="A176">
        <v>2024</v>
      </c>
      <c r="B176">
        <v>3</v>
      </c>
      <c r="C176">
        <v>13</v>
      </c>
      <c r="D176" s="14">
        <v>45381</v>
      </c>
      <c r="E176" t="s">
        <v>44</v>
      </c>
      <c r="F176" t="s">
        <v>42</v>
      </c>
      <c r="G176" t="s">
        <v>45</v>
      </c>
      <c r="H176">
        <v>137836.07</v>
      </c>
      <c r="I176">
        <v>137836.07</v>
      </c>
      <c r="J176">
        <v>0</v>
      </c>
      <c r="K176">
        <v>872.40000000000657</v>
      </c>
      <c r="L176">
        <v>872.40000000000657</v>
      </c>
      <c r="M176">
        <v>0</v>
      </c>
      <c r="N176">
        <v>5375.469999999953</v>
      </c>
      <c r="O176">
        <v>5375.469999999953</v>
      </c>
      <c r="P176">
        <v>0</v>
      </c>
      <c r="Q176">
        <v>-26442.78</v>
      </c>
      <c r="R176">
        <v>-26122.78</v>
      </c>
      <c r="S176">
        <v>320</v>
      </c>
      <c r="T176">
        <v>-1.2200000000000002</v>
      </c>
      <c r="U176">
        <v>-1.2200000000000002</v>
      </c>
      <c r="V176">
        <v>0</v>
      </c>
      <c r="W176">
        <v>-52.5</v>
      </c>
      <c r="X176">
        <v>-52.5</v>
      </c>
      <c r="Y176">
        <v>0</v>
      </c>
      <c r="Z176">
        <v>117587.44000000069</v>
      </c>
      <c r="AA176">
        <v>117907.44000000069</v>
      </c>
      <c r="AB176">
        <v>320</v>
      </c>
      <c r="AC176">
        <v>25748.13999999989</v>
      </c>
      <c r="AD176">
        <v>13625.929999999975</v>
      </c>
      <c r="AE176">
        <v>-12122.209999999979</v>
      </c>
      <c r="AF176">
        <v>91839.310000000434</v>
      </c>
      <c r="AG176">
        <v>104281.52000000047</v>
      </c>
      <c r="AH176">
        <v>12442.209999999977</v>
      </c>
      <c r="AI176">
        <v>-6676.9900000000125</v>
      </c>
      <c r="AJ176">
        <v>0</v>
      </c>
      <c r="AK176">
        <v>6676.9900000000125</v>
      </c>
      <c r="AL176">
        <v>98516.299999999886</v>
      </c>
      <c r="AM176">
        <v>104281.52000000047</v>
      </c>
      <c r="AN176">
        <v>5765.2200000000093</v>
      </c>
      <c r="AO176">
        <v>1790</v>
      </c>
    </row>
    <row r="177" spans="1:41" x14ac:dyDescent="0.35">
      <c r="A177">
        <v>2024</v>
      </c>
      <c r="B177">
        <v>3</v>
      </c>
      <c r="C177">
        <v>13</v>
      </c>
      <c r="D177" s="14">
        <v>45375</v>
      </c>
      <c r="E177" t="s">
        <v>44</v>
      </c>
      <c r="F177" t="s">
        <v>42</v>
      </c>
      <c r="G177" t="s">
        <v>46</v>
      </c>
      <c r="H177">
        <v>55839.839999999946</v>
      </c>
      <c r="I177">
        <v>55839.839999999946</v>
      </c>
      <c r="J177">
        <v>0</v>
      </c>
      <c r="K177">
        <v>344.2399999999991</v>
      </c>
      <c r="L177">
        <v>344.2399999999991</v>
      </c>
      <c r="M177">
        <v>0</v>
      </c>
      <c r="N177">
        <v>1363.1300000000006</v>
      </c>
      <c r="O177">
        <v>1363.1300000000006</v>
      </c>
      <c r="P177">
        <v>0</v>
      </c>
      <c r="Q177">
        <v>-20072.229999999952</v>
      </c>
      <c r="R177">
        <v>-19787.80999999995</v>
      </c>
      <c r="S177">
        <v>284.42</v>
      </c>
      <c r="T177">
        <v>0</v>
      </c>
      <c r="U177">
        <v>0</v>
      </c>
      <c r="V177">
        <v>0</v>
      </c>
      <c r="W177">
        <v>-10</v>
      </c>
      <c r="X177">
        <v>-10</v>
      </c>
      <c r="Y177">
        <v>0</v>
      </c>
      <c r="Z177">
        <v>37464.979999999989</v>
      </c>
      <c r="AA177">
        <v>37749.39999999998</v>
      </c>
      <c r="AB177">
        <v>284.42</v>
      </c>
      <c r="AC177">
        <v>10985.509999999997</v>
      </c>
      <c r="AD177">
        <v>5747.0800000000072</v>
      </c>
      <c r="AE177">
        <v>-5238.4300000000067</v>
      </c>
      <c r="AF177">
        <v>26479.470000000038</v>
      </c>
      <c r="AG177">
        <v>32002.320000000022</v>
      </c>
      <c r="AH177">
        <v>5522.8500000000067</v>
      </c>
      <c r="AI177">
        <v>-1880.1399999999996</v>
      </c>
      <c r="AJ177">
        <v>0</v>
      </c>
      <c r="AK177">
        <v>1880.1399999999996</v>
      </c>
      <c r="AL177">
        <v>28359.609999999997</v>
      </c>
      <c r="AM177">
        <v>32002.320000000022</v>
      </c>
      <c r="AN177">
        <v>3642.7100000000005</v>
      </c>
      <c r="AO177">
        <v>658</v>
      </c>
    </row>
    <row r="178" spans="1:41" x14ac:dyDescent="0.35">
      <c r="A178">
        <v>2024</v>
      </c>
      <c r="B178">
        <v>3</v>
      </c>
      <c r="C178">
        <v>13</v>
      </c>
      <c r="D178" s="14">
        <v>45376</v>
      </c>
      <c r="E178" t="s">
        <v>44</v>
      </c>
      <c r="F178" t="s">
        <v>42</v>
      </c>
      <c r="G178" t="s">
        <v>46</v>
      </c>
      <c r="H178">
        <v>51381.53999999995</v>
      </c>
      <c r="I178">
        <v>51381.53999999995</v>
      </c>
      <c r="J178">
        <v>0</v>
      </c>
      <c r="K178">
        <v>281.60999999999956</v>
      </c>
      <c r="L178">
        <v>281.60999999999956</v>
      </c>
      <c r="M178">
        <v>0</v>
      </c>
      <c r="N178">
        <v>1440.0900000000006</v>
      </c>
      <c r="O178">
        <v>1440.0900000000006</v>
      </c>
      <c r="P178">
        <v>0</v>
      </c>
      <c r="Q178">
        <v>-18696.459999999959</v>
      </c>
      <c r="R178">
        <v>-18214.459999999959</v>
      </c>
      <c r="S178">
        <v>482</v>
      </c>
      <c r="T178">
        <v>0</v>
      </c>
      <c r="U178">
        <v>0</v>
      </c>
      <c r="V178">
        <v>0</v>
      </c>
      <c r="W178">
        <v>-5</v>
      </c>
      <c r="X178">
        <v>-5</v>
      </c>
      <c r="Y178">
        <v>0</v>
      </c>
      <c r="Z178">
        <v>34401.780000000021</v>
      </c>
      <c r="AA178">
        <v>34883.780000000013</v>
      </c>
      <c r="AB178">
        <v>482</v>
      </c>
      <c r="AC178">
        <v>9572.8100000000104</v>
      </c>
      <c r="AD178">
        <v>4039.9100000000039</v>
      </c>
      <c r="AE178">
        <v>-5532.9000000000078</v>
      </c>
      <c r="AF178">
        <v>24828.97000000007</v>
      </c>
      <c r="AG178">
        <v>30843.870000000057</v>
      </c>
      <c r="AH178">
        <v>6014.9000000000078</v>
      </c>
      <c r="AI178">
        <v>-1523.1899999999996</v>
      </c>
      <c r="AJ178">
        <v>0</v>
      </c>
      <c r="AK178">
        <v>1523.1899999999996</v>
      </c>
      <c r="AL178">
        <v>26352.160000000051</v>
      </c>
      <c r="AM178">
        <v>30843.870000000057</v>
      </c>
      <c r="AN178">
        <v>4491.7100000000064</v>
      </c>
      <c r="AO178">
        <v>593</v>
      </c>
    </row>
    <row r="179" spans="1:41" x14ac:dyDescent="0.35">
      <c r="A179">
        <v>2024</v>
      </c>
      <c r="B179">
        <v>3</v>
      </c>
      <c r="C179">
        <v>13</v>
      </c>
      <c r="D179" s="14">
        <v>45377</v>
      </c>
      <c r="E179" t="s">
        <v>44</v>
      </c>
      <c r="F179" t="s">
        <v>42</v>
      </c>
      <c r="G179" t="s">
        <v>46</v>
      </c>
      <c r="H179">
        <v>37560.809999999961</v>
      </c>
      <c r="I179">
        <v>37560.809999999961</v>
      </c>
      <c r="J179">
        <v>0</v>
      </c>
      <c r="K179">
        <v>223.85999999999999</v>
      </c>
      <c r="L179">
        <v>223.85999999999999</v>
      </c>
      <c r="M179">
        <v>0</v>
      </c>
      <c r="N179">
        <v>1037.3400000000004</v>
      </c>
      <c r="O179">
        <v>1037.3400000000004</v>
      </c>
      <c r="P179">
        <v>0</v>
      </c>
      <c r="Q179">
        <v>-13605.679999999971</v>
      </c>
      <c r="R179">
        <v>-13431.679999999971</v>
      </c>
      <c r="S179">
        <v>174</v>
      </c>
      <c r="T179">
        <v>-0.48</v>
      </c>
      <c r="U179">
        <v>-0.48</v>
      </c>
      <c r="V179">
        <v>0</v>
      </c>
      <c r="W179">
        <v>0</v>
      </c>
      <c r="X179">
        <v>0</v>
      </c>
      <c r="Y179">
        <v>0</v>
      </c>
      <c r="Z179">
        <v>25215.849999999991</v>
      </c>
      <c r="AA179">
        <v>25389.849999999991</v>
      </c>
      <c r="AB179">
        <v>174</v>
      </c>
      <c r="AC179">
        <v>6726.9300000000076</v>
      </c>
      <c r="AD179">
        <v>2666.5200000000013</v>
      </c>
      <c r="AE179">
        <v>-4060.4100000000039</v>
      </c>
      <c r="AF179">
        <v>18488.920000000016</v>
      </c>
      <c r="AG179">
        <v>22723.329999999998</v>
      </c>
      <c r="AH179">
        <v>4234.4100000000044</v>
      </c>
      <c r="AI179">
        <v>-1080.2200000000003</v>
      </c>
      <c r="AJ179">
        <v>0</v>
      </c>
      <c r="AK179">
        <v>1080.2200000000003</v>
      </c>
      <c r="AL179">
        <v>19569.140000000007</v>
      </c>
      <c r="AM179">
        <v>22723.329999999998</v>
      </c>
      <c r="AN179">
        <v>3154.1900000000028</v>
      </c>
      <c r="AO179">
        <v>433</v>
      </c>
    </row>
    <row r="180" spans="1:41" x14ac:dyDescent="0.35">
      <c r="A180">
        <v>2024</v>
      </c>
      <c r="B180">
        <v>3</v>
      </c>
      <c r="C180">
        <v>13</v>
      </c>
      <c r="D180" s="14">
        <v>45378</v>
      </c>
      <c r="E180" t="s">
        <v>44</v>
      </c>
      <c r="F180" t="s">
        <v>42</v>
      </c>
      <c r="G180" t="s">
        <v>46</v>
      </c>
      <c r="H180">
        <v>40399.869999999966</v>
      </c>
      <c r="I180">
        <v>40399.869999999966</v>
      </c>
      <c r="J180">
        <v>0</v>
      </c>
      <c r="K180">
        <v>278.97999999999979</v>
      </c>
      <c r="L180">
        <v>278.97999999999979</v>
      </c>
      <c r="M180">
        <v>0</v>
      </c>
      <c r="N180">
        <v>939.39000000000044</v>
      </c>
      <c r="O180">
        <v>939.39000000000044</v>
      </c>
      <c r="P180">
        <v>0</v>
      </c>
      <c r="Q180">
        <v>-14163.379999999972</v>
      </c>
      <c r="R180">
        <v>-13914.379999999972</v>
      </c>
      <c r="S180">
        <v>249</v>
      </c>
      <c r="T180">
        <v>-0.48</v>
      </c>
      <c r="U180">
        <v>-0.48</v>
      </c>
      <c r="V180">
        <v>0</v>
      </c>
      <c r="W180">
        <v>-1.9000000000000001</v>
      </c>
      <c r="X180">
        <v>-1.9000000000000001</v>
      </c>
      <c r="Y180">
        <v>0</v>
      </c>
      <c r="Z180">
        <v>27452.48</v>
      </c>
      <c r="AA180">
        <v>27701.48</v>
      </c>
      <c r="AB180">
        <v>249</v>
      </c>
      <c r="AC180">
        <v>7312.5500000000102</v>
      </c>
      <c r="AD180">
        <v>4782.2800000000061</v>
      </c>
      <c r="AE180">
        <v>-2530.2700000000013</v>
      </c>
      <c r="AF180">
        <v>20139.930000000026</v>
      </c>
      <c r="AG180">
        <v>22919.200000000019</v>
      </c>
      <c r="AH180">
        <v>2779.2700000000013</v>
      </c>
      <c r="AI180">
        <v>-1670.420000000001</v>
      </c>
      <c r="AJ180">
        <v>0</v>
      </c>
      <c r="AK180">
        <v>1670.420000000001</v>
      </c>
      <c r="AL180">
        <v>21810.350000000024</v>
      </c>
      <c r="AM180">
        <v>22919.200000000019</v>
      </c>
      <c r="AN180">
        <v>1108.849999999999</v>
      </c>
      <c r="AO180">
        <v>478</v>
      </c>
    </row>
    <row r="181" spans="1:41" x14ac:dyDescent="0.35">
      <c r="A181">
        <v>2024</v>
      </c>
      <c r="B181">
        <v>3</v>
      </c>
      <c r="C181">
        <v>13</v>
      </c>
      <c r="D181" s="14">
        <v>45379</v>
      </c>
      <c r="E181" t="s">
        <v>44</v>
      </c>
      <c r="F181" t="s">
        <v>42</v>
      </c>
      <c r="G181" t="s">
        <v>46</v>
      </c>
      <c r="H181">
        <v>46793.78999999995</v>
      </c>
      <c r="I181">
        <v>46793.78999999995</v>
      </c>
      <c r="J181">
        <v>0</v>
      </c>
      <c r="K181">
        <v>325.04999999999956</v>
      </c>
      <c r="L181">
        <v>325.04999999999956</v>
      </c>
      <c r="M181">
        <v>0</v>
      </c>
      <c r="N181">
        <v>1347.1500000000005</v>
      </c>
      <c r="O181">
        <v>1347.1500000000005</v>
      </c>
      <c r="P181">
        <v>0</v>
      </c>
      <c r="Q181">
        <v>-16212.099999999964</v>
      </c>
      <c r="R181">
        <v>-15948.099999999966</v>
      </c>
      <c r="S181">
        <v>264</v>
      </c>
      <c r="T181">
        <v>0</v>
      </c>
      <c r="U181">
        <v>0</v>
      </c>
      <c r="V181">
        <v>0</v>
      </c>
      <c r="W181">
        <v>-6.9</v>
      </c>
      <c r="X181">
        <v>-6.9</v>
      </c>
      <c r="Y181">
        <v>0</v>
      </c>
      <c r="Z181">
        <v>32246.990000000016</v>
      </c>
      <c r="AA181">
        <v>32510.990000000016</v>
      </c>
      <c r="AB181">
        <v>264</v>
      </c>
      <c r="AC181">
        <v>8833.8300000000108</v>
      </c>
      <c r="AD181">
        <v>4126.3500000000049</v>
      </c>
      <c r="AE181">
        <v>-4707.4800000000059</v>
      </c>
      <c r="AF181">
        <v>23413.160000000018</v>
      </c>
      <c r="AG181">
        <v>28384.64000000001</v>
      </c>
      <c r="AH181">
        <v>4971.4800000000059</v>
      </c>
      <c r="AI181">
        <v>-1133.04</v>
      </c>
      <c r="AJ181">
        <v>0</v>
      </c>
      <c r="AK181">
        <v>1133.04</v>
      </c>
      <c r="AL181">
        <v>24546.200000000004</v>
      </c>
      <c r="AM181">
        <v>28384.64000000001</v>
      </c>
      <c r="AN181">
        <v>3838.44</v>
      </c>
      <c r="AO181">
        <v>558</v>
      </c>
    </row>
    <row r="182" spans="1:41" x14ac:dyDescent="0.35">
      <c r="A182">
        <v>2024</v>
      </c>
      <c r="B182">
        <v>3</v>
      </c>
      <c r="C182">
        <v>13</v>
      </c>
      <c r="D182" s="14">
        <v>45380</v>
      </c>
      <c r="E182" t="s">
        <v>44</v>
      </c>
      <c r="F182" t="s">
        <v>42</v>
      </c>
      <c r="G182" t="s">
        <v>46</v>
      </c>
      <c r="H182">
        <v>45451.799999999952</v>
      </c>
      <c r="I182">
        <v>45451.799999999952</v>
      </c>
      <c r="J182">
        <v>0</v>
      </c>
      <c r="K182">
        <v>290.6699999999995</v>
      </c>
      <c r="L182">
        <v>290.6699999999995</v>
      </c>
      <c r="M182">
        <v>0</v>
      </c>
      <c r="N182">
        <v>1342.1600000000005</v>
      </c>
      <c r="O182">
        <v>1326.1700000000005</v>
      </c>
      <c r="P182">
        <v>-15.99</v>
      </c>
      <c r="Q182">
        <v>-15872.099999999966</v>
      </c>
      <c r="R182">
        <v>-15867.099999999966</v>
      </c>
      <c r="S182">
        <v>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31212.530000000042</v>
      </c>
      <c r="AA182">
        <v>31201.540000000041</v>
      </c>
      <c r="AB182">
        <v>-10.990000000000002</v>
      </c>
      <c r="AC182">
        <v>8583.8700000000081</v>
      </c>
      <c r="AD182">
        <v>4496.4000000000051</v>
      </c>
      <c r="AE182">
        <v>-4087.470000000003</v>
      </c>
      <c r="AF182">
        <v>22628.660000000025</v>
      </c>
      <c r="AG182">
        <v>26705.140000000032</v>
      </c>
      <c r="AH182">
        <v>4076.4800000000032</v>
      </c>
      <c r="AI182">
        <v>-1445.9600000000009</v>
      </c>
      <c r="AJ182">
        <v>0</v>
      </c>
      <c r="AK182">
        <v>1445.9600000000009</v>
      </c>
      <c r="AL182">
        <v>24074.620000000006</v>
      </c>
      <c r="AM182">
        <v>26705.140000000032</v>
      </c>
      <c r="AN182">
        <v>2630.5199999999986</v>
      </c>
      <c r="AO182">
        <v>540</v>
      </c>
    </row>
    <row r="183" spans="1:41" x14ac:dyDescent="0.35">
      <c r="A183">
        <v>2024</v>
      </c>
      <c r="B183">
        <v>3</v>
      </c>
      <c r="C183">
        <v>13</v>
      </c>
      <c r="D183" s="14">
        <v>45381</v>
      </c>
      <c r="E183" t="s">
        <v>44</v>
      </c>
      <c r="F183" t="s">
        <v>42</v>
      </c>
      <c r="G183" t="s">
        <v>46</v>
      </c>
      <c r="H183">
        <v>51779.239999999947</v>
      </c>
      <c r="I183">
        <v>51779.239999999947</v>
      </c>
      <c r="J183">
        <v>0</v>
      </c>
      <c r="K183">
        <v>255.51000000000033</v>
      </c>
      <c r="L183">
        <v>255.51000000000033</v>
      </c>
      <c r="M183">
        <v>0</v>
      </c>
      <c r="N183">
        <v>1338.1600000000005</v>
      </c>
      <c r="O183">
        <v>1338.1600000000005</v>
      </c>
      <c r="P183">
        <v>0</v>
      </c>
      <c r="Q183">
        <v>-18059.489999999954</v>
      </c>
      <c r="R183">
        <v>-18054.489999999954</v>
      </c>
      <c r="S183">
        <v>5</v>
      </c>
      <c r="T183">
        <v>0</v>
      </c>
      <c r="U183">
        <v>0</v>
      </c>
      <c r="V183">
        <v>0</v>
      </c>
      <c r="W183">
        <v>-5</v>
      </c>
      <c r="X183">
        <v>-5</v>
      </c>
      <c r="Y183">
        <v>0</v>
      </c>
      <c r="Z183">
        <v>35308.419999999969</v>
      </c>
      <c r="AA183">
        <v>35313.419999999969</v>
      </c>
      <c r="AB183">
        <v>5</v>
      </c>
      <c r="AC183">
        <v>9378.9600000000119</v>
      </c>
      <c r="AD183">
        <v>4957.9000000000051</v>
      </c>
      <c r="AE183">
        <v>-4421.0600000000059</v>
      </c>
      <c r="AF183">
        <v>25929.460000000043</v>
      </c>
      <c r="AG183">
        <v>30355.520000000015</v>
      </c>
      <c r="AH183">
        <v>4426.0600000000059</v>
      </c>
      <c r="AI183">
        <v>-1372.6000000000006</v>
      </c>
      <c r="AJ183">
        <v>0</v>
      </c>
      <c r="AK183">
        <v>1372.6000000000006</v>
      </c>
      <c r="AL183">
        <v>27302.059999999994</v>
      </c>
      <c r="AM183">
        <v>30355.520000000015</v>
      </c>
      <c r="AN183">
        <v>3053.4599999999996</v>
      </c>
      <c r="AO183">
        <v>620</v>
      </c>
    </row>
    <row r="184" spans="1:41" x14ac:dyDescent="0.35">
      <c r="A184">
        <v>2024</v>
      </c>
      <c r="B184">
        <v>3</v>
      </c>
      <c r="C184">
        <v>13</v>
      </c>
      <c r="D184" s="14">
        <v>45375</v>
      </c>
      <c r="E184" t="s">
        <v>44</v>
      </c>
      <c r="F184" t="s">
        <v>47</v>
      </c>
      <c r="G184" t="s">
        <v>48</v>
      </c>
      <c r="H184">
        <v>7800.0500000000211</v>
      </c>
      <c r="I184">
        <v>7800.0500000000211</v>
      </c>
      <c r="J184">
        <v>0</v>
      </c>
      <c r="K184">
        <v>658.7</v>
      </c>
      <c r="L184">
        <v>658.7</v>
      </c>
      <c r="M184">
        <v>0</v>
      </c>
      <c r="N184">
        <v>0</v>
      </c>
      <c r="O184">
        <v>0</v>
      </c>
      <c r="P184">
        <v>0</v>
      </c>
      <c r="Q184">
        <v>-1010.0000000000001</v>
      </c>
      <c r="R184">
        <v>-1010.0000000000001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7448.7500000000209</v>
      </c>
      <c r="AA184">
        <v>7448.7500000000209</v>
      </c>
      <c r="AB184">
        <v>0</v>
      </c>
      <c r="AE184">
        <v>0</v>
      </c>
      <c r="AF184">
        <v>7448.7500000000209</v>
      </c>
      <c r="AG184">
        <v>7448.7500000000209</v>
      </c>
      <c r="AH184">
        <v>0</v>
      </c>
      <c r="AI184">
        <v>2722.4699999999984</v>
      </c>
      <c r="AJ184">
        <v>0</v>
      </c>
      <c r="AK184">
        <v>-2722.4699999999984</v>
      </c>
      <c r="AL184">
        <v>4726.2800000000016</v>
      </c>
      <c r="AM184">
        <v>7448.7500000000209</v>
      </c>
      <c r="AN184">
        <v>2722.469999999998</v>
      </c>
      <c r="AO184">
        <v>259</v>
      </c>
    </row>
    <row r="185" spans="1:41" x14ac:dyDescent="0.35">
      <c r="A185">
        <v>2024</v>
      </c>
      <c r="B185">
        <v>3</v>
      </c>
      <c r="C185">
        <v>13</v>
      </c>
      <c r="D185" s="14">
        <v>45376</v>
      </c>
      <c r="E185" t="s">
        <v>44</v>
      </c>
      <c r="F185" t="s">
        <v>47</v>
      </c>
      <c r="G185" t="s">
        <v>48</v>
      </c>
      <c r="H185">
        <v>5831.050000000002</v>
      </c>
      <c r="I185">
        <v>5831.050000000002</v>
      </c>
      <c r="J185">
        <v>0</v>
      </c>
      <c r="K185">
        <v>66.460000000000008</v>
      </c>
      <c r="L185">
        <v>66.460000000000008</v>
      </c>
      <c r="M185">
        <v>0</v>
      </c>
      <c r="N185">
        <v>0</v>
      </c>
      <c r="O185">
        <v>0</v>
      </c>
      <c r="P185">
        <v>0</v>
      </c>
      <c r="Q185">
        <v>-857.50000000000034</v>
      </c>
      <c r="R185">
        <v>-857.50000000000034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5040.0100000000011</v>
      </c>
      <c r="AA185">
        <v>5040.0100000000011</v>
      </c>
      <c r="AB185">
        <v>0</v>
      </c>
      <c r="AC185">
        <v>56.46</v>
      </c>
      <c r="AD185">
        <v>56.46</v>
      </c>
      <c r="AE185">
        <v>0</v>
      </c>
      <c r="AF185">
        <v>4983.5500000000011</v>
      </c>
      <c r="AG185">
        <v>4983.5500000000011</v>
      </c>
      <c r="AH185">
        <v>0</v>
      </c>
      <c r="AI185">
        <v>1736.4799999999991</v>
      </c>
      <c r="AJ185">
        <v>0</v>
      </c>
      <c r="AK185">
        <v>-1736.4799999999991</v>
      </c>
      <c r="AL185">
        <v>3247.0699999999979</v>
      </c>
      <c r="AM185">
        <v>4983.5500000000011</v>
      </c>
      <c r="AN185">
        <v>1736.4799999999991</v>
      </c>
      <c r="AO185">
        <v>109</v>
      </c>
    </row>
    <row r="186" spans="1:41" x14ac:dyDescent="0.35">
      <c r="A186">
        <v>2024</v>
      </c>
      <c r="B186">
        <v>3</v>
      </c>
      <c r="C186">
        <v>13</v>
      </c>
      <c r="D186" s="14">
        <v>45377</v>
      </c>
      <c r="E186" t="s">
        <v>44</v>
      </c>
      <c r="F186" t="s">
        <v>47</v>
      </c>
      <c r="G186" t="s">
        <v>48</v>
      </c>
      <c r="H186">
        <v>2052.4</v>
      </c>
      <c r="I186">
        <v>2052.4</v>
      </c>
      <c r="J186">
        <v>0</v>
      </c>
      <c r="K186">
        <v>44.07</v>
      </c>
      <c r="L186">
        <v>44.07</v>
      </c>
      <c r="M186">
        <v>0</v>
      </c>
      <c r="N186">
        <v>47.97</v>
      </c>
      <c r="O186">
        <v>47.97</v>
      </c>
      <c r="P186">
        <v>0</v>
      </c>
      <c r="Q186">
        <v>-312.8</v>
      </c>
      <c r="R186">
        <v>-312.8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1831.6399999999999</v>
      </c>
      <c r="AA186">
        <v>1831.6399999999999</v>
      </c>
      <c r="AB186">
        <v>0</v>
      </c>
      <c r="AC186">
        <v>86.460000000000008</v>
      </c>
      <c r="AD186">
        <v>30</v>
      </c>
      <c r="AE186">
        <v>-56.46</v>
      </c>
      <c r="AF186">
        <v>1745.1799999999998</v>
      </c>
      <c r="AG186">
        <v>1801.6399999999999</v>
      </c>
      <c r="AH186">
        <v>56.46</v>
      </c>
      <c r="AI186">
        <v>632.05999999999995</v>
      </c>
      <c r="AJ186">
        <v>0</v>
      </c>
      <c r="AK186">
        <v>-632.05999999999995</v>
      </c>
      <c r="AL186">
        <v>1113.1199999999992</v>
      </c>
      <c r="AM186">
        <v>1801.6399999999999</v>
      </c>
      <c r="AN186">
        <v>688.51999999999987</v>
      </c>
      <c r="AO186">
        <v>46</v>
      </c>
    </row>
    <row r="187" spans="1:41" x14ac:dyDescent="0.35">
      <c r="A187">
        <v>2024</v>
      </c>
      <c r="B187">
        <v>3</v>
      </c>
      <c r="C187">
        <v>13</v>
      </c>
      <c r="D187" s="14">
        <v>45378</v>
      </c>
      <c r="E187" t="s">
        <v>44</v>
      </c>
      <c r="F187" t="s">
        <v>47</v>
      </c>
      <c r="G187" t="s">
        <v>48</v>
      </c>
      <c r="H187">
        <v>4990.7000000000216</v>
      </c>
      <c r="I187">
        <v>4990.7000000000216</v>
      </c>
      <c r="J187">
        <v>0</v>
      </c>
      <c r="K187">
        <v>1683.2200000000003</v>
      </c>
      <c r="L187">
        <v>1683.2200000000003</v>
      </c>
      <c r="M187">
        <v>0</v>
      </c>
      <c r="N187">
        <v>0</v>
      </c>
      <c r="O187">
        <v>0</v>
      </c>
      <c r="P187">
        <v>0</v>
      </c>
      <c r="Q187">
        <v>-254.75000000000006</v>
      </c>
      <c r="R187">
        <v>-236.75000000000003</v>
      </c>
      <c r="S187">
        <v>18</v>
      </c>
      <c r="T187">
        <v>-316.80000000000018</v>
      </c>
      <c r="U187">
        <v>-316.80000000000018</v>
      </c>
      <c r="V187">
        <v>0</v>
      </c>
      <c r="W187">
        <v>0</v>
      </c>
      <c r="X187">
        <v>0</v>
      </c>
      <c r="Y187">
        <v>0</v>
      </c>
      <c r="Z187">
        <v>6102.3700000000135</v>
      </c>
      <c r="AA187">
        <v>6120.3700000000135</v>
      </c>
      <c r="AB187">
        <v>18</v>
      </c>
      <c r="AC187">
        <v>74</v>
      </c>
      <c r="AD187">
        <v>44</v>
      </c>
      <c r="AE187">
        <v>-30</v>
      </c>
      <c r="AF187">
        <v>6028.3700000000135</v>
      </c>
      <c r="AG187">
        <v>6076.3700000000135</v>
      </c>
      <c r="AH187">
        <v>48</v>
      </c>
      <c r="AI187">
        <v>2057.909999999993</v>
      </c>
      <c r="AJ187">
        <v>0</v>
      </c>
      <c r="AK187">
        <v>-2057.909999999993</v>
      </c>
      <c r="AL187">
        <v>3970.4600000000037</v>
      </c>
      <c r="AM187">
        <v>6076.3700000000135</v>
      </c>
      <c r="AN187">
        <v>2105.909999999993</v>
      </c>
      <c r="AO187">
        <v>226</v>
      </c>
    </row>
    <row r="188" spans="1:41" x14ac:dyDescent="0.35">
      <c r="A188">
        <v>2024</v>
      </c>
      <c r="B188">
        <v>3</v>
      </c>
      <c r="C188">
        <v>13</v>
      </c>
      <c r="D188" s="14">
        <v>45379</v>
      </c>
      <c r="E188" t="s">
        <v>44</v>
      </c>
      <c r="F188" t="s">
        <v>47</v>
      </c>
      <c r="G188" t="s">
        <v>48</v>
      </c>
      <c r="H188">
        <v>14164.449999999986</v>
      </c>
      <c r="I188">
        <v>14164.449999999986</v>
      </c>
      <c r="J188">
        <v>0</v>
      </c>
      <c r="K188">
        <v>877.20000000000027</v>
      </c>
      <c r="L188">
        <v>877.20000000000027</v>
      </c>
      <c r="M188">
        <v>0</v>
      </c>
      <c r="N188">
        <v>0</v>
      </c>
      <c r="O188">
        <v>0</v>
      </c>
      <c r="P188">
        <v>0</v>
      </c>
      <c r="Q188">
        <v>-2256.099999999999</v>
      </c>
      <c r="R188">
        <v>-2256.099999999999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12785.549999999983</v>
      </c>
      <c r="AA188">
        <v>12785.549999999983</v>
      </c>
      <c r="AB188">
        <v>0</v>
      </c>
      <c r="AC188">
        <v>71.75</v>
      </c>
      <c r="AD188">
        <v>27.75</v>
      </c>
      <c r="AE188">
        <v>-44</v>
      </c>
      <c r="AF188">
        <v>12713.799999999983</v>
      </c>
      <c r="AG188">
        <v>12757.799999999983</v>
      </c>
      <c r="AH188">
        <v>44</v>
      </c>
      <c r="AI188">
        <v>3789.0899999999974</v>
      </c>
      <c r="AJ188">
        <v>0</v>
      </c>
      <c r="AK188">
        <v>-3789.0899999999974</v>
      </c>
      <c r="AL188">
        <v>8924.7099999999973</v>
      </c>
      <c r="AM188">
        <v>12757.799999999983</v>
      </c>
      <c r="AN188">
        <v>3833.0899999999979</v>
      </c>
      <c r="AO188">
        <v>412</v>
      </c>
    </row>
    <row r="189" spans="1:41" x14ac:dyDescent="0.35">
      <c r="A189">
        <v>2024</v>
      </c>
      <c r="B189">
        <v>3</v>
      </c>
      <c r="C189">
        <v>13</v>
      </c>
      <c r="D189" s="14">
        <v>45380</v>
      </c>
      <c r="E189" t="s">
        <v>44</v>
      </c>
      <c r="F189" t="s">
        <v>47</v>
      </c>
      <c r="G189" t="s">
        <v>48</v>
      </c>
      <c r="H189">
        <v>6844.4500000000171</v>
      </c>
      <c r="I189">
        <v>6844.4500000000171</v>
      </c>
      <c r="J189">
        <v>0</v>
      </c>
      <c r="K189">
        <v>933.90000000000043</v>
      </c>
      <c r="L189">
        <v>933.90000000000043</v>
      </c>
      <c r="M189">
        <v>0</v>
      </c>
      <c r="N189">
        <v>8.99</v>
      </c>
      <c r="O189">
        <v>8.99</v>
      </c>
      <c r="P189">
        <v>0</v>
      </c>
      <c r="Q189">
        <v>-873.25000000000011</v>
      </c>
      <c r="R189">
        <v>-873.25000000000011</v>
      </c>
      <c r="S189">
        <v>0</v>
      </c>
      <c r="T189">
        <v>-150.69999999999999</v>
      </c>
      <c r="U189">
        <v>-150.69999999999999</v>
      </c>
      <c r="V189">
        <v>0</v>
      </c>
      <c r="W189">
        <v>0</v>
      </c>
      <c r="X189">
        <v>0</v>
      </c>
      <c r="Y189">
        <v>0</v>
      </c>
      <c r="Z189">
        <v>6763.3900000000103</v>
      </c>
      <c r="AA189">
        <v>6763.3900000000103</v>
      </c>
      <c r="AB189">
        <v>0</v>
      </c>
      <c r="AC189">
        <v>42.75</v>
      </c>
      <c r="AE189">
        <v>-42.75</v>
      </c>
      <c r="AF189">
        <v>6720.6400000000103</v>
      </c>
      <c r="AG189">
        <v>6763.3900000000103</v>
      </c>
      <c r="AH189">
        <v>42.75</v>
      </c>
      <c r="AI189">
        <v>2165.7899999999945</v>
      </c>
      <c r="AJ189">
        <v>0</v>
      </c>
      <c r="AK189">
        <v>-2165.7899999999945</v>
      </c>
      <c r="AL189">
        <v>4554.8499999999949</v>
      </c>
      <c r="AM189">
        <v>6763.3900000000103</v>
      </c>
      <c r="AN189">
        <v>2208.5399999999945</v>
      </c>
      <c r="AO189">
        <v>256</v>
      </c>
    </row>
    <row r="190" spans="1:41" x14ac:dyDescent="0.35">
      <c r="A190">
        <v>2024</v>
      </c>
      <c r="B190">
        <v>3</v>
      </c>
      <c r="C190">
        <v>13</v>
      </c>
      <c r="D190" s="14">
        <v>45381</v>
      </c>
      <c r="E190" t="s">
        <v>44</v>
      </c>
      <c r="F190" t="s">
        <v>47</v>
      </c>
      <c r="G190" t="s">
        <v>48</v>
      </c>
      <c r="H190">
        <v>6389.1000000000131</v>
      </c>
      <c r="I190">
        <v>6389.1000000000131</v>
      </c>
      <c r="J190">
        <v>0</v>
      </c>
      <c r="K190">
        <v>339.48999999999995</v>
      </c>
      <c r="L190">
        <v>339.48999999999995</v>
      </c>
      <c r="M190">
        <v>0</v>
      </c>
      <c r="N190">
        <v>63.970000000000006</v>
      </c>
      <c r="O190">
        <v>63.970000000000006</v>
      </c>
      <c r="P190">
        <v>0</v>
      </c>
      <c r="Q190">
        <v>-891.9</v>
      </c>
      <c r="R190">
        <v>-881.9</v>
      </c>
      <c r="S190">
        <v>10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5900.6600000000126</v>
      </c>
      <c r="AA190">
        <v>5910.6600000000126</v>
      </c>
      <c r="AB190">
        <v>10</v>
      </c>
      <c r="AC190">
        <v>54.75</v>
      </c>
      <c r="AD190">
        <v>39.75</v>
      </c>
      <c r="AE190">
        <v>-15</v>
      </c>
      <c r="AF190">
        <v>5845.9100000000117</v>
      </c>
      <c r="AG190">
        <v>5870.9100000000117</v>
      </c>
      <c r="AH190">
        <v>25</v>
      </c>
      <c r="AI190">
        <v>1820.9400000000003</v>
      </c>
      <c r="AJ190">
        <v>0</v>
      </c>
      <c r="AK190">
        <v>-1820.9400000000003</v>
      </c>
      <c r="AL190">
        <v>4024.9700000000003</v>
      </c>
      <c r="AM190">
        <v>5870.9100000000117</v>
      </c>
      <c r="AN190">
        <v>1845.9400000000005</v>
      </c>
      <c r="AO190">
        <v>176</v>
      </c>
    </row>
    <row r="191" spans="1:41" x14ac:dyDescent="0.35">
      <c r="A191">
        <v>2024</v>
      </c>
      <c r="B191">
        <v>3</v>
      </c>
      <c r="C191">
        <v>13</v>
      </c>
      <c r="D191" s="14">
        <v>45375</v>
      </c>
      <c r="E191" t="s">
        <v>44</v>
      </c>
      <c r="F191" t="s">
        <v>47</v>
      </c>
      <c r="G191" t="s">
        <v>49</v>
      </c>
      <c r="H191">
        <v>16543.769999999997</v>
      </c>
      <c r="I191">
        <v>16543.769999999997</v>
      </c>
      <c r="J191">
        <v>0</v>
      </c>
      <c r="K191">
        <v>376.86999999999995</v>
      </c>
      <c r="L191">
        <v>376.86999999999995</v>
      </c>
      <c r="M191">
        <v>0</v>
      </c>
      <c r="N191">
        <v>213.88000000000002</v>
      </c>
      <c r="O191">
        <v>213.88000000000002</v>
      </c>
      <c r="P191">
        <v>0</v>
      </c>
      <c r="Q191">
        <v>-5761.9099999999989</v>
      </c>
      <c r="R191">
        <v>-5717.9099999999989</v>
      </c>
      <c r="S191">
        <v>44</v>
      </c>
      <c r="T191">
        <v>-92.8</v>
      </c>
      <c r="U191">
        <v>-92.8</v>
      </c>
      <c r="V191">
        <v>0</v>
      </c>
      <c r="W191">
        <v>-5</v>
      </c>
      <c r="X191">
        <v>-5</v>
      </c>
      <c r="Y191">
        <v>0</v>
      </c>
      <c r="Z191">
        <v>11274.810000000001</v>
      </c>
      <c r="AA191">
        <v>11318.810000000001</v>
      </c>
      <c r="AB191">
        <v>44</v>
      </c>
      <c r="AC191">
        <v>883.44999999999993</v>
      </c>
      <c r="AD191">
        <v>436.99000000000007</v>
      </c>
      <c r="AE191">
        <v>-446.46</v>
      </c>
      <c r="AF191">
        <v>10391.360000000004</v>
      </c>
      <c r="AG191">
        <v>10881.820000000002</v>
      </c>
      <c r="AH191">
        <v>490.46000000000004</v>
      </c>
      <c r="AI191">
        <v>1830.39</v>
      </c>
      <c r="AJ191">
        <v>0</v>
      </c>
      <c r="AK191">
        <v>-1830.39</v>
      </c>
      <c r="AL191">
        <v>8560.9700000000012</v>
      </c>
      <c r="AM191">
        <v>10881.820000000002</v>
      </c>
      <c r="AN191">
        <v>2320.85</v>
      </c>
      <c r="AO191">
        <v>209</v>
      </c>
    </row>
    <row r="192" spans="1:41" x14ac:dyDescent="0.35">
      <c r="A192">
        <v>2024</v>
      </c>
      <c r="B192">
        <v>3</v>
      </c>
      <c r="C192">
        <v>13</v>
      </c>
      <c r="D192" s="14">
        <v>45376</v>
      </c>
      <c r="E192" t="s">
        <v>44</v>
      </c>
      <c r="F192" t="s">
        <v>47</v>
      </c>
      <c r="G192" t="s">
        <v>49</v>
      </c>
      <c r="H192">
        <v>15015.57</v>
      </c>
      <c r="I192">
        <v>15015.57</v>
      </c>
      <c r="J192">
        <v>0</v>
      </c>
      <c r="K192">
        <v>122.93999999999998</v>
      </c>
      <c r="L192">
        <v>122.93999999999998</v>
      </c>
      <c r="M192">
        <v>0</v>
      </c>
      <c r="N192">
        <v>230.87000000000006</v>
      </c>
      <c r="O192">
        <v>230.87000000000006</v>
      </c>
      <c r="P192">
        <v>0</v>
      </c>
      <c r="Q192">
        <v>-4579.9699999999975</v>
      </c>
      <c r="R192">
        <v>-4574.9699999999975</v>
      </c>
      <c r="S192">
        <v>5</v>
      </c>
      <c r="T192">
        <v>-9.9</v>
      </c>
      <c r="U192">
        <v>-9.9</v>
      </c>
      <c r="V192">
        <v>0</v>
      </c>
      <c r="W192">
        <v>-10</v>
      </c>
      <c r="X192">
        <v>-10</v>
      </c>
      <c r="Y192">
        <v>0</v>
      </c>
      <c r="Z192">
        <v>10769.509999999987</v>
      </c>
      <c r="AA192">
        <v>10774.509999999987</v>
      </c>
      <c r="AB192">
        <v>5</v>
      </c>
      <c r="AC192">
        <v>534.57999999999993</v>
      </c>
      <c r="AD192">
        <v>112.59</v>
      </c>
      <c r="AE192">
        <v>-421.9899999999999</v>
      </c>
      <c r="AF192">
        <v>10234.929999999991</v>
      </c>
      <c r="AG192">
        <v>10661.919999999987</v>
      </c>
      <c r="AH192">
        <v>426.99</v>
      </c>
      <c r="AI192">
        <v>2527.139999999999</v>
      </c>
      <c r="AJ192">
        <v>0</v>
      </c>
      <c r="AK192">
        <v>-2527.139999999999</v>
      </c>
      <c r="AL192">
        <v>7707.7899999999945</v>
      </c>
      <c r="AM192">
        <v>10661.919999999987</v>
      </c>
      <c r="AN192">
        <v>2954.13</v>
      </c>
      <c r="AO192">
        <v>200</v>
      </c>
    </row>
    <row r="193" spans="1:41" x14ac:dyDescent="0.35">
      <c r="A193">
        <v>2024</v>
      </c>
      <c r="B193">
        <v>3</v>
      </c>
      <c r="C193">
        <v>13</v>
      </c>
      <c r="D193" s="14">
        <v>45377</v>
      </c>
      <c r="E193" t="s">
        <v>44</v>
      </c>
      <c r="F193" t="s">
        <v>47</v>
      </c>
      <c r="G193" t="s">
        <v>49</v>
      </c>
      <c r="H193">
        <v>1482.05</v>
      </c>
      <c r="I193">
        <v>1482.05</v>
      </c>
      <c r="J193">
        <v>0</v>
      </c>
      <c r="K193">
        <v>18.75</v>
      </c>
      <c r="L193">
        <v>18.75</v>
      </c>
      <c r="M193">
        <v>0</v>
      </c>
      <c r="N193">
        <v>82.95</v>
      </c>
      <c r="O193">
        <v>82.95</v>
      </c>
      <c r="P193">
        <v>0</v>
      </c>
      <c r="Q193">
        <v>-410.82000000000005</v>
      </c>
      <c r="R193">
        <v>-410.82000000000005</v>
      </c>
      <c r="S193">
        <v>0</v>
      </c>
      <c r="T193">
        <v>0</v>
      </c>
      <c r="U193">
        <v>0</v>
      </c>
      <c r="V193">
        <v>0</v>
      </c>
      <c r="W193">
        <v>-5</v>
      </c>
      <c r="X193">
        <v>-5</v>
      </c>
      <c r="Y193">
        <v>0</v>
      </c>
      <c r="Z193">
        <v>1167.9299999999998</v>
      </c>
      <c r="AA193">
        <v>1167.9299999999998</v>
      </c>
      <c r="AB193">
        <v>0</v>
      </c>
      <c r="AC193">
        <v>205.19000000000005</v>
      </c>
      <c r="AD193">
        <v>92.600000000000009</v>
      </c>
      <c r="AE193">
        <v>-112.59</v>
      </c>
      <c r="AF193">
        <v>962.7399999999999</v>
      </c>
      <c r="AG193">
        <v>1075.3300000000002</v>
      </c>
      <c r="AH193">
        <v>112.59</v>
      </c>
      <c r="AI193">
        <v>-30.509999999999998</v>
      </c>
      <c r="AJ193">
        <v>0</v>
      </c>
      <c r="AK193">
        <v>30.509999999999998</v>
      </c>
      <c r="AL193">
        <v>993.25000000000011</v>
      </c>
      <c r="AM193">
        <v>1075.3300000000002</v>
      </c>
      <c r="AN193">
        <v>82.08</v>
      </c>
      <c r="AO193">
        <v>17</v>
      </c>
    </row>
    <row r="194" spans="1:41" x14ac:dyDescent="0.35">
      <c r="A194">
        <v>2024</v>
      </c>
      <c r="B194">
        <v>3</v>
      </c>
      <c r="C194">
        <v>13</v>
      </c>
      <c r="D194" s="14">
        <v>45378</v>
      </c>
      <c r="E194" t="s">
        <v>44</v>
      </c>
      <c r="F194" t="s">
        <v>47</v>
      </c>
      <c r="G194" t="s">
        <v>49</v>
      </c>
      <c r="H194">
        <v>5708.2500000000009</v>
      </c>
      <c r="I194">
        <v>5708.2500000000009</v>
      </c>
      <c r="J194">
        <v>0</v>
      </c>
      <c r="K194">
        <v>22.490000000000002</v>
      </c>
      <c r="L194">
        <v>22.490000000000002</v>
      </c>
      <c r="M194">
        <v>0</v>
      </c>
      <c r="N194">
        <v>105.94</v>
      </c>
      <c r="O194">
        <v>105.94</v>
      </c>
      <c r="P194">
        <v>0</v>
      </c>
      <c r="Q194">
        <v>-2434.37</v>
      </c>
      <c r="R194">
        <v>-2429.37</v>
      </c>
      <c r="S194">
        <v>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3402.3100000000009</v>
      </c>
      <c r="AA194">
        <v>3407.3100000000009</v>
      </c>
      <c r="AB194">
        <v>5</v>
      </c>
      <c r="AC194">
        <v>462.12999999999994</v>
      </c>
      <c r="AD194">
        <v>369.53000000000003</v>
      </c>
      <c r="AE194">
        <v>-92.6</v>
      </c>
      <c r="AF194">
        <v>2940.1800000000003</v>
      </c>
      <c r="AG194">
        <v>3037.7800000000007</v>
      </c>
      <c r="AH194">
        <v>97.6</v>
      </c>
      <c r="AI194">
        <v>361.67</v>
      </c>
      <c r="AJ194">
        <v>0</v>
      </c>
      <c r="AK194">
        <v>-361.67</v>
      </c>
      <c r="AL194">
        <v>2578.5100000000002</v>
      </c>
      <c r="AM194">
        <v>3037.7800000000007</v>
      </c>
      <c r="AN194">
        <v>459.27000000000015</v>
      </c>
      <c r="AO194">
        <v>73</v>
      </c>
    </row>
    <row r="195" spans="1:41" x14ac:dyDescent="0.35">
      <c r="A195">
        <v>2024</v>
      </c>
      <c r="B195">
        <v>3</v>
      </c>
      <c r="C195">
        <v>13</v>
      </c>
      <c r="D195" s="14">
        <v>45379</v>
      </c>
      <c r="E195" t="s">
        <v>44</v>
      </c>
      <c r="F195" t="s">
        <v>47</v>
      </c>
      <c r="G195" t="s">
        <v>49</v>
      </c>
      <c r="H195">
        <v>20131.100000000002</v>
      </c>
      <c r="I195">
        <v>20131.100000000002</v>
      </c>
      <c r="J195">
        <v>0</v>
      </c>
      <c r="K195">
        <v>264.28999999999996</v>
      </c>
      <c r="L195">
        <v>264.28999999999996</v>
      </c>
      <c r="M195">
        <v>0</v>
      </c>
      <c r="N195">
        <v>146.92000000000002</v>
      </c>
      <c r="O195">
        <v>130.93</v>
      </c>
      <c r="P195">
        <v>-15.99</v>
      </c>
      <c r="Q195">
        <v>-7501.3499999999985</v>
      </c>
      <c r="R195">
        <v>-7501.3499999999985</v>
      </c>
      <c r="S195">
        <v>0</v>
      </c>
      <c r="T195">
        <v>-15</v>
      </c>
      <c r="U195">
        <v>-15</v>
      </c>
      <c r="V195">
        <v>0</v>
      </c>
      <c r="W195">
        <v>0</v>
      </c>
      <c r="X195">
        <v>0</v>
      </c>
      <c r="Y195">
        <v>0</v>
      </c>
      <c r="Z195">
        <v>13025.959999999981</v>
      </c>
      <c r="AA195">
        <v>13009.969999999979</v>
      </c>
      <c r="AB195">
        <v>-15.990000000000002</v>
      </c>
      <c r="AC195">
        <v>704.02</v>
      </c>
      <c r="AD195">
        <v>334.49</v>
      </c>
      <c r="AE195">
        <v>-369.53000000000003</v>
      </c>
      <c r="AF195">
        <v>12321.939999999984</v>
      </c>
      <c r="AG195">
        <v>12675.479999999983</v>
      </c>
      <c r="AH195">
        <v>353.54</v>
      </c>
      <c r="AI195">
        <v>3432.5300000000047</v>
      </c>
      <c r="AJ195">
        <v>0</v>
      </c>
      <c r="AK195">
        <v>-3432.5300000000047</v>
      </c>
      <c r="AL195">
        <v>8889.4100000000053</v>
      </c>
      <c r="AM195">
        <v>12675.479999999983</v>
      </c>
      <c r="AN195">
        <v>3786.0700000000056</v>
      </c>
      <c r="AO195">
        <v>261</v>
      </c>
    </row>
    <row r="196" spans="1:41" x14ac:dyDescent="0.35">
      <c r="A196">
        <v>2024</v>
      </c>
      <c r="B196">
        <v>3</v>
      </c>
      <c r="C196">
        <v>13</v>
      </c>
      <c r="D196" s="14">
        <v>45380</v>
      </c>
      <c r="E196" t="s">
        <v>44</v>
      </c>
      <c r="F196" t="s">
        <v>47</v>
      </c>
      <c r="G196" t="s">
        <v>49</v>
      </c>
      <c r="H196">
        <v>14752.94999999999</v>
      </c>
      <c r="I196">
        <v>14752.94999999999</v>
      </c>
      <c r="J196">
        <v>0</v>
      </c>
      <c r="K196">
        <v>343.41999999999996</v>
      </c>
      <c r="L196">
        <v>343.41999999999996</v>
      </c>
      <c r="M196">
        <v>0</v>
      </c>
      <c r="N196">
        <v>194.88000000000002</v>
      </c>
      <c r="O196">
        <v>194.88000000000002</v>
      </c>
      <c r="P196">
        <v>0</v>
      </c>
      <c r="Q196">
        <v>-5419.2699999999977</v>
      </c>
      <c r="R196">
        <v>-5409.2699999999977</v>
      </c>
      <c r="S196">
        <v>10</v>
      </c>
      <c r="T196">
        <v>-19.399999999999999</v>
      </c>
      <c r="U196">
        <v>-19.399999999999999</v>
      </c>
      <c r="V196">
        <v>0</v>
      </c>
      <c r="W196">
        <v>-5</v>
      </c>
      <c r="X196">
        <v>-5</v>
      </c>
      <c r="Y196">
        <v>0</v>
      </c>
      <c r="Z196">
        <v>9847.579999999989</v>
      </c>
      <c r="AA196">
        <v>9857.579999999989</v>
      </c>
      <c r="AB196">
        <v>10</v>
      </c>
      <c r="AC196">
        <v>663.25</v>
      </c>
      <c r="AD196">
        <v>303.77</v>
      </c>
      <c r="AE196">
        <v>-359.47999999999996</v>
      </c>
      <c r="AF196">
        <v>9184.3299999999981</v>
      </c>
      <c r="AG196">
        <v>9553.8099999999959</v>
      </c>
      <c r="AH196">
        <v>369.47999999999996</v>
      </c>
      <c r="AI196">
        <v>2097.3499999999985</v>
      </c>
      <c r="AJ196">
        <v>-2.62</v>
      </c>
      <c r="AK196">
        <v>-2099.9699999999989</v>
      </c>
      <c r="AL196">
        <v>7086.9799999999968</v>
      </c>
      <c r="AM196">
        <v>9556.4299999999967</v>
      </c>
      <c r="AN196">
        <v>2469.4500000000012</v>
      </c>
      <c r="AO196">
        <v>190</v>
      </c>
    </row>
    <row r="197" spans="1:41" x14ac:dyDescent="0.35">
      <c r="A197">
        <v>2024</v>
      </c>
      <c r="B197">
        <v>3</v>
      </c>
      <c r="C197">
        <v>13</v>
      </c>
      <c r="D197" s="14">
        <v>45381</v>
      </c>
      <c r="E197" t="s">
        <v>44</v>
      </c>
      <c r="F197" t="s">
        <v>47</v>
      </c>
      <c r="G197" t="s">
        <v>49</v>
      </c>
      <c r="H197">
        <v>17888.499999999996</v>
      </c>
      <c r="I197">
        <v>17888.499999999996</v>
      </c>
      <c r="J197">
        <v>0</v>
      </c>
      <c r="K197">
        <v>564.55000000000018</v>
      </c>
      <c r="L197">
        <v>564.55000000000018</v>
      </c>
      <c r="M197">
        <v>0</v>
      </c>
      <c r="N197">
        <v>207.86000000000004</v>
      </c>
      <c r="O197">
        <v>207.86000000000004</v>
      </c>
      <c r="P197">
        <v>0</v>
      </c>
      <c r="Q197">
        <v>-6932.5999999999958</v>
      </c>
      <c r="R197">
        <v>-6922.5999999999958</v>
      </c>
      <c r="S197">
        <v>10</v>
      </c>
      <c r="T197">
        <v>-72.699999999999989</v>
      </c>
      <c r="U197">
        <v>-72.699999999999989</v>
      </c>
      <c r="V197">
        <v>0</v>
      </c>
      <c r="W197">
        <v>-10</v>
      </c>
      <c r="X197">
        <v>-10</v>
      </c>
      <c r="Y197">
        <v>0</v>
      </c>
      <c r="Z197">
        <v>11645.609999999982</v>
      </c>
      <c r="AA197">
        <v>11655.609999999982</v>
      </c>
      <c r="AB197">
        <v>10</v>
      </c>
      <c r="AC197">
        <v>1073.58</v>
      </c>
      <c r="AD197">
        <v>760.34</v>
      </c>
      <c r="AE197">
        <v>-313.24</v>
      </c>
      <c r="AF197">
        <v>10572.029999999988</v>
      </c>
      <c r="AG197">
        <v>10895.269999999986</v>
      </c>
      <c r="AH197">
        <v>323.24</v>
      </c>
      <c r="AI197">
        <v>1608.7299999999991</v>
      </c>
      <c r="AJ197">
        <v>18.350000000000001</v>
      </c>
      <c r="AK197">
        <v>-1590.3799999999992</v>
      </c>
      <c r="AL197">
        <v>8963.3000000000047</v>
      </c>
      <c r="AM197">
        <v>10876.919999999986</v>
      </c>
      <c r="AN197">
        <v>1913.619999999999</v>
      </c>
      <c r="AO197">
        <v>246</v>
      </c>
    </row>
    <row r="198" spans="1:41" x14ac:dyDescent="0.35">
      <c r="A198">
        <v>2024</v>
      </c>
      <c r="B198">
        <v>3</v>
      </c>
      <c r="C198">
        <v>13</v>
      </c>
      <c r="D198" s="14">
        <v>45375</v>
      </c>
      <c r="E198" t="s">
        <v>44</v>
      </c>
      <c r="F198" t="s">
        <v>47</v>
      </c>
      <c r="G198" t="s">
        <v>50</v>
      </c>
      <c r="H198">
        <v>35906.150000000009</v>
      </c>
      <c r="I198">
        <v>35906.150000000009</v>
      </c>
      <c r="J198">
        <v>0</v>
      </c>
      <c r="K198">
        <v>447.85999999999927</v>
      </c>
      <c r="L198">
        <v>447.85999999999927</v>
      </c>
      <c r="M198">
        <v>0</v>
      </c>
      <c r="N198">
        <v>1641.0000000000007</v>
      </c>
      <c r="O198">
        <v>1641.0000000000007</v>
      </c>
      <c r="P198">
        <v>0</v>
      </c>
      <c r="Q198">
        <v>-11310.75</v>
      </c>
      <c r="R198">
        <v>-11098.75</v>
      </c>
      <c r="S198">
        <v>212</v>
      </c>
      <c r="T198">
        <v>-30</v>
      </c>
      <c r="U198">
        <v>-30</v>
      </c>
      <c r="V198">
        <v>0</v>
      </c>
      <c r="W198">
        <v>-38.99</v>
      </c>
      <c r="X198">
        <v>-38.99</v>
      </c>
      <c r="Y198">
        <v>0</v>
      </c>
      <c r="Z198">
        <v>26615.27000000003</v>
      </c>
      <c r="AA198">
        <v>26827.27000000003</v>
      </c>
      <c r="AB198">
        <v>212</v>
      </c>
      <c r="AC198">
        <v>5898.990000000008</v>
      </c>
      <c r="AD198">
        <v>3413.4100000000035</v>
      </c>
      <c r="AE198">
        <v>-2485.5800000000017</v>
      </c>
      <c r="AF198">
        <v>20716.280000000039</v>
      </c>
      <c r="AG198">
        <v>23413.860000000037</v>
      </c>
      <c r="AH198">
        <v>2697.5800000000017</v>
      </c>
      <c r="AI198">
        <v>-1811.9299999999992</v>
      </c>
      <c r="AJ198">
        <v>0</v>
      </c>
      <c r="AK198">
        <v>1811.9299999999992</v>
      </c>
      <c r="AL198">
        <v>22528.209999999988</v>
      </c>
      <c r="AM198">
        <v>23413.860000000037</v>
      </c>
      <c r="AN198">
        <v>885.64999999999975</v>
      </c>
      <c r="AO198">
        <v>406</v>
      </c>
    </row>
    <row r="199" spans="1:41" x14ac:dyDescent="0.35">
      <c r="A199">
        <v>2024</v>
      </c>
      <c r="B199">
        <v>3</v>
      </c>
      <c r="C199">
        <v>13</v>
      </c>
      <c r="D199" s="14">
        <v>45376</v>
      </c>
      <c r="E199" t="s">
        <v>44</v>
      </c>
      <c r="F199" t="s">
        <v>47</v>
      </c>
      <c r="G199" t="s">
        <v>50</v>
      </c>
      <c r="H199">
        <v>35942.75</v>
      </c>
      <c r="I199">
        <v>35942.75</v>
      </c>
      <c r="J199">
        <v>0</v>
      </c>
      <c r="K199">
        <v>438.7199999999994</v>
      </c>
      <c r="L199">
        <v>438.7199999999994</v>
      </c>
      <c r="M199">
        <v>0</v>
      </c>
      <c r="N199">
        <v>1607.0100000000007</v>
      </c>
      <c r="O199">
        <v>1607.0100000000007</v>
      </c>
      <c r="P199">
        <v>0</v>
      </c>
      <c r="Q199">
        <v>-11460.029999999999</v>
      </c>
      <c r="R199">
        <v>-11220.029999999999</v>
      </c>
      <c r="S199">
        <v>240</v>
      </c>
      <c r="T199">
        <v>-20</v>
      </c>
      <c r="U199">
        <v>-20</v>
      </c>
      <c r="V199">
        <v>0</v>
      </c>
      <c r="W199">
        <v>-43.99</v>
      </c>
      <c r="X199">
        <v>-43.99</v>
      </c>
      <c r="Y199">
        <v>0</v>
      </c>
      <c r="Z199">
        <v>26464.460000000025</v>
      </c>
      <c r="AA199">
        <v>26704.460000000028</v>
      </c>
      <c r="AB199">
        <v>240</v>
      </c>
      <c r="AC199">
        <v>5780.3200000000079</v>
      </c>
      <c r="AD199">
        <v>2396.9100000000008</v>
      </c>
      <c r="AE199">
        <v>-3383.410000000003</v>
      </c>
      <c r="AF199">
        <v>20684.140000000014</v>
      </c>
      <c r="AG199">
        <v>24307.550000000032</v>
      </c>
      <c r="AH199">
        <v>3623.410000000003</v>
      </c>
      <c r="AI199">
        <v>-1298.5199999999998</v>
      </c>
      <c r="AJ199">
        <v>0</v>
      </c>
      <c r="AK199">
        <v>1298.5199999999998</v>
      </c>
      <c r="AL199">
        <v>21982.660000000018</v>
      </c>
      <c r="AM199">
        <v>24307.550000000032</v>
      </c>
      <c r="AN199">
        <v>2324.8900000000008</v>
      </c>
      <c r="AO199">
        <v>407</v>
      </c>
    </row>
    <row r="200" spans="1:41" x14ac:dyDescent="0.35">
      <c r="A200">
        <v>2024</v>
      </c>
      <c r="B200">
        <v>3</v>
      </c>
      <c r="C200">
        <v>13</v>
      </c>
      <c r="D200" s="14">
        <v>45377</v>
      </c>
      <c r="E200" t="s">
        <v>44</v>
      </c>
      <c r="F200" t="s">
        <v>47</v>
      </c>
      <c r="G200" t="s">
        <v>50</v>
      </c>
      <c r="H200">
        <v>26540.799999999999</v>
      </c>
      <c r="I200">
        <v>26540.799999999999</v>
      </c>
      <c r="J200">
        <v>0</v>
      </c>
      <c r="K200">
        <v>289.56999999999942</v>
      </c>
      <c r="L200">
        <v>289.56999999999942</v>
      </c>
      <c r="M200">
        <v>0</v>
      </c>
      <c r="N200">
        <v>1071.3500000000004</v>
      </c>
      <c r="O200">
        <v>1039.3700000000003</v>
      </c>
      <c r="P200">
        <v>-31.98</v>
      </c>
      <c r="Q200">
        <v>-8102.67</v>
      </c>
      <c r="R200">
        <v>-7808.67</v>
      </c>
      <c r="S200">
        <v>294</v>
      </c>
      <c r="T200">
        <v>-40</v>
      </c>
      <c r="U200">
        <v>-40</v>
      </c>
      <c r="V200">
        <v>0</v>
      </c>
      <c r="W200">
        <v>-30</v>
      </c>
      <c r="X200">
        <v>-30</v>
      </c>
      <c r="Y200">
        <v>0</v>
      </c>
      <c r="Z200">
        <v>19729.05</v>
      </c>
      <c r="AA200">
        <v>19991.07</v>
      </c>
      <c r="AB200">
        <v>262.02</v>
      </c>
      <c r="AC200">
        <v>4282.9400000000041</v>
      </c>
      <c r="AD200">
        <v>1988.0100000000002</v>
      </c>
      <c r="AE200">
        <v>-2294.9300000000021</v>
      </c>
      <c r="AF200">
        <v>15446.109999999999</v>
      </c>
      <c r="AG200">
        <v>18003.059999999998</v>
      </c>
      <c r="AH200">
        <v>2556.9500000000012</v>
      </c>
      <c r="AI200">
        <v>-1009.9800000000001</v>
      </c>
      <c r="AJ200">
        <v>0</v>
      </c>
      <c r="AK200">
        <v>1009.9800000000001</v>
      </c>
      <c r="AL200">
        <v>16456.09</v>
      </c>
      <c r="AM200">
        <v>18003.059999999998</v>
      </c>
      <c r="AN200">
        <v>1546.9700000000007</v>
      </c>
      <c r="AO200">
        <v>301</v>
      </c>
    </row>
    <row r="201" spans="1:41" x14ac:dyDescent="0.35">
      <c r="A201">
        <v>2024</v>
      </c>
      <c r="B201">
        <v>3</v>
      </c>
      <c r="C201">
        <v>13</v>
      </c>
      <c r="D201" s="14">
        <v>45378</v>
      </c>
      <c r="E201" t="s">
        <v>44</v>
      </c>
      <c r="F201" t="s">
        <v>47</v>
      </c>
      <c r="G201" t="s">
        <v>50</v>
      </c>
      <c r="H201">
        <v>28031.149999999998</v>
      </c>
      <c r="I201">
        <v>28031.149999999998</v>
      </c>
      <c r="J201">
        <v>0</v>
      </c>
      <c r="K201">
        <v>425.5599999999996</v>
      </c>
      <c r="L201">
        <v>425.5599999999996</v>
      </c>
      <c r="M201">
        <v>0</v>
      </c>
      <c r="N201">
        <v>893.46000000000038</v>
      </c>
      <c r="O201">
        <v>893.46000000000038</v>
      </c>
      <c r="P201">
        <v>0</v>
      </c>
      <c r="Q201">
        <v>-8734.5</v>
      </c>
      <c r="R201">
        <v>-8467.5</v>
      </c>
      <c r="S201">
        <v>267</v>
      </c>
      <c r="T201">
        <v>-45</v>
      </c>
      <c r="U201">
        <v>-45</v>
      </c>
      <c r="V201">
        <v>0</v>
      </c>
      <c r="W201">
        <v>-67.97</v>
      </c>
      <c r="X201">
        <v>-67.97</v>
      </c>
      <c r="Y201">
        <v>0</v>
      </c>
      <c r="Z201">
        <v>20502.700000000008</v>
      </c>
      <c r="AA201">
        <v>20769.700000000008</v>
      </c>
      <c r="AB201">
        <v>267</v>
      </c>
      <c r="AC201">
        <v>4774.4700000000057</v>
      </c>
      <c r="AD201">
        <v>2861.4600000000019</v>
      </c>
      <c r="AE201">
        <v>-1913.0100000000014</v>
      </c>
      <c r="AF201">
        <v>15728.23000000001</v>
      </c>
      <c r="AG201">
        <v>17908.240000000013</v>
      </c>
      <c r="AH201">
        <v>2180.0100000000011</v>
      </c>
      <c r="AI201">
        <v>-1433.9999999999998</v>
      </c>
      <c r="AJ201">
        <v>0</v>
      </c>
      <c r="AK201">
        <v>1433.9999999999998</v>
      </c>
      <c r="AL201">
        <v>17162.230000000003</v>
      </c>
      <c r="AM201">
        <v>17908.240000000013</v>
      </c>
      <c r="AN201">
        <v>746.00999999999988</v>
      </c>
      <c r="AO201">
        <v>314</v>
      </c>
    </row>
    <row r="202" spans="1:41" x14ac:dyDescent="0.35">
      <c r="A202">
        <v>2024</v>
      </c>
      <c r="B202">
        <v>3</v>
      </c>
      <c r="C202">
        <v>13</v>
      </c>
      <c r="D202" s="14">
        <v>45379</v>
      </c>
      <c r="E202" t="s">
        <v>44</v>
      </c>
      <c r="F202" t="s">
        <v>47</v>
      </c>
      <c r="G202" t="s">
        <v>50</v>
      </c>
      <c r="H202">
        <v>31042.449999999997</v>
      </c>
      <c r="I202">
        <v>31042.449999999997</v>
      </c>
      <c r="J202">
        <v>0</v>
      </c>
      <c r="K202">
        <v>627.70000000000095</v>
      </c>
      <c r="L202">
        <v>627.70000000000095</v>
      </c>
      <c r="M202">
        <v>0</v>
      </c>
      <c r="N202">
        <v>1104.3100000000004</v>
      </c>
      <c r="O202">
        <v>1085.3200000000004</v>
      </c>
      <c r="P202">
        <v>-18.990000000000002</v>
      </c>
      <c r="Q202">
        <v>-9905.7099999999991</v>
      </c>
      <c r="R202">
        <v>-9698.7099999999991</v>
      </c>
      <c r="S202">
        <v>207</v>
      </c>
      <c r="T202">
        <v>-81.960000000000008</v>
      </c>
      <c r="U202">
        <v>-81.960000000000008</v>
      </c>
      <c r="V202">
        <v>0</v>
      </c>
      <c r="W202">
        <v>-25.990000000000002</v>
      </c>
      <c r="X202">
        <v>-25.990000000000002</v>
      </c>
      <c r="Y202">
        <v>0</v>
      </c>
      <c r="Z202">
        <v>22760.800000000014</v>
      </c>
      <c r="AA202">
        <v>22948.810000000016</v>
      </c>
      <c r="AB202">
        <v>188.01</v>
      </c>
      <c r="AC202">
        <v>5128.7900000000063</v>
      </c>
      <c r="AD202">
        <v>2305.7900000000009</v>
      </c>
      <c r="AE202">
        <v>-2823.0000000000018</v>
      </c>
      <c r="AF202">
        <v>17632.010000000009</v>
      </c>
      <c r="AG202">
        <v>20643.020000000004</v>
      </c>
      <c r="AH202">
        <v>3011.010000000002</v>
      </c>
      <c r="AI202">
        <v>-1088.1399999999996</v>
      </c>
      <c r="AJ202">
        <v>0</v>
      </c>
      <c r="AK202">
        <v>1088.1399999999996</v>
      </c>
      <c r="AL202">
        <v>18720.149999999998</v>
      </c>
      <c r="AM202">
        <v>20643.020000000004</v>
      </c>
      <c r="AN202">
        <v>1922.8699999999994</v>
      </c>
      <c r="AO202">
        <v>356</v>
      </c>
    </row>
    <row r="203" spans="1:41" x14ac:dyDescent="0.35">
      <c r="A203">
        <v>2024</v>
      </c>
      <c r="B203">
        <v>3</v>
      </c>
      <c r="C203">
        <v>13</v>
      </c>
      <c r="D203" s="14">
        <v>45380</v>
      </c>
      <c r="E203" t="s">
        <v>44</v>
      </c>
      <c r="F203" t="s">
        <v>47</v>
      </c>
      <c r="G203" t="s">
        <v>50</v>
      </c>
      <c r="H203">
        <v>32267.149999999998</v>
      </c>
      <c r="I203">
        <v>32267.149999999998</v>
      </c>
      <c r="J203">
        <v>0</v>
      </c>
      <c r="K203">
        <v>505.57999999999942</v>
      </c>
      <c r="L203">
        <v>505.57999999999942</v>
      </c>
      <c r="M203">
        <v>0</v>
      </c>
      <c r="N203">
        <v>1064.3200000000004</v>
      </c>
      <c r="O203">
        <v>1064.3200000000004</v>
      </c>
      <c r="P203">
        <v>0</v>
      </c>
      <c r="Q203">
        <v>-10240.210000000001</v>
      </c>
      <c r="R203">
        <v>-10200.210000000001</v>
      </c>
      <c r="S203">
        <v>40</v>
      </c>
      <c r="T203">
        <v>-25.46</v>
      </c>
      <c r="U203">
        <v>-25.46</v>
      </c>
      <c r="V203">
        <v>0</v>
      </c>
      <c r="W203">
        <v>-16.899999999999999</v>
      </c>
      <c r="X203">
        <v>-16.899999999999999</v>
      </c>
      <c r="Y203">
        <v>0</v>
      </c>
      <c r="Z203">
        <v>23554.480000000014</v>
      </c>
      <c r="AA203">
        <v>23594.480000000014</v>
      </c>
      <c r="AB203">
        <v>40</v>
      </c>
      <c r="AC203">
        <v>5095.2900000000063</v>
      </c>
      <c r="AD203">
        <v>2804.5000000000009</v>
      </c>
      <c r="AE203">
        <v>-2290.79</v>
      </c>
      <c r="AF203">
        <v>18459.190000000021</v>
      </c>
      <c r="AG203">
        <v>20789.980000000018</v>
      </c>
      <c r="AH203">
        <v>2330.7900000000004</v>
      </c>
      <c r="AI203">
        <v>-644.43000000000018</v>
      </c>
      <c r="AJ203">
        <v>0</v>
      </c>
      <c r="AK203">
        <v>644.43000000000018</v>
      </c>
      <c r="AL203">
        <v>19103.620000000014</v>
      </c>
      <c r="AM203">
        <v>20789.980000000018</v>
      </c>
      <c r="AN203">
        <v>1686.3599999999992</v>
      </c>
      <c r="AO203">
        <v>368</v>
      </c>
    </row>
    <row r="204" spans="1:41" x14ac:dyDescent="0.35">
      <c r="A204">
        <v>2024</v>
      </c>
      <c r="B204">
        <v>3</v>
      </c>
      <c r="C204">
        <v>13</v>
      </c>
      <c r="D204" s="14">
        <v>45381</v>
      </c>
      <c r="E204" t="s">
        <v>44</v>
      </c>
      <c r="F204" t="s">
        <v>47</v>
      </c>
      <c r="G204" t="s">
        <v>50</v>
      </c>
      <c r="H204">
        <v>30360.3</v>
      </c>
      <c r="I204">
        <v>30360.3</v>
      </c>
      <c r="J204">
        <v>0</v>
      </c>
      <c r="K204">
        <v>434.74999999999926</v>
      </c>
      <c r="L204">
        <v>434.74999999999926</v>
      </c>
      <c r="M204">
        <v>0</v>
      </c>
      <c r="N204">
        <v>1022.3700000000005</v>
      </c>
      <c r="O204">
        <v>1022.3700000000005</v>
      </c>
      <c r="P204">
        <v>0</v>
      </c>
      <c r="Q204">
        <v>-9331.41</v>
      </c>
      <c r="R204">
        <v>-9321.41</v>
      </c>
      <c r="S204">
        <v>10</v>
      </c>
      <c r="T204">
        <v>-30</v>
      </c>
      <c r="U204">
        <v>-30</v>
      </c>
      <c r="V204">
        <v>0</v>
      </c>
      <c r="W204">
        <v>-51.88</v>
      </c>
      <c r="X204">
        <v>-51.88</v>
      </c>
      <c r="Y204">
        <v>0</v>
      </c>
      <c r="Z204">
        <v>22404.129999999986</v>
      </c>
      <c r="AA204">
        <v>22414.129999999986</v>
      </c>
      <c r="AB204">
        <v>10.000000000000007</v>
      </c>
      <c r="AC204">
        <v>5353.1700000000055</v>
      </c>
      <c r="AD204">
        <v>2641.4300000000012</v>
      </c>
      <c r="AE204">
        <v>-2711.7400000000016</v>
      </c>
      <c r="AF204">
        <v>17050.960000000003</v>
      </c>
      <c r="AG204">
        <v>19772.699999999986</v>
      </c>
      <c r="AH204">
        <v>2721.7400000000007</v>
      </c>
      <c r="AI204">
        <v>-1403.44</v>
      </c>
      <c r="AJ204">
        <v>0</v>
      </c>
      <c r="AK204">
        <v>1403.44</v>
      </c>
      <c r="AL204">
        <v>18454.400000000009</v>
      </c>
      <c r="AM204">
        <v>19772.699999999986</v>
      </c>
      <c r="AN204">
        <v>1318.3</v>
      </c>
      <c r="AO204">
        <v>347</v>
      </c>
    </row>
    <row r="205" spans="1:41" x14ac:dyDescent="0.35">
      <c r="A205">
        <v>2024</v>
      </c>
      <c r="B205">
        <v>3</v>
      </c>
      <c r="C205">
        <v>13</v>
      </c>
      <c r="D205" s="14">
        <v>45375</v>
      </c>
      <c r="E205" t="s">
        <v>44</v>
      </c>
      <c r="F205" t="s">
        <v>47</v>
      </c>
      <c r="G205" t="s">
        <v>51</v>
      </c>
      <c r="H205">
        <v>21495</v>
      </c>
      <c r="I205">
        <v>21495</v>
      </c>
      <c r="J205">
        <v>0</v>
      </c>
      <c r="K205">
        <v>0</v>
      </c>
      <c r="L205">
        <v>0</v>
      </c>
      <c r="M205">
        <v>0</v>
      </c>
      <c r="N205">
        <v>311.79000000000008</v>
      </c>
      <c r="O205">
        <v>311.79000000000008</v>
      </c>
      <c r="P205">
        <v>0</v>
      </c>
      <c r="Q205">
        <v>-7079.9499999999971</v>
      </c>
      <c r="R205">
        <v>-7079.9499999999971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14726.84</v>
      </c>
      <c r="AA205">
        <v>14726.84</v>
      </c>
      <c r="AB205">
        <v>0</v>
      </c>
      <c r="AC205">
        <v>163.31</v>
      </c>
      <c r="AD205">
        <v>88.31</v>
      </c>
      <c r="AE205">
        <v>-75</v>
      </c>
      <c r="AF205">
        <v>14563.53</v>
      </c>
      <c r="AG205">
        <v>14638.53</v>
      </c>
      <c r="AH205">
        <v>75</v>
      </c>
      <c r="AI205">
        <v>2925.6699999999992</v>
      </c>
      <c r="AJ205">
        <v>53.08</v>
      </c>
      <c r="AK205">
        <v>-2872.5899999999992</v>
      </c>
      <c r="AL205">
        <v>11637.859999999995</v>
      </c>
      <c r="AM205">
        <v>14585.45</v>
      </c>
      <c r="AN205">
        <v>2947.5899999999997</v>
      </c>
      <c r="AO205">
        <v>334</v>
      </c>
    </row>
    <row r="206" spans="1:41" x14ac:dyDescent="0.35">
      <c r="A206">
        <v>2024</v>
      </c>
      <c r="B206">
        <v>3</v>
      </c>
      <c r="C206">
        <v>13</v>
      </c>
      <c r="D206" s="14">
        <v>45376</v>
      </c>
      <c r="E206" t="s">
        <v>44</v>
      </c>
      <c r="F206" t="s">
        <v>47</v>
      </c>
      <c r="G206" t="s">
        <v>51</v>
      </c>
      <c r="H206">
        <v>2239.25</v>
      </c>
      <c r="I206">
        <v>2239.25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-536.54999999999995</v>
      </c>
      <c r="R206">
        <v>-536.54999999999995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1702.6999999999998</v>
      </c>
      <c r="AA206">
        <v>1702.6999999999998</v>
      </c>
      <c r="AB206">
        <v>0</v>
      </c>
      <c r="AC206">
        <v>88.309999999999988</v>
      </c>
      <c r="AE206">
        <v>-88.309999999999988</v>
      </c>
      <c r="AF206">
        <v>1614.3899999999999</v>
      </c>
      <c r="AG206">
        <v>1702.6999999999998</v>
      </c>
      <c r="AH206">
        <v>88.309999999999988</v>
      </c>
      <c r="AI206">
        <v>516.1</v>
      </c>
      <c r="AJ206">
        <v>0</v>
      </c>
      <c r="AK206">
        <v>-516.1</v>
      </c>
      <c r="AL206">
        <v>1098.2900000000002</v>
      </c>
      <c r="AM206">
        <v>1702.6999999999998</v>
      </c>
      <c r="AN206">
        <v>604.4100000000002</v>
      </c>
      <c r="AO206">
        <v>39</v>
      </c>
    </row>
    <row r="207" spans="1:41" x14ac:dyDescent="0.35">
      <c r="A207">
        <v>2024</v>
      </c>
      <c r="B207">
        <v>3</v>
      </c>
      <c r="C207">
        <v>13</v>
      </c>
      <c r="D207" s="14">
        <v>45377</v>
      </c>
      <c r="E207" t="s">
        <v>44</v>
      </c>
      <c r="F207" t="s">
        <v>47</v>
      </c>
      <c r="G207" t="s">
        <v>51</v>
      </c>
      <c r="H207">
        <v>170</v>
      </c>
      <c r="I207">
        <v>170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-55.650000000000006</v>
      </c>
      <c r="R207">
        <v>-55.650000000000006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114.35000000000001</v>
      </c>
      <c r="AA207">
        <v>114.35000000000001</v>
      </c>
      <c r="AB207">
        <v>0</v>
      </c>
      <c r="AE207">
        <v>0</v>
      </c>
      <c r="AF207">
        <v>114.35000000000001</v>
      </c>
      <c r="AG207">
        <v>114.35000000000001</v>
      </c>
      <c r="AH207">
        <v>0</v>
      </c>
      <c r="AI207">
        <v>17.899999999999999</v>
      </c>
      <c r="AJ207">
        <v>0</v>
      </c>
      <c r="AK207">
        <v>-17.899999999999999</v>
      </c>
      <c r="AL207">
        <v>96.45</v>
      </c>
      <c r="AM207">
        <v>114.35000000000001</v>
      </c>
      <c r="AN207">
        <v>17.900000000000006</v>
      </c>
      <c r="AO207">
        <v>2</v>
      </c>
    </row>
    <row r="208" spans="1:41" x14ac:dyDescent="0.35">
      <c r="A208">
        <v>2024</v>
      </c>
      <c r="B208">
        <v>3</v>
      </c>
      <c r="C208">
        <v>13</v>
      </c>
      <c r="D208" s="14">
        <v>45378</v>
      </c>
      <c r="E208" t="s">
        <v>44</v>
      </c>
      <c r="F208" t="s">
        <v>47</v>
      </c>
      <c r="G208" t="s">
        <v>51</v>
      </c>
      <c r="H208">
        <v>1664.3999999999999</v>
      </c>
      <c r="I208">
        <v>1664.3999999999999</v>
      </c>
      <c r="J208">
        <v>0</v>
      </c>
      <c r="K208">
        <v>20</v>
      </c>
      <c r="L208">
        <v>20</v>
      </c>
      <c r="M208">
        <v>0</v>
      </c>
      <c r="N208">
        <v>0</v>
      </c>
      <c r="O208">
        <v>0</v>
      </c>
      <c r="P208">
        <v>0</v>
      </c>
      <c r="Q208">
        <v>-395.3</v>
      </c>
      <c r="R208">
        <v>-395.3</v>
      </c>
      <c r="S208">
        <v>0</v>
      </c>
      <c r="T208">
        <v>-8</v>
      </c>
      <c r="U208">
        <v>-8</v>
      </c>
      <c r="V208">
        <v>0</v>
      </c>
      <c r="W208">
        <v>0</v>
      </c>
      <c r="X208">
        <v>0</v>
      </c>
      <c r="Y208">
        <v>0</v>
      </c>
      <c r="Z208">
        <v>1281.1000000000001</v>
      </c>
      <c r="AA208">
        <v>1281.1000000000001</v>
      </c>
      <c r="AB208">
        <v>0</v>
      </c>
      <c r="AC208">
        <v>54.989999999999995</v>
      </c>
      <c r="AD208">
        <v>54.989999999999995</v>
      </c>
      <c r="AE208">
        <v>0</v>
      </c>
      <c r="AF208">
        <v>1226.1100000000001</v>
      </c>
      <c r="AG208">
        <v>1226.1100000000001</v>
      </c>
      <c r="AH208">
        <v>0</v>
      </c>
      <c r="AI208">
        <v>284.60000000000002</v>
      </c>
      <c r="AJ208">
        <v>0</v>
      </c>
      <c r="AK208">
        <v>-284.60000000000002</v>
      </c>
      <c r="AL208">
        <v>941.51000000000022</v>
      </c>
      <c r="AM208">
        <v>1226.1100000000001</v>
      </c>
      <c r="AN208">
        <v>284.59999999999997</v>
      </c>
      <c r="AO208">
        <v>28</v>
      </c>
    </row>
    <row r="209" spans="1:41" x14ac:dyDescent="0.35">
      <c r="A209">
        <v>2024</v>
      </c>
      <c r="B209">
        <v>3</v>
      </c>
      <c r="C209">
        <v>13</v>
      </c>
      <c r="D209" s="14">
        <v>45379</v>
      </c>
      <c r="E209" t="s">
        <v>44</v>
      </c>
      <c r="F209" t="s">
        <v>47</v>
      </c>
      <c r="G209" t="s">
        <v>51</v>
      </c>
      <c r="H209">
        <v>3776.05</v>
      </c>
      <c r="I209">
        <v>3776.05</v>
      </c>
      <c r="J209">
        <v>0</v>
      </c>
      <c r="K209">
        <v>30</v>
      </c>
      <c r="L209">
        <v>30</v>
      </c>
      <c r="M209">
        <v>0</v>
      </c>
      <c r="N209">
        <v>0</v>
      </c>
      <c r="O209">
        <v>0</v>
      </c>
      <c r="P209">
        <v>0</v>
      </c>
      <c r="Q209">
        <v>-864.84999999999991</v>
      </c>
      <c r="R209">
        <v>-864.84999999999991</v>
      </c>
      <c r="S209">
        <v>0</v>
      </c>
      <c r="T209">
        <v>-12</v>
      </c>
      <c r="U209">
        <v>-12</v>
      </c>
      <c r="V209">
        <v>0</v>
      </c>
      <c r="W209">
        <v>0</v>
      </c>
      <c r="X209">
        <v>0</v>
      </c>
      <c r="Y209">
        <v>0</v>
      </c>
      <c r="Z209">
        <v>2929.1999999999994</v>
      </c>
      <c r="AA209">
        <v>2929.1999999999994</v>
      </c>
      <c r="AB209">
        <v>0</v>
      </c>
      <c r="AC209">
        <v>215.66000000000003</v>
      </c>
      <c r="AD209">
        <v>160.66999999999999</v>
      </c>
      <c r="AE209">
        <v>-54.99</v>
      </c>
      <c r="AF209">
        <v>2713.5399999999995</v>
      </c>
      <c r="AG209">
        <v>2768.5299999999993</v>
      </c>
      <c r="AH209">
        <v>54.989999999999995</v>
      </c>
      <c r="AI209">
        <v>595.94999999999993</v>
      </c>
      <c r="AJ209">
        <v>0</v>
      </c>
      <c r="AK209">
        <v>-595.94999999999993</v>
      </c>
      <c r="AL209">
        <v>2117.5899999999997</v>
      </c>
      <c r="AM209">
        <v>2768.5299999999993</v>
      </c>
      <c r="AN209">
        <v>650.93999999999994</v>
      </c>
      <c r="AO209">
        <v>65</v>
      </c>
    </row>
    <row r="210" spans="1:41" x14ac:dyDescent="0.35">
      <c r="A210">
        <v>2024</v>
      </c>
      <c r="B210">
        <v>3</v>
      </c>
      <c r="C210">
        <v>13</v>
      </c>
      <c r="D210" s="14">
        <v>45380</v>
      </c>
      <c r="E210" t="s">
        <v>44</v>
      </c>
      <c r="F210" t="s">
        <v>47</v>
      </c>
      <c r="G210" t="s">
        <v>51</v>
      </c>
      <c r="H210">
        <v>4153.05</v>
      </c>
      <c r="I210">
        <v>4153.05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-1239.7499999999995</v>
      </c>
      <c r="R210">
        <v>-1239.7499999999995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2913.2999999999997</v>
      </c>
      <c r="AA210">
        <v>2913.2999999999997</v>
      </c>
      <c r="AB210">
        <v>0</v>
      </c>
      <c r="AC210">
        <v>169</v>
      </c>
      <c r="AD210">
        <v>8.33</v>
      </c>
      <c r="AE210">
        <v>-160.67000000000002</v>
      </c>
      <c r="AF210">
        <v>2744.2999999999997</v>
      </c>
      <c r="AG210">
        <v>2904.97</v>
      </c>
      <c r="AH210">
        <v>160.66999999999999</v>
      </c>
      <c r="AI210">
        <v>758.23</v>
      </c>
      <c r="AJ210">
        <v>0</v>
      </c>
      <c r="AK210">
        <v>-758.23</v>
      </c>
      <c r="AL210">
        <v>1986.0699999999993</v>
      </c>
      <c r="AM210">
        <v>2904.97</v>
      </c>
      <c r="AN210">
        <v>918.90000000000009</v>
      </c>
      <c r="AO210">
        <v>62</v>
      </c>
    </row>
    <row r="211" spans="1:41" x14ac:dyDescent="0.35">
      <c r="A211">
        <v>2024</v>
      </c>
      <c r="B211">
        <v>3</v>
      </c>
      <c r="C211">
        <v>13</v>
      </c>
      <c r="D211" s="14">
        <v>45381</v>
      </c>
      <c r="E211" t="s">
        <v>44</v>
      </c>
      <c r="F211" t="s">
        <v>47</v>
      </c>
      <c r="G211" t="s">
        <v>51</v>
      </c>
      <c r="H211">
        <v>7272.2</v>
      </c>
      <c r="I211">
        <v>7272.2</v>
      </c>
      <c r="J211">
        <v>0</v>
      </c>
      <c r="K211">
        <v>40</v>
      </c>
      <c r="L211">
        <v>40</v>
      </c>
      <c r="M211">
        <v>0</v>
      </c>
      <c r="N211">
        <v>0</v>
      </c>
      <c r="O211">
        <v>0</v>
      </c>
      <c r="P211">
        <v>0</v>
      </c>
      <c r="Q211">
        <v>-2063.3999999999996</v>
      </c>
      <c r="R211">
        <v>-2063.3999999999996</v>
      </c>
      <c r="S211">
        <v>0</v>
      </c>
      <c r="T211">
        <v>-12</v>
      </c>
      <c r="U211">
        <v>-12</v>
      </c>
      <c r="V211">
        <v>0</v>
      </c>
      <c r="W211">
        <v>0</v>
      </c>
      <c r="X211">
        <v>0</v>
      </c>
      <c r="Y211">
        <v>0</v>
      </c>
      <c r="Z211">
        <v>5236.7999999999975</v>
      </c>
      <c r="AA211">
        <v>5236.7999999999975</v>
      </c>
      <c r="AB211">
        <v>0</v>
      </c>
      <c r="AC211">
        <v>75.489999999999995</v>
      </c>
      <c r="AD211">
        <v>67.16</v>
      </c>
      <c r="AE211">
        <v>-8.33</v>
      </c>
      <c r="AF211">
        <v>5161.3099999999977</v>
      </c>
      <c r="AG211">
        <v>5169.6399999999976</v>
      </c>
      <c r="AH211">
        <v>8.3299999999999983</v>
      </c>
      <c r="AI211">
        <v>1195.4700000000005</v>
      </c>
      <c r="AJ211">
        <v>0</v>
      </c>
      <c r="AK211">
        <v>-1195.4700000000005</v>
      </c>
      <c r="AL211">
        <v>3965.8400000000015</v>
      </c>
      <c r="AM211">
        <v>5169.6399999999976</v>
      </c>
      <c r="AN211">
        <v>1203.8000000000006</v>
      </c>
      <c r="AO211">
        <v>122</v>
      </c>
    </row>
    <row r="212" spans="1:41" x14ac:dyDescent="0.35">
      <c r="A212">
        <v>2024</v>
      </c>
      <c r="B212">
        <v>3</v>
      </c>
      <c r="C212">
        <v>14</v>
      </c>
      <c r="D212" s="14">
        <v>45382</v>
      </c>
      <c r="E212" t="s">
        <v>41</v>
      </c>
      <c r="F212" t="s">
        <v>42</v>
      </c>
      <c r="G212" t="s">
        <v>43</v>
      </c>
      <c r="H212">
        <v>127337.5</v>
      </c>
      <c r="I212">
        <v>127337.5</v>
      </c>
      <c r="J212">
        <v>0</v>
      </c>
      <c r="K212">
        <v>1460.2000000000176</v>
      </c>
      <c r="L212">
        <v>1453.2000000000176</v>
      </c>
      <c r="M212">
        <v>-7</v>
      </c>
      <c r="N212">
        <v>2851.0199999999886</v>
      </c>
      <c r="O212">
        <v>2851.0199999999886</v>
      </c>
      <c r="P212">
        <v>0</v>
      </c>
      <c r="Q212">
        <v>-13939.03</v>
      </c>
      <c r="R212">
        <v>-11975.78</v>
      </c>
      <c r="S212">
        <v>1963.25</v>
      </c>
      <c r="T212">
        <v>-7.4300000000000006</v>
      </c>
      <c r="U212">
        <v>-7.4300000000000006</v>
      </c>
      <c r="V212">
        <v>0</v>
      </c>
      <c r="W212">
        <v>-55</v>
      </c>
      <c r="X212">
        <v>-55</v>
      </c>
      <c r="Y212">
        <v>0</v>
      </c>
      <c r="Z212">
        <v>117647.26000000085</v>
      </c>
      <c r="AA212">
        <v>119603.51000000087</v>
      </c>
      <c r="AB212">
        <v>1956.25</v>
      </c>
      <c r="AC212">
        <v>37100.609999999615</v>
      </c>
      <c r="AD212">
        <v>20361.949999999913</v>
      </c>
      <c r="AE212">
        <v>-16738.659999999942</v>
      </c>
      <c r="AF212">
        <v>80546.650000000111</v>
      </c>
      <c r="AG212">
        <v>99241.560000000361</v>
      </c>
      <c r="AH212">
        <v>18694.909999999949</v>
      </c>
      <c r="AI212">
        <v>-9833.2899999999972</v>
      </c>
      <c r="AJ212">
        <v>-1.55</v>
      </c>
      <c r="AK212">
        <v>9831.739999999998</v>
      </c>
      <c r="AL212">
        <v>90379.940000000119</v>
      </c>
      <c r="AM212">
        <v>99243.110000000379</v>
      </c>
      <c r="AN212">
        <v>8863.1700000000037</v>
      </c>
      <c r="AO212">
        <v>2212</v>
      </c>
    </row>
    <row r="213" spans="1:41" x14ac:dyDescent="0.35">
      <c r="A213">
        <v>2024</v>
      </c>
      <c r="B213">
        <v>3</v>
      </c>
      <c r="C213">
        <v>14</v>
      </c>
      <c r="D213" s="14">
        <v>45382</v>
      </c>
      <c r="E213" t="s">
        <v>44</v>
      </c>
      <c r="F213" t="s">
        <v>42</v>
      </c>
      <c r="G213" t="s">
        <v>45</v>
      </c>
      <c r="H213">
        <v>160037</v>
      </c>
      <c r="I213">
        <v>160037</v>
      </c>
      <c r="J213">
        <v>0</v>
      </c>
      <c r="K213">
        <v>1100.7500000000077</v>
      </c>
      <c r="L213">
        <v>1160.7500000000089</v>
      </c>
      <c r="M213">
        <v>60</v>
      </c>
      <c r="N213">
        <v>6802.6099999999351</v>
      </c>
      <c r="O213">
        <v>6802.6099999999351</v>
      </c>
      <c r="P213">
        <v>0</v>
      </c>
      <c r="Q213">
        <v>-30209</v>
      </c>
      <c r="R213">
        <v>-29024</v>
      </c>
      <c r="S213">
        <v>1185</v>
      </c>
      <c r="T213">
        <v>-1.17</v>
      </c>
      <c r="U213">
        <v>-1.17</v>
      </c>
      <c r="V213">
        <v>0</v>
      </c>
      <c r="W213">
        <v>-98.8</v>
      </c>
      <c r="X213">
        <v>-98.8</v>
      </c>
      <c r="Y213">
        <v>0</v>
      </c>
      <c r="Z213">
        <v>137631.39000000071</v>
      </c>
      <c r="AA213">
        <v>138876.39000000068</v>
      </c>
      <c r="AB213">
        <v>1245</v>
      </c>
      <c r="AC213">
        <v>30520.589999999822</v>
      </c>
      <c r="AD213">
        <v>17020.889999999938</v>
      </c>
      <c r="AE213">
        <v>-13499.699999999986</v>
      </c>
      <c r="AF213">
        <v>107110.80000000069</v>
      </c>
      <c r="AG213">
        <v>121855.50000000067</v>
      </c>
      <c r="AH213">
        <v>14744.699999999979</v>
      </c>
      <c r="AI213">
        <v>-8303.3199999999906</v>
      </c>
      <c r="AJ213">
        <v>0</v>
      </c>
      <c r="AK213">
        <v>8303.3199999999906</v>
      </c>
      <c r="AL213">
        <v>115414.12000000048</v>
      </c>
      <c r="AM213">
        <v>121855.50000000067</v>
      </c>
      <c r="AN213">
        <v>6441.3800000000301</v>
      </c>
      <c r="AO213">
        <v>2056</v>
      </c>
    </row>
    <row r="214" spans="1:41" x14ac:dyDescent="0.35">
      <c r="A214">
        <v>2024</v>
      </c>
      <c r="B214">
        <v>3</v>
      </c>
      <c r="C214">
        <v>14</v>
      </c>
      <c r="D214" s="14">
        <v>45382</v>
      </c>
      <c r="E214" t="s">
        <v>44</v>
      </c>
      <c r="F214" t="s">
        <v>42</v>
      </c>
      <c r="G214" t="s">
        <v>46</v>
      </c>
      <c r="H214">
        <v>48303.059999999954</v>
      </c>
      <c r="I214">
        <v>48303.059999999954</v>
      </c>
      <c r="J214">
        <v>0</v>
      </c>
      <c r="K214">
        <v>225.43999999999988</v>
      </c>
      <c r="L214">
        <v>225.43999999999988</v>
      </c>
      <c r="M214">
        <v>0</v>
      </c>
      <c r="N214">
        <v>1267.1700000000005</v>
      </c>
      <c r="O214">
        <v>1267.1700000000005</v>
      </c>
      <c r="P214">
        <v>0</v>
      </c>
      <c r="Q214">
        <v>-17088.539999999961</v>
      </c>
      <c r="R214">
        <v>-16505.539999999964</v>
      </c>
      <c r="S214">
        <v>583</v>
      </c>
      <c r="T214">
        <v>-3</v>
      </c>
      <c r="U214">
        <v>-3</v>
      </c>
      <c r="V214">
        <v>0</v>
      </c>
      <c r="W214">
        <v>-10</v>
      </c>
      <c r="X214">
        <v>-10</v>
      </c>
      <c r="Y214">
        <v>0</v>
      </c>
      <c r="Z214">
        <v>32694.130000000026</v>
      </c>
      <c r="AA214">
        <v>33277.130000000019</v>
      </c>
      <c r="AB214">
        <v>583</v>
      </c>
      <c r="AC214">
        <v>9366.7400000000071</v>
      </c>
      <c r="AD214">
        <v>4489.0500000000047</v>
      </c>
      <c r="AE214">
        <v>-4877.690000000006</v>
      </c>
      <c r="AF214">
        <v>23327.390000000058</v>
      </c>
      <c r="AG214">
        <v>28788.080000000024</v>
      </c>
      <c r="AH214">
        <v>5460.6900000000051</v>
      </c>
      <c r="AI214">
        <v>-1568.1800000000026</v>
      </c>
      <c r="AJ214">
        <v>-5.67</v>
      </c>
      <c r="AK214">
        <v>1562.5100000000025</v>
      </c>
      <c r="AL214">
        <v>24895.570000000029</v>
      </c>
      <c r="AM214">
        <v>28793.750000000022</v>
      </c>
      <c r="AN214">
        <v>3898.1800000000089</v>
      </c>
      <c r="AO214">
        <v>573</v>
      </c>
    </row>
    <row r="215" spans="1:41" x14ac:dyDescent="0.35">
      <c r="A215">
        <v>2024</v>
      </c>
      <c r="B215">
        <v>3</v>
      </c>
      <c r="C215">
        <v>14</v>
      </c>
      <c r="D215" s="14">
        <v>45382</v>
      </c>
      <c r="E215" t="s">
        <v>44</v>
      </c>
      <c r="F215" t="s">
        <v>47</v>
      </c>
      <c r="G215" t="s">
        <v>48</v>
      </c>
      <c r="H215">
        <v>11281.999999999969</v>
      </c>
      <c r="I215">
        <v>11281.999999999969</v>
      </c>
      <c r="J215">
        <v>0</v>
      </c>
      <c r="K215">
        <v>668.50000000000011</v>
      </c>
      <c r="L215">
        <v>668.50000000000011</v>
      </c>
      <c r="M215">
        <v>0</v>
      </c>
      <c r="N215">
        <v>34.980000000000004</v>
      </c>
      <c r="O215">
        <v>34.980000000000004</v>
      </c>
      <c r="P215">
        <v>0</v>
      </c>
      <c r="Q215">
        <v>-1220.5999999999999</v>
      </c>
      <c r="R215">
        <v>-1220.5999999999999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10764.879999999985</v>
      </c>
      <c r="AA215">
        <v>10764.879999999985</v>
      </c>
      <c r="AB215">
        <v>0</v>
      </c>
      <c r="AC215">
        <v>103.09</v>
      </c>
      <c r="AD215">
        <v>63.34</v>
      </c>
      <c r="AE215">
        <v>-39.75</v>
      </c>
      <c r="AF215">
        <v>10661.789999999985</v>
      </c>
      <c r="AG215">
        <v>10701.539999999985</v>
      </c>
      <c r="AH215">
        <v>39.749999999999993</v>
      </c>
      <c r="AI215">
        <v>3444.6600000000099</v>
      </c>
      <c r="AJ215">
        <v>0</v>
      </c>
      <c r="AK215">
        <v>-3444.6600000000099</v>
      </c>
      <c r="AL215">
        <v>7217.1299999999937</v>
      </c>
      <c r="AM215">
        <v>10701.539999999985</v>
      </c>
      <c r="AN215">
        <v>3484.4100000000108</v>
      </c>
      <c r="AO215">
        <v>368</v>
      </c>
    </row>
    <row r="216" spans="1:41" x14ac:dyDescent="0.35">
      <c r="A216">
        <v>2024</v>
      </c>
      <c r="B216">
        <v>3</v>
      </c>
      <c r="C216">
        <v>14</v>
      </c>
      <c r="D216" s="14">
        <v>45382</v>
      </c>
      <c r="E216" t="s">
        <v>44</v>
      </c>
      <c r="F216" t="s">
        <v>47</v>
      </c>
      <c r="G216" t="s">
        <v>49</v>
      </c>
      <c r="H216">
        <v>20960</v>
      </c>
      <c r="I216">
        <v>20960</v>
      </c>
      <c r="J216">
        <v>0</v>
      </c>
      <c r="K216">
        <v>263</v>
      </c>
      <c r="L216">
        <v>263</v>
      </c>
      <c r="M216">
        <v>0</v>
      </c>
      <c r="N216">
        <v>171.89000000000004</v>
      </c>
      <c r="O216">
        <v>171.89000000000004</v>
      </c>
      <c r="P216">
        <v>0</v>
      </c>
      <c r="Q216">
        <v>-7125.0999999999931</v>
      </c>
      <c r="R216">
        <v>-7050.0999999999931</v>
      </c>
      <c r="S216">
        <v>75</v>
      </c>
      <c r="T216">
        <v>-25</v>
      </c>
      <c r="U216">
        <v>-25</v>
      </c>
      <c r="V216">
        <v>0</v>
      </c>
      <c r="W216">
        <v>-10</v>
      </c>
      <c r="X216">
        <v>-10</v>
      </c>
      <c r="Y216">
        <v>0</v>
      </c>
      <c r="Z216">
        <v>14234.79000000001</v>
      </c>
      <c r="AA216">
        <v>14309.79000000001</v>
      </c>
      <c r="AB216">
        <v>75</v>
      </c>
      <c r="AC216">
        <v>1036.2499999999998</v>
      </c>
      <c r="AD216">
        <v>284.17999999999995</v>
      </c>
      <c r="AE216">
        <v>-752.06999999999982</v>
      </c>
      <c r="AF216">
        <v>13198.540000000014</v>
      </c>
      <c r="AG216">
        <v>14025.610000000011</v>
      </c>
      <c r="AH216">
        <v>827.06999999999982</v>
      </c>
      <c r="AI216">
        <v>3588.4999999999977</v>
      </c>
      <c r="AJ216">
        <v>8.56</v>
      </c>
      <c r="AK216">
        <v>-3579.9399999999978</v>
      </c>
      <c r="AL216">
        <v>9610.0400000000209</v>
      </c>
      <c r="AM216">
        <v>14017.050000000012</v>
      </c>
      <c r="AN216">
        <v>4407.0099999999984</v>
      </c>
      <c r="AO216">
        <v>283</v>
      </c>
    </row>
    <row r="217" spans="1:41" x14ac:dyDescent="0.35">
      <c r="A217">
        <v>2024</v>
      </c>
      <c r="B217">
        <v>3</v>
      </c>
      <c r="C217">
        <v>14</v>
      </c>
      <c r="D217" s="14">
        <v>45382</v>
      </c>
      <c r="E217" t="s">
        <v>44</v>
      </c>
      <c r="F217" t="s">
        <v>47</v>
      </c>
      <c r="G217" t="s">
        <v>50</v>
      </c>
      <c r="H217">
        <v>32806.050000000003</v>
      </c>
      <c r="I217">
        <v>32806.050000000003</v>
      </c>
      <c r="J217">
        <v>0</v>
      </c>
      <c r="K217">
        <v>549.66999999999985</v>
      </c>
      <c r="L217">
        <v>549.66999999999985</v>
      </c>
      <c r="M217">
        <v>0</v>
      </c>
      <c r="N217">
        <v>1110.3100000000004</v>
      </c>
      <c r="O217">
        <v>1110.3100000000004</v>
      </c>
      <c r="P217">
        <v>0</v>
      </c>
      <c r="Q217">
        <v>-9729.33</v>
      </c>
      <c r="R217">
        <v>-9493.33</v>
      </c>
      <c r="S217">
        <v>236</v>
      </c>
      <c r="T217">
        <v>-30</v>
      </c>
      <c r="U217">
        <v>-30</v>
      </c>
      <c r="V217">
        <v>0</v>
      </c>
      <c r="W217">
        <v>-79.98</v>
      </c>
      <c r="X217">
        <v>-79.98</v>
      </c>
      <c r="Y217">
        <v>0</v>
      </c>
      <c r="Z217">
        <v>24626.720000000008</v>
      </c>
      <c r="AA217">
        <v>24862.720000000008</v>
      </c>
      <c r="AB217">
        <v>236</v>
      </c>
      <c r="AC217">
        <v>5513.1000000000067</v>
      </c>
      <c r="AD217">
        <v>2871.6700000000028</v>
      </c>
      <c r="AE217">
        <v>-2641.4300000000012</v>
      </c>
      <c r="AF217">
        <v>19113.620000000014</v>
      </c>
      <c r="AG217">
        <v>21991.050000000021</v>
      </c>
      <c r="AH217">
        <v>2877.4300000000012</v>
      </c>
      <c r="AI217">
        <v>-1500.0000000000005</v>
      </c>
      <c r="AJ217">
        <v>0</v>
      </c>
      <c r="AK217">
        <v>1500.0000000000005</v>
      </c>
      <c r="AL217">
        <v>20613.619999999992</v>
      </c>
      <c r="AM217">
        <v>21991.050000000021</v>
      </c>
      <c r="AN217">
        <v>1377.4300000000005</v>
      </c>
      <c r="AO217">
        <v>377</v>
      </c>
    </row>
    <row r="218" spans="1:41" x14ac:dyDescent="0.35">
      <c r="A218">
        <v>2024</v>
      </c>
      <c r="B218">
        <v>3</v>
      </c>
      <c r="C218">
        <v>14</v>
      </c>
      <c r="D218" s="14">
        <v>45382</v>
      </c>
      <c r="E218" t="s">
        <v>44</v>
      </c>
      <c r="F218" t="s">
        <v>47</v>
      </c>
      <c r="G218" t="s">
        <v>51</v>
      </c>
      <c r="H218">
        <v>31372.3</v>
      </c>
      <c r="I218">
        <v>31372.3</v>
      </c>
      <c r="J218">
        <v>0</v>
      </c>
      <c r="K218">
        <v>20</v>
      </c>
      <c r="L218">
        <v>20</v>
      </c>
      <c r="M218">
        <v>0</v>
      </c>
      <c r="N218">
        <v>287.99</v>
      </c>
      <c r="O218">
        <v>287.99</v>
      </c>
      <c r="P218">
        <v>0</v>
      </c>
      <c r="Q218">
        <v>-16514.000000000058</v>
      </c>
      <c r="R218">
        <v>-16514.000000000058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15166.289999999941</v>
      </c>
      <c r="AA218">
        <v>15166.289999999941</v>
      </c>
      <c r="AB218">
        <v>0</v>
      </c>
      <c r="AC218">
        <v>300.17</v>
      </c>
      <c r="AD218">
        <v>233.0100000000001</v>
      </c>
      <c r="AE218">
        <v>-67.16</v>
      </c>
      <c r="AF218">
        <v>14866.119999999944</v>
      </c>
      <c r="AG218">
        <v>14933.279999999944</v>
      </c>
      <c r="AH218">
        <v>67.16</v>
      </c>
      <c r="AI218">
        <v>4583.3699999999981</v>
      </c>
      <c r="AJ218">
        <v>0</v>
      </c>
      <c r="AK218">
        <v>-4583.3699999999981</v>
      </c>
      <c r="AL218">
        <v>10282.749999999995</v>
      </c>
      <c r="AM218">
        <v>14933.279999999944</v>
      </c>
      <c r="AN218">
        <v>4650.5299999999979</v>
      </c>
      <c r="AO218">
        <v>345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204"/>
  <sheetViews>
    <sheetView workbookViewId="0"/>
  </sheetViews>
  <sheetFormatPr defaultRowHeight="14.5" x14ac:dyDescent="0.35"/>
  <cols>
    <col min="1" max="3" width="13" customWidth="1"/>
    <col min="4" max="4" width="12" customWidth="1"/>
    <col min="5" max="5" width="13" customWidth="1"/>
    <col min="6" max="6" width="8" customWidth="1"/>
    <col min="7" max="7" width="12" customWidth="1"/>
    <col min="8" max="19" width="13" customWidth="1"/>
    <col min="20" max="20" width="16" customWidth="1"/>
    <col min="21" max="21" width="17" customWidth="1"/>
    <col min="22" max="22" width="16" customWidth="1"/>
    <col min="23" max="28" width="13" customWidth="1"/>
    <col min="29" max="29" width="18" customWidth="1"/>
    <col min="30" max="30" width="19" customWidth="1"/>
    <col min="31" max="31" width="18" customWidth="1"/>
    <col min="32" max="41" width="13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2024</v>
      </c>
      <c r="B2">
        <v>2</v>
      </c>
      <c r="C2">
        <v>5</v>
      </c>
      <c r="D2" s="14">
        <v>45323</v>
      </c>
      <c r="E2" t="s">
        <v>41</v>
      </c>
      <c r="F2" t="s">
        <v>42</v>
      </c>
      <c r="G2" t="s">
        <v>43</v>
      </c>
      <c r="H2">
        <v>77322</v>
      </c>
      <c r="I2">
        <v>77593</v>
      </c>
      <c r="J2">
        <v>271</v>
      </c>
      <c r="K2">
        <v>1088.0600000000118</v>
      </c>
      <c r="L2">
        <v>1095.060000000012</v>
      </c>
      <c r="M2">
        <v>7</v>
      </c>
      <c r="N2">
        <v>1572.8500000000008</v>
      </c>
      <c r="O2">
        <v>1572.8500000000008</v>
      </c>
      <c r="P2">
        <v>0</v>
      </c>
      <c r="Q2">
        <v>-8327.25</v>
      </c>
      <c r="R2">
        <v>-7564.25</v>
      </c>
      <c r="S2">
        <v>763</v>
      </c>
      <c r="T2">
        <v>-5.9600000000000009</v>
      </c>
      <c r="U2">
        <v>-6.4200000000000008</v>
      </c>
      <c r="V2">
        <v>-0.46</v>
      </c>
      <c r="W2">
        <v>-50</v>
      </c>
      <c r="X2">
        <v>-50</v>
      </c>
      <c r="Y2">
        <v>0</v>
      </c>
      <c r="Z2">
        <v>71599.699999999764</v>
      </c>
      <c r="AA2">
        <v>72640.239999999831</v>
      </c>
      <c r="AB2">
        <v>1040.54</v>
      </c>
      <c r="AC2">
        <v>21184.049999999785</v>
      </c>
      <c r="AD2">
        <v>9921.0500000000266</v>
      </c>
      <c r="AE2">
        <v>-11263.000000000005</v>
      </c>
      <c r="AF2">
        <v>50415.650000000285</v>
      </c>
      <c r="AG2">
        <v>62719.189999999879</v>
      </c>
      <c r="AH2">
        <v>12303.539999999995</v>
      </c>
      <c r="AI2">
        <v>-4989.4100000000026</v>
      </c>
      <c r="AJ2">
        <v>0</v>
      </c>
      <c r="AK2">
        <v>4989.4100000000026</v>
      </c>
      <c r="AL2">
        <v>55405.060000000129</v>
      </c>
      <c r="AM2">
        <v>62719.189999999879</v>
      </c>
      <c r="AN2">
        <v>7314.1300000000365</v>
      </c>
      <c r="AO2">
        <v>1432</v>
      </c>
    </row>
    <row r="3" spans="1:41" x14ac:dyDescent="0.35">
      <c r="A3">
        <v>2024</v>
      </c>
      <c r="B3">
        <v>2</v>
      </c>
      <c r="C3">
        <v>5</v>
      </c>
      <c r="D3" s="14">
        <v>45324</v>
      </c>
      <c r="E3" t="s">
        <v>41</v>
      </c>
      <c r="F3" t="s">
        <v>42</v>
      </c>
      <c r="G3" t="s">
        <v>43</v>
      </c>
      <c r="H3">
        <v>64831</v>
      </c>
      <c r="I3">
        <v>64919</v>
      </c>
      <c r="J3">
        <v>88</v>
      </c>
      <c r="K3">
        <v>969.04000000000508</v>
      </c>
      <c r="L3">
        <v>962.04000000000428</v>
      </c>
      <c r="M3">
        <v>-7</v>
      </c>
      <c r="N3">
        <v>1554.8700000000008</v>
      </c>
      <c r="O3">
        <v>1554.8700000000008</v>
      </c>
      <c r="P3">
        <v>0</v>
      </c>
      <c r="Q3">
        <v>-6921</v>
      </c>
      <c r="R3">
        <v>-6182</v>
      </c>
      <c r="S3">
        <v>739</v>
      </c>
      <c r="T3">
        <v>-5.4600000000000009</v>
      </c>
      <c r="U3">
        <v>-5</v>
      </c>
      <c r="V3">
        <v>0.46</v>
      </c>
      <c r="W3">
        <v>-60</v>
      </c>
      <c r="X3">
        <v>-60</v>
      </c>
      <c r="Y3">
        <v>0</v>
      </c>
      <c r="Z3">
        <v>60368.44999999959</v>
      </c>
      <c r="AA3">
        <v>61188.909999999589</v>
      </c>
      <c r="AB3">
        <v>820.46</v>
      </c>
      <c r="AC3">
        <v>18291.669999999922</v>
      </c>
      <c r="AD3">
        <v>7942.780000000017</v>
      </c>
      <c r="AE3">
        <v>-10348.89000000001</v>
      </c>
      <c r="AF3">
        <v>42076.780000000246</v>
      </c>
      <c r="AG3">
        <v>53246.129999999954</v>
      </c>
      <c r="AH3">
        <v>11169.350000000004</v>
      </c>
      <c r="AI3">
        <v>-3857.48</v>
      </c>
      <c r="AJ3">
        <v>0</v>
      </c>
      <c r="AK3">
        <v>3857.48</v>
      </c>
      <c r="AL3">
        <v>45934.260000000155</v>
      </c>
      <c r="AM3">
        <v>53246.129999999954</v>
      </c>
      <c r="AN3">
        <v>7311.8700000000372</v>
      </c>
      <c r="AO3">
        <v>1198</v>
      </c>
    </row>
    <row r="4" spans="1:41" x14ac:dyDescent="0.35">
      <c r="A4">
        <v>2024</v>
      </c>
      <c r="B4">
        <v>2</v>
      </c>
      <c r="C4">
        <v>5</v>
      </c>
      <c r="D4" s="14">
        <v>45325</v>
      </c>
      <c r="E4" t="s">
        <v>41</v>
      </c>
      <c r="F4" t="s">
        <v>42</v>
      </c>
      <c r="G4" t="s">
        <v>43</v>
      </c>
      <c r="H4">
        <v>61607.75</v>
      </c>
      <c r="I4">
        <v>61747.75</v>
      </c>
      <c r="J4">
        <v>140</v>
      </c>
      <c r="K4">
        <v>768.90000000000134</v>
      </c>
      <c r="L4">
        <v>761.90000000000134</v>
      </c>
      <c r="M4">
        <v>-7</v>
      </c>
      <c r="N4">
        <v>1696.7600000000009</v>
      </c>
      <c r="O4">
        <v>1696.7600000000009</v>
      </c>
      <c r="P4">
        <v>0</v>
      </c>
      <c r="Q4">
        <v>-6796</v>
      </c>
      <c r="R4">
        <v>-6361</v>
      </c>
      <c r="S4">
        <v>435</v>
      </c>
      <c r="T4">
        <v>-4.0500000000000007</v>
      </c>
      <c r="U4">
        <v>-3.62</v>
      </c>
      <c r="V4">
        <v>0.43</v>
      </c>
      <c r="W4">
        <v>-60</v>
      </c>
      <c r="X4">
        <v>-60</v>
      </c>
      <c r="Y4">
        <v>0</v>
      </c>
      <c r="Z4">
        <v>57213.359999999615</v>
      </c>
      <c r="AA4">
        <v>57781.789999999615</v>
      </c>
      <c r="AB4">
        <v>568.43000000000006</v>
      </c>
      <c r="AC4">
        <v>16015.120000000021</v>
      </c>
      <c r="AD4">
        <v>8036.2100000000219</v>
      </c>
      <c r="AE4">
        <v>-7978.9100000000171</v>
      </c>
      <c r="AF4">
        <v>41198.240000000216</v>
      </c>
      <c r="AG4">
        <v>49745.57999999998</v>
      </c>
      <c r="AH4">
        <v>8547.3400000000183</v>
      </c>
      <c r="AI4">
        <v>-4244.7599999999993</v>
      </c>
      <c r="AJ4">
        <v>0</v>
      </c>
      <c r="AK4">
        <v>4244.7599999999993</v>
      </c>
      <c r="AL4">
        <v>45443.000000000138</v>
      </c>
      <c r="AM4">
        <v>49745.57999999998</v>
      </c>
      <c r="AN4">
        <v>4302.5800000000099</v>
      </c>
      <c r="AO4">
        <v>1126</v>
      </c>
    </row>
    <row r="5" spans="1:41" x14ac:dyDescent="0.35">
      <c r="A5">
        <v>2024</v>
      </c>
      <c r="B5">
        <v>2</v>
      </c>
      <c r="C5">
        <v>5</v>
      </c>
      <c r="D5" s="14">
        <v>45323</v>
      </c>
      <c r="E5" t="s">
        <v>44</v>
      </c>
      <c r="F5" t="s">
        <v>42</v>
      </c>
      <c r="G5" t="s">
        <v>45</v>
      </c>
      <c r="H5">
        <v>117471.5</v>
      </c>
      <c r="I5">
        <v>117830.5</v>
      </c>
      <c r="J5">
        <v>359</v>
      </c>
      <c r="K5">
        <v>926.80000000000348</v>
      </c>
      <c r="L5">
        <v>926.80000000000348</v>
      </c>
      <c r="M5">
        <v>0</v>
      </c>
      <c r="N5">
        <v>4793.9399999999623</v>
      </c>
      <c r="O5">
        <v>4777.9499999999625</v>
      </c>
      <c r="P5">
        <v>-15.99</v>
      </c>
      <c r="Q5">
        <v>-22642.85</v>
      </c>
      <c r="R5">
        <v>-22081.09</v>
      </c>
      <c r="S5">
        <v>561.76</v>
      </c>
      <c r="T5">
        <v>-7.7100000000000009</v>
      </c>
      <c r="U5">
        <v>-7.7100000000000009</v>
      </c>
      <c r="V5">
        <v>0</v>
      </c>
      <c r="W5">
        <v>-140.59</v>
      </c>
      <c r="X5">
        <v>-140.59</v>
      </c>
      <c r="Y5">
        <v>0</v>
      </c>
      <c r="Z5">
        <v>100401.09000000042</v>
      </c>
      <c r="AA5">
        <v>101305.86000000042</v>
      </c>
      <c r="AB5">
        <v>904.7700000000001</v>
      </c>
      <c r="AC5">
        <v>19702.43999999982</v>
      </c>
      <c r="AD5">
        <v>9595.9600000000228</v>
      </c>
      <c r="AE5">
        <v>-10106.480000000005</v>
      </c>
      <c r="AF5">
        <v>80698.650000000387</v>
      </c>
      <c r="AG5">
        <v>91709.900000000445</v>
      </c>
      <c r="AH5">
        <v>11011.250000000002</v>
      </c>
      <c r="AI5">
        <v>-4883.1100000000015</v>
      </c>
      <c r="AJ5">
        <v>0</v>
      </c>
      <c r="AK5">
        <v>4883.1100000000015</v>
      </c>
      <c r="AL5">
        <v>85581.760000000111</v>
      </c>
      <c r="AM5">
        <v>91709.900000000445</v>
      </c>
      <c r="AN5">
        <v>6128.1400000000212</v>
      </c>
      <c r="AO5">
        <v>1611</v>
      </c>
    </row>
    <row r="6" spans="1:41" x14ac:dyDescent="0.35">
      <c r="A6">
        <v>2024</v>
      </c>
      <c r="B6">
        <v>2</v>
      </c>
      <c r="C6">
        <v>5</v>
      </c>
      <c r="D6" s="14">
        <v>45324</v>
      </c>
      <c r="E6" t="s">
        <v>44</v>
      </c>
      <c r="F6" t="s">
        <v>42</v>
      </c>
      <c r="G6" t="s">
        <v>45</v>
      </c>
      <c r="H6">
        <v>100852</v>
      </c>
      <c r="I6">
        <v>101553</v>
      </c>
      <c r="J6">
        <v>701</v>
      </c>
      <c r="K6">
        <v>993.54000000000462</v>
      </c>
      <c r="L6">
        <v>993.54000000000462</v>
      </c>
      <c r="M6">
        <v>0</v>
      </c>
      <c r="N6">
        <v>4139.2499999999709</v>
      </c>
      <c r="O6">
        <v>4139.2499999999709</v>
      </c>
      <c r="P6">
        <v>0</v>
      </c>
      <c r="Q6">
        <v>-18634.499999999993</v>
      </c>
      <c r="R6">
        <v>-18146.5</v>
      </c>
      <c r="S6">
        <v>487.99999999999989</v>
      </c>
      <c r="T6">
        <v>-5.91</v>
      </c>
      <c r="U6">
        <v>-5.91</v>
      </c>
      <c r="V6">
        <v>0</v>
      </c>
      <c r="W6">
        <v>-99.490000000000009</v>
      </c>
      <c r="X6">
        <v>-99.490000000000009</v>
      </c>
      <c r="Y6">
        <v>0</v>
      </c>
      <c r="Z6">
        <v>87244.890000000159</v>
      </c>
      <c r="AA6">
        <v>88433.890000000232</v>
      </c>
      <c r="AB6">
        <v>1189.0000000000002</v>
      </c>
      <c r="AC6">
        <v>15975.939999999986</v>
      </c>
      <c r="AD6">
        <v>6611.1000000000176</v>
      </c>
      <c r="AE6">
        <v>-9364.8400000000147</v>
      </c>
      <c r="AF6">
        <v>71268.950000000434</v>
      </c>
      <c r="AG6">
        <v>81822.790000000197</v>
      </c>
      <c r="AH6">
        <v>10553.840000000002</v>
      </c>
      <c r="AI6">
        <v>-3422.6300000000037</v>
      </c>
      <c r="AJ6">
        <v>0</v>
      </c>
      <c r="AK6">
        <v>3422.6300000000037</v>
      </c>
      <c r="AL6">
        <v>74691.580000000191</v>
      </c>
      <c r="AM6">
        <v>81822.790000000197</v>
      </c>
      <c r="AN6">
        <v>7131.2100000000219</v>
      </c>
      <c r="AO6">
        <v>1403</v>
      </c>
    </row>
    <row r="7" spans="1:41" x14ac:dyDescent="0.35">
      <c r="A7">
        <v>2024</v>
      </c>
      <c r="B7">
        <v>2</v>
      </c>
      <c r="C7">
        <v>5</v>
      </c>
      <c r="D7" s="14">
        <v>45325</v>
      </c>
      <c r="E7" t="s">
        <v>44</v>
      </c>
      <c r="F7" t="s">
        <v>42</v>
      </c>
      <c r="G7" t="s">
        <v>45</v>
      </c>
      <c r="H7">
        <v>98317.5</v>
      </c>
      <c r="I7">
        <v>98709.5</v>
      </c>
      <c r="J7">
        <v>392</v>
      </c>
      <c r="K7">
        <v>825.16000000000076</v>
      </c>
      <c r="L7">
        <v>825.16000000000076</v>
      </c>
      <c r="M7">
        <v>0</v>
      </c>
      <c r="N7">
        <v>4207.1899999999696</v>
      </c>
      <c r="O7">
        <v>4207.1899999999696</v>
      </c>
      <c r="P7">
        <v>0</v>
      </c>
      <c r="Q7">
        <v>-18317.97</v>
      </c>
      <c r="R7">
        <v>-18096.5</v>
      </c>
      <c r="S7">
        <v>221.47000000000003</v>
      </c>
      <c r="T7">
        <v>-6.1400000000000006</v>
      </c>
      <c r="U7">
        <v>-6.1400000000000006</v>
      </c>
      <c r="V7">
        <v>0</v>
      </c>
      <c r="W7">
        <v>-73.990000000000009</v>
      </c>
      <c r="X7">
        <v>-73.990000000000009</v>
      </c>
      <c r="Y7">
        <v>0</v>
      </c>
      <c r="Z7">
        <v>84951.750000000087</v>
      </c>
      <c r="AA7">
        <v>85565.220000000088</v>
      </c>
      <c r="AB7">
        <v>613.47</v>
      </c>
      <c r="AC7">
        <v>13749.52999999999</v>
      </c>
      <c r="AD7">
        <v>7194.3900000000231</v>
      </c>
      <c r="AE7">
        <v>-6555.1400000000194</v>
      </c>
      <c r="AF7">
        <v>71202.220000000423</v>
      </c>
      <c r="AG7">
        <v>78370.830000000278</v>
      </c>
      <c r="AH7">
        <v>7168.6100000000206</v>
      </c>
      <c r="AI7">
        <v>-3746.3500000000026</v>
      </c>
      <c r="AJ7">
        <v>0</v>
      </c>
      <c r="AK7">
        <v>3746.3500000000026</v>
      </c>
      <c r="AL7">
        <v>74948.570000000138</v>
      </c>
      <c r="AM7">
        <v>78370.830000000278</v>
      </c>
      <c r="AN7">
        <v>3422.2600000000107</v>
      </c>
      <c r="AO7">
        <v>1365</v>
      </c>
    </row>
    <row r="8" spans="1:41" x14ac:dyDescent="0.35">
      <c r="A8">
        <v>2024</v>
      </c>
      <c r="B8">
        <v>2</v>
      </c>
      <c r="C8">
        <v>5</v>
      </c>
      <c r="D8" s="14">
        <v>45323</v>
      </c>
      <c r="E8" t="s">
        <v>44</v>
      </c>
      <c r="F8" t="s">
        <v>42</v>
      </c>
      <c r="G8" t="s">
        <v>46</v>
      </c>
      <c r="H8">
        <v>48625.800000000047</v>
      </c>
      <c r="I8">
        <v>48827.800000000047</v>
      </c>
      <c r="J8">
        <v>202</v>
      </c>
      <c r="K8">
        <v>307.04999999999973</v>
      </c>
      <c r="L8">
        <v>312.04999999999973</v>
      </c>
      <c r="M8">
        <v>5</v>
      </c>
      <c r="N8">
        <v>918.41000000000042</v>
      </c>
      <c r="O8">
        <v>918.41000000000042</v>
      </c>
      <c r="P8">
        <v>0</v>
      </c>
      <c r="Q8">
        <v>-17735.440000000035</v>
      </c>
      <c r="R8">
        <v>-16928.020000000033</v>
      </c>
      <c r="S8">
        <v>807.42000000000007</v>
      </c>
      <c r="T8">
        <v>0</v>
      </c>
      <c r="U8">
        <v>0</v>
      </c>
      <c r="V8">
        <v>0</v>
      </c>
      <c r="W8">
        <v>-10</v>
      </c>
      <c r="X8">
        <v>-10</v>
      </c>
      <c r="Y8">
        <v>0</v>
      </c>
      <c r="Z8">
        <v>32105.819999999974</v>
      </c>
      <c r="AA8">
        <v>33120.239999999983</v>
      </c>
      <c r="AB8">
        <v>1014.4200000000001</v>
      </c>
      <c r="AC8">
        <v>8315.2900000000245</v>
      </c>
      <c r="AD8">
        <v>4126.1600000000071</v>
      </c>
      <c r="AE8">
        <v>-4189.1300000000065</v>
      </c>
      <c r="AF8">
        <v>23790.530000000046</v>
      </c>
      <c r="AG8">
        <v>28994.080000000009</v>
      </c>
      <c r="AH8">
        <v>5203.5500000000093</v>
      </c>
      <c r="AI8">
        <v>-1667.9499999999996</v>
      </c>
      <c r="AJ8">
        <v>0</v>
      </c>
      <c r="AK8">
        <v>1667.9499999999996</v>
      </c>
      <c r="AL8">
        <v>25458.480000000083</v>
      </c>
      <c r="AM8">
        <v>28994.080000000009</v>
      </c>
      <c r="AN8">
        <v>3535.6000000000049</v>
      </c>
      <c r="AO8">
        <v>629</v>
      </c>
    </row>
    <row r="9" spans="1:41" x14ac:dyDescent="0.35">
      <c r="A9">
        <v>2024</v>
      </c>
      <c r="B9">
        <v>2</v>
      </c>
      <c r="C9">
        <v>5</v>
      </c>
      <c r="D9" s="14">
        <v>45324</v>
      </c>
      <c r="E9" t="s">
        <v>44</v>
      </c>
      <c r="F9" t="s">
        <v>42</v>
      </c>
      <c r="G9" t="s">
        <v>46</v>
      </c>
      <c r="H9">
        <v>50850.600000000049</v>
      </c>
      <c r="I9">
        <v>51695.600000000049</v>
      </c>
      <c r="J9">
        <v>845</v>
      </c>
      <c r="K9">
        <v>515.95999999999913</v>
      </c>
      <c r="L9">
        <v>515.95999999999913</v>
      </c>
      <c r="M9">
        <v>0</v>
      </c>
      <c r="N9">
        <v>1068.2800000000004</v>
      </c>
      <c r="O9">
        <v>1068.2800000000004</v>
      </c>
      <c r="P9">
        <v>0</v>
      </c>
      <c r="Q9">
        <v>-17615.230000000036</v>
      </c>
      <c r="R9">
        <v>-17320.810000000034</v>
      </c>
      <c r="S9">
        <v>294.42</v>
      </c>
      <c r="T9">
        <v>0</v>
      </c>
      <c r="U9">
        <v>0</v>
      </c>
      <c r="V9">
        <v>0</v>
      </c>
      <c r="W9">
        <v>-20</v>
      </c>
      <c r="X9">
        <v>-20</v>
      </c>
      <c r="Y9">
        <v>0</v>
      </c>
      <c r="Z9">
        <v>34799.610000000015</v>
      </c>
      <c r="AA9">
        <v>35939.03</v>
      </c>
      <c r="AB9">
        <v>1139.42</v>
      </c>
      <c r="AC9">
        <v>8078.0400000000236</v>
      </c>
      <c r="AD9">
        <v>3961.5500000000075</v>
      </c>
      <c r="AE9">
        <v>-4116.490000000008</v>
      </c>
      <c r="AF9">
        <v>26721.570000000058</v>
      </c>
      <c r="AG9">
        <v>31977.480000000054</v>
      </c>
      <c r="AH9">
        <v>5255.9100000000089</v>
      </c>
      <c r="AI9">
        <v>-1044.9199999999996</v>
      </c>
      <c r="AJ9">
        <v>0</v>
      </c>
      <c r="AK9">
        <v>1044.9199999999996</v>
      </c>
      <c r="AL9">
        <v>27766.490000000042</v>
      </c>
      <c r="AM9">
        <v>31977.480000000054</v>
      </c>
      <c r="AN9">
        <v>4210.9900000000098</v>
      </c>
      <c r="AO9">
        <v>665</v>
      </c>
    </row>
    <row r="10" spans="1:41" x14ac:dyDescent="0.35">
      <c r="A10">
        <v>2024</v>
      </c>
      <c r="B10">
        <v>2</v>
      </c>
      <c r="C10">
        <v>5</v>
      </c>
      <c r="D10" s="14">
        <v>45325</v>
      </c>
      <c r="E10" t="s">
        <v>44</v>
      </c>
      <c r="F10" t="s">
        <v>42</v>
      </c>
      <c r="G10" t="s">
        <v>46</v>
      </c>
      <c r="H10">
        <v>53500.670000000056</v>
      </c>
      <c r="I10">
        <v>53572.670000000056</v>
      </c>
      <c r="J10">
        <v>72</v>
      </c>
      <c r="K10">
        <v>408.56999999999965</v>
      </c>
      <c r="L10">
        <v>393.57000000000005</v>
      </c>
      <c r="M10">
        <v>-15</v>
      </c>
      <c r="N10">
        <v>1374.1100000000006</v>
      </c>
      <c r="O10">
        <v>1374.1100000000006</v>
      </c>
      <c r="P10">
        <v>0</v>
      </c>
      <c r="Q10">
        <v>-18732.320000000043</v>
      </c>
      <c r="R10">
        <v>-18691.370000000039</v>
      </c>
      <c r="S10">
        <v>40.949999999999996</v>
      </c>
      <c r="T10">
        <v>0</v>
      </c>
      <c r="U10">
        <v>0</v>
      </c>
      <c r="V10">
        <v>0</v>
      </c>
      <c r="W10">
        <v>-20</v>
      </c>
      <c r="X10">
        <v>-20</v>
      </c>
      <c r="Y10">
        <v>0</v>
      </c>
      <c r="Z10">
        <v>36531.029999999962</v>
      </c>
      <c r="AA10">
        <v>36628.97999999996</v>
      </c>
      <c r="AB10">
        <v>97.950000000000017</v>
      </c>
      <c r="AC10">
        <v>8195.3900000000231</v>
      </c>
      <c r="AD10">
        <v>4232.4700000000048</v>
      </c>
      <c r="AE10">
        <v>-3962.9200000000064</v>
      </c>
      <c r="AF10">
        <v>28335.640000000076</v>
      </c>
      <c r="AG10">
        <v>32396.510000000031</v>
      </c>
      <c r="AH10">
        <v>4060.8700000000067</v>
      </c>
      <c r="AI10">
        <v>-1364.9199999999998</v>
      </c>
      <c r="AJ10">
        <v>0</v>
      </c>
      <c r="AK10">
        <v>1364.9199999999998</v>
      </c>
      <c r="AL10">
        <v>29700.560000000074</v>
      </c>
      <c r="AM10">
        <v>32396.510000000031</v>
      </c>
      <c r="AN10">
        <v>2695.9500000000007</v>
      </c>
      <c r="AO10">
        <v>682</v>
      </c>
    </row>
    <row r="11" spans="1:41" x14ac:dyDescent="0.35">
      <c r="A11">
        <v>2024</v>
      </c>
      <c r="B11">
        <v>2</v>
      </c>
      <c r="C11">
        <v>5</v>
      </c>
      <c r="D11" s="14">
        <v>45323</v>
      </c>
      <c r="E11" t="s">
        <v>44</v>
      </c>
      <c r="F11" t="s">
        <v>47</v>
      </c>
      <c r="G11" t="s">
        <v>48</v>
      </c>
      <c r="H11">
        <v>8696.8000000000284</v>
      </c>
      <c r="I11">
        <v>8696.8000000000284</v>
      </c>
      <c r="J11">
        <v>0</v>
      </c>
      <c r="K11">
        <v>1050.1800000000005</v>
      </c>
      <c r="L11">
        <v>1050.1800000000005</v>
      </c>
      <c r="M11">
        <v>0</v>
      </c>
      <c r="N11">
        <v>44.980000000000004</v>
      </c>
      <c r="O11">
        <v>44.980000000000004</v>
      </c>
      <c r="P11">
        <v>0</v>
      </c>
      <c r="Q11">
        <v>-892.75000000000034</v>
      </c>
      <c r="R11">
        <v>-892.75000000000034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8899.210000000021</v>
      </c>
      <c r="AA11">
        <v>8899.210000000021</v>
      </c>
      <c r="AB11">
        <v>0</v>
      </c>
      <c r="AC11">
        <v>10</v>
      </c>
      <c r="AE11">
        <v>-10</v>
      </c>
      <c r="AF11">
        <v>8889.2100000000228</v>
      </c>
      <c r="AG11">
        <v>8899.210000000021</v>
      </c>
      <c r="AH11">
        <v>10</v>
      </c>
      <c r="AI11">
        <v>3134.8499999999981</v>
      </c>
      <c r="AJ11">
        <v>0</v>
      </c>
      <c r="AK11">
        <v>-3134.8499999999981</v>
      </c>
      <c r="AL11">
        <v>5754.3599999999988</v>
      </c>
      <c r="AM11">
        <v>8899.210000000021</v>
      </c>
      <c r="AN11">
        <v>3144.8499999999981</v>
      </c>
      <c r="AO11">
        <v>332</v>
      </c>
    </row>
    <row r="12" spans="1:41" x14ac:dyDescent="0.35">
      <c r="A12">
        <v>2024</v>
      </c>
      <c r="B12">
        <v>2</v>
      </c>
      <c r="C12">
        <v>5</v>
      </c>
      <c r="D12" s="14">
        <v>45324</v>
      </c>
      <c r="E12" t="s">
        <v>44</v>
      </c>
      <c r="F12" t="s">
        <v>47</v>
      </c>
      <c r="G12" t="s">
        <v>48</v>
      </c>
      <c r="H12">
        <v>11484.779999999961</v>
      </c>
      <c r="I12">
        <v>11484.779999999961</v>
      </c>
      <c r="J12">
        <v>0</v>
      </c>
      <c r="K12">
        <v>862.86000000000035</v>
      </c>
      <c r="L12">
        <v>985.66000000000054</v>
      </c>
      <c r="M12">
        <v>122.8</v>
      </c>
      <c r="N12">
        <v>15.99</v>
      </c>
      <c r="O12">
        <v>15.99</v>
      </c>
      <c r="P12">
        <v>0</v>
      </c>
      <c r="Q12">
        <v>-2227.2299999999977</v>
      </c>
      <c r="R12">
        <v>-2227.2299999999977</v>
      </c>
      <c r="S12">
        <v>0</v>
      </c>
      <c r="T12">
        <v>-21</v>
      </c>
      <c r="U12">
        <v>-21</v>
      </c>
      <c r="V12">
        <v>0</v>
      </c>
      <c r="W12">
        <v>0</v>
      </c>
      <c r="X12">
        <v>0</v>
      </c>
      <c r="Y12">
        <v>0</v>
      </c>
      <c r="Z12">
        <v>10115.399999999972</v>
      </c>
      <c r="AA12">
        <v>10238.19999999997</v>
      </c>
      <c r="AB12">
        <v>122.8</v>
      </c>
      <c r="AC12">
        <v>26.38</v>
      </c>
      <c r="AD12">
        <v>26.38</v>
      </c>
      <c r="AE12">
        <v>0</v>
      </c>
      <c r="AF12">
        <v>10089.019999999973</v>
      </c>
      <c r="AG12">
        <v>10211.819999999971</v>
      </c>
      <c r="AH12">
        <v>122.8</v>
      </c>
      <c r="AI12">
        <v>3692.7499999999991</v>
      </c>
      <c r="AJ12">
        <v>0</v>
      </c>
      <c r="AK12">
        <v>-3692.7499999999991</v>
      </c>
      <c r="AL12">
        <v>6396.27</v>
      </c>
      <c r="AM12">
        <v>10211.819999999971</v>
      </c>
      <c r="AN12">
        <v>3815.5499999999988</v>
      </c>
      <c r="AO12">
        <v>281</v>
      </c>
    </row>
    <row r="13" spans="1:41" x14ac:dyDescent="0.35">
      <c r="A13">
        <v>2024</v>
      </c>
      <c r="B13">
        <v>2</v>
      </c>
      <c r="C13">
        <v>5</v>
      </c>
      <c r="D13" s="14">
        <v>45325</v>
      </c>
      <c r="E13" t="s">
        <v>44</v>
      </c>
      <c r="F13" t="s">
        <v>47</v>
      </c>
      <c r="G13" t="s">
        <v>48</v>
      </c>
      <c r="H13">
        <v>10202.629999999986</v>
      </c>
      <c r="I13">
        <v>10202.629999999986</v>
      </c>
      <c r="J13">
        <v>0</v>
      </c>
      <c r="K13">
        <v>1031.2100000000005</v>
      </c>
      <c r="L13">
        <v>1031.2100000000005</v>
      </c>
      <c r="M13">
        <v>0</v>
      </c>
      <c r="N13">
        <v>15.99</v>
      </c>
      <c r="O13">
        <v>15.99</v>
      </c>
      <c r="P13">
        <v>0</v>
      </c>
      <c r="Q13">
        <v>-1260.3800000000003</v>
      </c>
      <c r="R13">
        <v>-1260.3800000000003</v>
      </c>
      <c r="S13">
        <v>0</v>
      </c>
      <c r="T13">
        <v>-24.53</v>
      </c>
      <c r="U13">
        <v>-24.53</v>
      </c>
      <c r="V13">
        <v>0</v>
      </c>
      <c r="W13">
        <v>0</v>
      </c>
      <c r="X13">
        <v>0</v>
      </c>
      <c r="Y13">
        <v>0</v>
      </c>
      <c r="Z13">
        <v>9964.9199999999928</v>
      </c>
      <c r="AA13">
        <v>9964.9199999999928</v>
      </c>
      <c r="AB13">
        <v>0</v>
      </c>
      <c r="AC13">
        <v>26.380000000000003</v>
      </c>
      <c r="AE13">
        <v>-26.380000000000003</v>
      </c>
      <c r="AF13">
        <v>9938.5399999999954</v>
      </c>
      <c r="AG13">
        <v>9964.9199999999928</v>
      </c>
      <c r="AH13">
        <v>26.380000000000003</v>
      </c>
      <c r="AI13">
        <v>3500.9399999999978</v>
      </c>
      <c r="AJ13">
        <v>0</v>
      </c>
      <c r="AK13">
        <v>-3500.9399999999978</v>
      </c>
      <c r="AL13">
        <v>6437.5999999999976</v>
      </c>
      <c r="AM13">
        <v>9964.9199999999928</v>
      </c>
      <c r="AN13">
        <v>3527.3199999999974</v>
      </c>
      <c r="AO13">
        <v>334</v>
      </c>
    </row>
    <row r="14" spans="1:41" x14ac:dyDescent="0.35">
      <c r="A14">
        <v>2024</v>
      </c>
      <c r="B14">
        <v>2</v>
      </c>
      <c r="C14">
        <v>5</v>
      </c>
      <c r="D14" s="14">
        <v>45323</v>
      </c>
      <c r="E14" t="s">
        <v>44</v>
      </c>
      <c r="F14" t="s">
        <v>47</v>
      </c>
      <c r="G14" t="s">
        <v>49</v>
      </c>
      <c r="H14">
        <v>13844.049999999997</v>
      </c>
      <c r="I14">
        <v>13844.049999999997</v>
      </c>
      <c r="J14">
        <v>0</v>
      </c>
      <c r="K14">
        <v>182.60000000000002</v>
      </c>
      <c r="L14">
        <v>182.60000000000002</v>
      </c>
      <c r="M14">
        <v>0</v>
      </c>
      <c r="N14">
        <v>121.92999999999999</v>
      </c>
      <c r="O14">
        <v>121.92999999999999</v>
      </c>
      <c r="P14">
        <v>0</v>
      </c>
      <c r="Q14">
        <v>-5454.5499999999947</v>
      </c>
      <c r="R14">
        <v>-5454.5499999999947</v>
      </c>
      <c r="S14">
        <v>0</v>
      </c>
      <c r="T14">
        <v>-10</v>
      </c>
      <c r="U14">
        <v>-10</v>
      </c>
      <c r="V14">
        <v>0</v>
      </c>
      <c r="W14">
        <v>-5</v>
      </c>
      <c r="X14">
        <v>-5</v>
      </c>
      <c r="Y14">
        <v>0</v>
      </c>
      <c r="Z14">
        <v>8679.0300000000061</v>
      </c>
      <c r="AA14">
        <v>8679.0300000000061</v>
      </c>
      <c r="AB14">
        <v>0</v>
      </c>
      <c r="AC14">
        <v>294.73</v>
      </c>
      <c r="AD14">
        <v>170.71</v>
      </c>
      <c r="AE14">
        <v>-124.02000000000001</v>
      </c>
      <c r="AF14">
        <v>8384.3000000000047</v>
      </c>
      <c r="AG14">
        <v>8508.3200000000033</v>
      </c>
      <c r="AH14">
        <v>124.02000000000001</v>
      </c>
      <c r="AI14">
        <v>1664.63</v>
      </c>
      <c r="AJ14">
        <v>0</v>
      </c>
      <c r="AK14">
        <v>-1664.63</v>
      </c>
      <c r="AL14">
        <v>6719.6700000000019</v>
      </c>
      <c r="AM14">
        <v>8508.3200000000033</v>
      </c>
      <c r="AN14">
        <v>1788.6499999999999</v>
      </c>
      <c r="AO14">
        <v>166</v>
      </c>
    </row>
    <row r="15" spans="1:41" x14ac:dyDescent="0.35">
      <c r="A15">
        <v>2024</v>
      </c>
      <c r="B15">
        <v>2</v>
      </c>
      <c r="C15">
        <v>5</v>
      </c>
      <c r="D15" s="14">
        <v>45324</v>
      </c>
      <c r="E15" t="s">
        <v>44</v>
      </c>
      <c r="F15" t="s">
        <v>47</v>
      </c>
      <c r="G15" t="s">
        <v>49</v>
      </c>
      <c r="H15">
        <v>14708.85</v>
      </c>
      <c r="I15">
        <v>14731.85</v>
      </c>
      <c r="J15">
        <v>23</v>
      </c>
      <c r="K15">
        <v>311.25</v>
      </c>
      <c r="L15">
        <v>403.34999999999991</v>
      </c>
      <c r="M15">
        <v>92.1</v>
      </c>
      <c r="N15">
        <v>146.93</v>
      </c>
      <c r="O15">
        <v>146.93</v>
      </c>
      <c r="P15">
        <v>0</v>
      </c>
      <c r="Q15">
        <v>-5268.7999999999965</v>
      </c>
      <c r="R15">
        <v>-5268.7999999999965</v>
      </c>
      <c r="S15">
        <v>0</v>
      </c>
      <c r="T15">
        <v>-9.4</v>
      </c>
      <c r="U15">
        <v>-9.4</v>
      </c>
      <c r="V15">
        <v>0</v>
      </c>
      <c r="W15">
        <v>-5</v>
      </c>
      <c r="X15">
        <v>-5</v>
      </c>
      <c r="Y15">
        <v>0</v>
      </c>
      <c r="Z15">
        <v>9883.8299999999963</v>
      </c>
      <c r="AA15">
        <v>9998.9299999999948</v>
      </c>
      <c r="AB15">
        <v>115.10000000000001</v>
      </c>
      <c r="AC15">
        <v>532.22</v>
      </c>
      <c r="AD15">
        <v>322.93</v>
      </c>
      <c r="AE15">
        <v>-209.29000000000002</v>
      </c>
      <c r="AF15">
        <v>9351.6099999999969</v>
      </c>
      <c r="AG15">
        <v>9675.9999999999964</v>
      </c>
      <c r="AH15">
        <v>324.39</v>
      </c>
      <c r="AI15">
        <v>1579.0900000000008</v>
      </c>
      <c r="AJ15">
        <v>0</v>
      </c>
      <c r="AK15">
        <v>-1579.0900000000008</v>
      </c>
      <c r="AL15">
        <v>7772.52</v>
      </c>
      <c r="AM15">
        <v>9675.9999999999964</v>
      </c>
      <c r="AN15">
        <v>1903.4800000000009</v>
      </c>
      <c r="AO15">
        <v>187</v>
      </c>
    </row>
    <row r="16" spans="1:41" x14ac:dyDescent="0.35">
      <c r="A16">
        <v>2024</v>
      </c>
      <c r="B16">
        <v>2</v>
      </c>
      <c r="C16">
        <v>5</v>
      </c>
      <c r="D16" s="14">
        <v>45325</v>
      </c>
      <c r="E16" t="s">
        <v>44</v>
      </c>
      <c r="F16" t="s">
        <v>47</v>
      </c>
      <c r="G16" t="s">
        <v>49</v>
      </c>
      <c r="H16">
        <v>15962.399999999998</v>
      </c>
      <c r="I16">
        <v>15962.399999999998</v>
      </c>
      <c r="J16">
        <v>0</v>
      </c>
      <c r="K16">
        <v>265.5</v>
      </c>
      <c r="L16">
        <v>265.5</v>
      </c>
      <c r="M16">
        <v>0</v>
      </c>
      <c r="N16">
        <v>200.89000000000004</v>
      </c>
      <c r="O16">
        <v>200.89000000000004</v>
      </c>
      <c r="P16">
        <v>0</v>
      </c>
      <c r="Q16">
        <v>-6148.2000000000053</v>
      </c>
      <c r="R16">
        <v>-6126.2000000000053</v>
      </c>
      <c r="S16">
        <v>22</v>
      </c>
      <c r="T16">
        <v>-15</v>
      </c>
      <c r="U16">
        <v>-15</v>
      </c>
      <c r="V16">
        <v>0</v>
      </c>
      <c r="W16">
        <v>-5</v>
      </c>
      <c r="X16">
        <v>-5</v>
      </c>
      <c r="Y16">
        <v>0</v>
      </c>
      <c r="Z16">
        <v>10260.589999999989</v>
      </c>
      <c r="AA16">
        <v>10282.589999999989</v>
      </c>
      <c r="AB16">
        <v>21.999999999999993</v>
      </c>
      <c r="AC16">
        <v>441.82000000000005</v>
      </c>
      <c r="AD16">
        <v>118.88999999999999</v>
      </c>
      <c r="AE16">
        <v>-322.92999999999995</v>
      </c>
      <c r="AF16">
        <v>9818.7699999999913</v>
      </c>
      <c r="AG16">
        <v>10163.699999999992</v>
      </c>
      <c r="AH16">
        <v>344.92999999999995</v>
      </c>
      <c r="AI16">
        <v>1641.1099999999994</v>
      </c>
      <c r="AJ16">
        <v>0</v>
      </c>
      <c r="AK16">
        <v>-1641.1099999999994</v>
      </c>
      <c r="AL16">
        <v>8177.6599999999908</v>
      </c>
      <c r="AM16">
        <v>10163.699999999992</v>
      </c>
      <c r="AN16">
        <v>1986.0399999999995</v>
      </c>
      <c r="AO16">
        <v>196</v>
      </c>
    </row>
    <row r="17" spans="1:41" x14ac:dyDescent="0.35">
      <c r="A17">
        <v>2024</v>
      </c>
      <c r="B17">
        <v>2</v>
      </c>
      <c r="C17">
        <v>5</v>
      </c>
      <c r="D17" s="14">
        <v>45323</v>
      </c>
      <c r="E17" t="s">
        <v>44</v>
      </c>
      <c r="F17" t="s">
        <v>47</v>
      </c>
      <c r="G17" t="s">
        <v>50</v>
      </c>
      <c r="H17">
        <v>27261.399999999998</v>
      </c>
      <c r="I17">
        <v>27364.399999999998</v>
      </c>
      <c r="J17">
        <v>103</v>
      </c>
      <c r="K17">
        <v>852.61000000000035</v>
      </c>
      <c r="L17">
        <v>852.61000000000035</v>
      </c>
      <c r="M17">
        <v>0</v>
      </c>
      <c r="N17">
        <v>1052.3300000000004</v>
      </c>
      <c r="O17">
        <v>1052.3300000000004</v>
      </c>
      <c r="P17">
        <v>0</v>
      </c>
      <c r="Q17">
        <v>-9087.380000000001</v>
      </c>
      <c r="R17">
        <v>-8956.8700000000008</v>
      </c>
      <c r="S17">
        <v>130.51</v>
      </c>
      <c r="T17">
        <v>-52</v>
      </c>
      <c r="U17">
        <v>-52</v>
      </c>
      <c r="V17">
        <v>0</v>
      </c>
      <c r="W17">
        <v>-74.98</v>
      </c>
      <c r="X17">
        <v>-74.98</v>
      </c>
      <c r="Y17">
        <v>0</v>
      </c>
      <c r="Z17">
        <v>19951.98</v>
      </c>
      <c r="AA17">
        <v>20185.490000000002</v>
      </c>
      <c r="AB17">
        <v>233.51000000000005</v>
      </c>
      <c r="AC17">
        <v>3035.560000000004</v>
      </c>
      <c r="AD17">
        <v>1275.8799999999999</v>
      </c>
      <c r="AE17">
        <v>-1759.6799999999989</v>
      </c>
      <c r="AF17">
        <v>16916.420000000013</v>
      </c>
      <c r="AG17">
        <v>18909.610000000011</v>
      </c>
      <c r="AH17">
        <v>1993.1899999999989</v>
      </c>
      <c r="AI17">
        <v>-752.56999999999971</v>
      </c>
      <c r="AJ17">
        <v>0</v>
      </c>
      <c r="AK17">
        <v>752.56999999999971</v>
      </c>
      <c r="AL17">
        <v>17668.990000000002</v>
      </c>
      <c r="AM17">
        <v>18909.610000000011</v>
      </c>
      <c r="AN17">
        <v>1240.6199999999988</v>
      </c>
      <c r="AO17">
        <v>334</v>
      </c>
    </row>
    <row r="18" spans="1:41" x14ac:dyDescent="0.35">
      <c r="A18">
        <v>2024</v>
      </c>
      <c r="B18">
        <v>2</v>
      </c>
      <c r="C18">
        <v>5</v>
      </c>
      <c r="D18" s="14">
        <v>45324</v>
      </c>
      <c r="E18" t="s">
        <v>44</v>
      </c>
      <c r="F18" t="s">
        <v>47</v>
      </c>
      <c r="G18" t="s">
        <v>50</v>
      </c>
      <c r="H18">
        <v>28497.05</v>
      </c>
      <c r="I18">
        <v>28581.05</v>
      </c>
      <c r="J18">
        <v>84</v>
      </c>
      <c r="K18">
        <v>1022.0100000000022</v>
      </c>
      <c r="L18">
        <v>1022.0100000000022</v>
      </c>
      <c r="M18">
        <v>0</v>
      </c>
      <c r="N18">
        <v>971.37000000000046</v>
      </c>
      <c r="O18">
        <v>971.37000000000046</v>
      </c>
      <c r="P18">
        <v>0</v>
      </c>
      <c r="Q18">
        <v>-9505.9500000000007</v>
      </c>
      <c r="R18">
        <v>-9388.9500000000007</v>
      </c>
      <c r="S18">
        <v>117</v>
      </c>
      <c r="T18">
        <v>-125</v>
      </c>
      <c r="U18">
        <v>-125</v>
      </c>
      <c r="V18">
        <v>0</v>
      </c>
      <c r="W18">
        <v>-55</v>
      </c>
      <c r="X18">
        <v>-55</v>
      </c>
      <c r="Y18">
        <v>0</v>
      </c>
      <c r="Z18">
        <v>20804.479999999989</v>
      </c>
      <c r="AA18">
        <v>21005.479999999985</v>
      </c>
      <c r="AB18">
        <v>201</v>
      </c>
      <c r="AC18">
        <v>3005.3400000000051</v>
      </c>
      <c r="AD18">
        <v>1738.7599999999998</v>
      </c>
      <c r="AE18">
        <v>-1266.5799999999995</v>
      </c>
      <c r="AF18">
        <v>17799.14</v>
      </c>
      <c r="AG18">
        <v>19266.719999999998</v>
      </c>
      <c r="AH18">
        <v>1467.58</v>
      </c>
      <c r="AI18">
        <v>-1001.3300000000006</v>
      </c>
      <c r="AJ18">
        <v>0</v>
      </c>
      <c r="AK18">
        <v>1001.3300000000006</v>
      </c>
      <c r="AL18">
        <v>18800.46999999999</v>
      </c>
      <c r="AM18">
        <v>19266.719999999998</v>
      </c>
      <c r="AN18">
        <v>466.25000000000023</v>
      </c>
      <c r="AO18">
        <v>344</v>
      </c>
    </row>
    <row r="19" spans="1:41" x14ac:dyDescent="0.35">
      <c r="A19">
        <v>2024</v>
      </c>
      <c r="B19">
        <v>2</v>
      </c>
      <c r="C19">
        <v>5</v>
      </c>
      <c r="D19" s="14">
        <v>45325</v>
      </c>
      <c r="E19" t="s">
        <v>44</v>
      </c>
      <c r="F19" t="s">
        <v>47</v>
      </c>
      <c r="G19" t="s">
        <v>50</v>
      </c>
      <c r="H19">
        <v>29687</v>
      </c>
      <c r="I19">
        <v>29766</v>
      </c>
      <c r="J19">
        <v>79</v>
      </c>
      <c r="K19">
        <v>858.56000000000108</v>
      </c>
      <c r="L19">
        <v>858.56000000000108</v>
      </c>
      <c r="M19">
        <v>0</v>
      </c>
      <c r="N19">
        <v>1132.2800000000004</v>
      </c>
      <c r="O19">
        <v>1132.2800000000004</v>
      </c>
      <c r="P19">
        <v>0</v>
      </c>
      <c r="Q19">
        <v>-10517.519999999999</v>
      </c>
      <c r="R19">
        <v>-10378.469999999999</v>
      </c>
      <c r="S19">
        <v>139.05000000000001</v>
      </c>
      <c r="T19">
        <v>-115</v>
      </c>
      <c r="U19">
        <v>-115</v>
      </c>
      <c r="V19">
        <v>0</v>
      </c>
      <c r="W19">
        <v>-73.97</v>
      </c>
      <c r="X19">
        <v>-73.97</v>
      </c>
      <c r="Y19">
        <v>0</v>
      </c>
      <c r="Z19">
        <v>20971.34999999998</v>
      </c>
      <c r="AA19">
        <v>21189.39999999998</v>
      </c>
      <c r="AB19">
        <v>218.05</v>
      </c>
      <c r="AC19">
        <v>3283.4200000000046</v>
      </c>
      <c r="AD19">
        <v>1544.66</v>
      </c>
      <c r="AE19">
        <v>-1738.7599999999995</v>
      </c>
      <c r="AF19">
        <v>17687.930000000008</v>
      </c>
      <c r="AG19">
        <v>19644.739999999998</v>
      </c>
      <c r="AH19">
        <v>1956.8099999999995</v>
      </c>
      <c r="AI19">
        <v>-926.90999999999985</v>
      </c>
      <c r="AJ19">
        <v>0</v>
      </c>
      <c r="AK19">
        <v>926.90999999999985</v>
      </c>
      <c r="AL19">
        <v>18614.840000000007</v>
      </c>
      <c r="AM19">
        <v>19644.739999999998</v>
      </c>
      <c r="AN19">
        <v>1029.9000000000012</v>
      </c>
      <c r="AO19">
        <v>351</v>
      </c>
    </row>
    <row r="20" spans="1:41" x14ac:dyDescent="0.35">
      <c r="A20">
        <v>2024</v>
      </c>
      <c r="B20">
        <v>2</v>
      </c>
      <c r="C20">
        <v>5</v>
      </c>
      <c r="D20" s="14">
        <v>45323</v>
      </c>
      <c r="E20" t="s">
        <v>44</v>
      </c>
      <c r="F20" t="s">
        <v>47</v>
      </c>
      <c r="G20" t="s">
        <v>51</v>
      </c>
      <c r="H20">
        <v>4700.6000000000004</v>
      </c>
      <c r="I20">
        <v>4700.6000000000004</v>
      </c>
      <c r="J20">
        <v>0</v>
      </c>
      <c r="K20">
        <v>7</v>
      </c>
      <c r="L20">
        <v>7</v>
      </c>
      <c r="M20">
        <v>0</v>
      </c>
      <c r="N20">
        <v>0</v>
      </c>
      <c r="O20">
        <v>0</v>
      </c>
      <c r="P20">
        <v>0</v>
      </c>
      <c r="Q20">
        <v>-1033.1999999999994</v>
      </c>
      <c r="R20">
        <v>-1033.1999999999994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3674.3999999999983</v>
      </c>
      <c r="AA20">
        <v>3674.3999999999983</v>
      </c>
      <c r="AB20">
        <v>0</v>
      </c>
      <c r="AC20">
        <v>108.28999999999999</v>
      </c>
      <c r="AD20">
        <v>108.28999999999999</v>
      </c>
      <c r="AE20">
        <v>0</v>
      </c>
      <c r="AF20">
        <v>3566.1099999999983</v>
      </c>
      <c r="AG20">
        <v>3566.1099999999983</v>
      </c>
      <c r="AH20">
        <v>0</v>
      </c>
      <c r="AI20">
        <v>919.56000000000017</v>
      </c>
      <c r="AJ20">
        <v>0</v>
      </c>
      <c r="AK20">
        <v>-919.56000000000017</v>
      </c>
      <c r="AL20">
        <v>2646.5499999999988</v>
      </c>
      <c r="AM20">
        <v>3566.1099999999983</v>
      </c>
      <c r="AN20">
        <v>919.56000000000006</v>
      </c>
      <c r="AO20">
        <v>70</v>
      </c>
    </row>
    <row r="21" spans="1:41" x14ac:dyDescent="0.35">
      <c r="A21">
        <v>2024</v>
      </c>
      <c r="B21">
        <v>2</v>
      </c>
      <c r="C21">
        <v>5</v>
      </c>
      <c r="D21" s="14">
        <v>45324</v>
      </c>
      <c r="E21" t="s">
        <v>44</v>
      </c>
      <c r="F21" t="s">
        <v>47</v>
      </c>
      <c r="G21" t="s">
        <v>51</v>
      </c>
      <c r="H21">
        <v>3779.8</v>
      </c>
      <c r="I21">
        <v>3779.8</v>
      </c>
      <c r="J21">
        <v>0</v>
      </c>
      <c r="K21">
        <v>10</v>
      </c>
      <c r="L21">
        <v>10</v>
      </c>
      <c r="M21">
        <v>0</v>
      </c>
      <c r="N21">
        <v>0</v>
      </c>
      <c r="O21">
        <v>0</v>
      </c>
      <c r="P21">
        <v>0</v>
      </c>
      <c r="Q21">
        <v>-932.3</v>
      </c>
      <c r="R21">
        <v>-932.3</v>
      </c>
      <c r="S21">
        <v>0</v>
      </c>
      <c r="T21">
        <v>-4</v>
      </c>
      <c r="U21">
        <v>-4</v>
      </c>
      <c r="V21">
        <v>0</v>
      </c>
      <c r="W21">
        <v>0</v>
      </c>
      <c r="X21">
        <v>0</v>
      </c>
      <c r="Y21">
        <v>0</v>
      </c>
      <c r="Z21">
        <v>2853.5</v>
      </c>
      <c r="AA21">
        <v>2853.5</v>
      </c>
      <c r="AB21">
        <v>0</v>
      </c>
      <c r="AC21">
        <v>171.61000000000007</v>
      </c>
      <c r="AD21">
        <v>54.989999999999995</v>
      </c>
      <c r="AE21">
        <v>-116.61999999999999</v>
      </c>
      <c r="AF21">
        <v>2681.8900000000008</v>
      </c>
      <c r="AG21">
        <v>2798.5099999999998</v>
      </c>
      <c r="AH21">
        <v>116.61999999999998</v>
      </c>
      <c r="AI21">
        <v>716.85</v>
      </c>
      <c r="AJ21">
        <v>0</v>
      </c>
      <c r="AK21">
        <v>-716.85</v>
      </c>
      <c r="AL21">
        <v>1965.0400000000002</v>
      </c>
      <c r="AM21">
        <v>2798.5099999999998</v>
      </c>
      <c r="AN21">
        <v>833.47000000000025</v>
      </c>
      <c r="AO21">
        <v>66</v>
      </c>
    </row>
    <row r="22" spans="1:41" x14ac:dyDescent="0.35">
      <c r="A22">
        <v>2024</v>
      </c>
      <c r="B22">
        <v>2</v>
      </c>
      <c r="C22">
        <v>5</v>
      </c>
      <c r="D22" s="14">
        <v>45325</v>
      </c>
      <c r="E22" t="s">
        <v>44</v>
      </c>
      <c r="F22" t="s">
        <v>47</v>
      </c>
      <c r="G22" t="s">
        <v>51</v>
      </c>
      <c r="H22">
        <v>5483.3</v>
      </c>
      <c r="I22">
        <v>5473.3</v>
      </c>
      <c r="J22">
        <v>-10</v>
      </c>
      <c r="K22">
        <v>10</v>
      </c>
      <c r="L22">
        <v>10</v>
      </c>
      <c r="M22">
        <v>0</v>
      </c>
      <c r="N22">
        <v>0</v>
      </c>
      <c r="O22">
        <v>0</v>
      </c>
      <c r="P22">
        <v>0</v>
      </c>
      <c r="Q22">
        <v>-1368.7500000000002</v>
      </c>
      <c r="R22">
        <v>-1368.7500000000002</v>
      </c>
      <c r="S22">
        <v>0</v>
      </c>
      <c r="T22">
        <v>-4</v>
      </c>
      <c r="U22">
        <v>-4</v>
      </c>
      <c r="V22">
        <v>0</v>
      </c>
      <c r="W22">
        <v>0</v>
      </c>
      <c r="X22">
        <v>0</v>
      </c>
      <c r="Y22">
        <v>0</v>
      </c>
      <c r="Z22">
        <v>4120.5500000000011</v>
      </c>
      <c r="AA22">
        <v>4110.5500000000011</v>
      </c>
      <c r="AB22">
        <v>-10</v>
      </c>
      <c r="AC22">
        <v>111.32999999999998</v>
      </c>
      <c r="AD22">
        <v>56.34</v>
      </c>
      <c r="AE22">
        <v>-54.99</v>
      </c>
      <c r="AF22">
        <v>4009.2200000000007</v>
      </c>
      <c r="AG22">
        <v>4054.2100000000005</v>
      </c>
      <c r="AH22">
        <v>44.989999999999995</v>
      </c>
      <c r="AI22">
        <v>1300.2300000000005</v>
      </c>
      <c r="AJ22">
        <v>0</v>
      </c>
      <c r="AK22">
        <v>-1300.2300000000005</v>
      </c>
      <c r="AL22">
        <v>2708.9900000000002</v>
      </c>
      <c r="AM22">
        <v>4054.2100000000005</v>
      </c>
      <c r="AN22">
        <v>1345.22</v>
      </c>
      <c r="AO22">
        <v>86</v>
      </c>
    </row>
    <row r="23" spans="1:41" x14ac:dyDescent="0.35">
      <c r="A23">
        <v>2024</v>
      </c>
      <c r="B23">
        <v>2</v>
      </c>
      <c r="C23">
        <v>6</v>
      </c>
      <c r="D23" s="14">
        <v>45326</v>
      </c>
      <c r="E23" t="s">
        <v>41</v>
      </c>
      <c r="F23" t="s">
        <v>42</v>
      </c>
      <c r="G23" t="s">
        <v>43</v>
      </c>
      <c r="H23">
        <v>67945.25</v>
      </c>
      <c r="I23">
        <v>68120.25</v>
      </c>
      <c r="J23">
        <v>175</v>
      </c>
      <c r="K23">
        <v>728.94999999999914</v>
      </c>
      <c r="L23">
        <v>728.94999999999914</v>
      </c>
      <c r="M23">
        <v>0</v>
      </c>
      <c r="N23">
        <v>1863.660000000001</v>
      </c>
      <c r="O23">
        <v>1863.660000000001</v>
      </c>
      <c r="P23">
        <v>0</v>
      </c>
      <c r="Q23">
        <v>-7607.35</v>
      </c>
      <c r="R23">
        <v>-6657.35</v>
      </c>
      <c r="S23">
        <v>950</v>
      </c>
      <c r="T23">
        <v>-4.08</v>
      </c>
      <c r="U23">
        <v>-4.08</v>
      </c>
      <c r="V23">
        <v>0</v>
      </c>
      <c r="W23">
        <v>-61.5</v>
      </c>
      <c r="X23">
        <v>-61.5</v>
      </c>
      <c r="Y23">
        <v>0</v>
      </c>
      <c r="Z23">
        <v>62864.929999999607</v>
      </c>
      <c r="AA23">
        <v>63989.9299999996</v>
      </c>
      <c r="AB23">
        <v>1125</v>
      </c>
      <c r="AC23">
        <v>16588.430000000018</v>
      </c>
      <c r="AD23">
        <v>8665.9600000000228</v>
      </c>
      <c r="AE23">
        <v>-7922.4700000000194</v>
      </c>
      <c r="AF23">
        <v>46276.500000000357</v>
      </c>
      <c r="AG23">
        <v>55323.970000000067</v>
      </c>
      <c r="AH23">
        <v>9047.4700000000175</v>
      </c>
      <c r="AI23">
        <v>-4781.9399999999987</v>
      </c>
      <c r="AJ23">
        <v>0</v>
      </c>
      <c r="AK23">
        <v>4781.9399999999987</v>
      </c>
      <c r="AL23">
        <v>51058.440000000264</v>
      </c>
      <c r="AM23">
        <v>55323.970000000067</v>
      </c>
      <c r="AN23">
        <v>4265.5300000000107</v>
      </c>
      <c r="AO23">
        <v>1247</v>
      </c>
    </row>
    <row r="24" spans="1:41" x14ac:dyDescent="0.35">
      <c r="A24">
        <v>2024</v>
      </c>
      <c r="B24">
        <v>2</v>
      </c>
      <c r="C24">
        <v>6</v>
      </c>
      <c r="D24" s="14">
        <v>45327</v>
      </c>
      <c r="E24" t="s">
        <v>41</v>
      </c>
      <c r="F24" t="s">
        <v>42</v>
      </c>
      <c r="G24" t="s">
        <v>43</v>
      </c>
      <c r="H24">
        <v>62438</v>
      </c>
      <c r="I24">
        <v>62610</v>
      </c>
      <c r="J24">
        <v>172</v>
      </c>
      <c r="K24">
        <v>711.93999999999869</v>
      </c>
      <c r="L24">
        <v>711.93999999999869</v>
      </c>
      <c r="M24">
        <v>0</v>
      </c>
      <c r="N24">
        <v>1816.700000000001</v>
      </c>
      <c r="O24">
        <v>1800.7100000000009</v>
      </c>
      <c r="P24">
        <v>-15.99</v>
      </c>
      <c r="Q24">
        <v>-6710.75</v>
      </c>
      <c r="R24">
        <v>-5946.75</v>
      </c>
      <c r="S24">
        <v>764</v>
      </c>
      <c r="T24">
        <v>-1.3800000000000001</v>
      </c>
      <c r="U24">
        <v>-1.3800000000000001</v>
      </c>
      <c r="V24">
        <v>0</v>
      </c>
      <c r="W24">
        <v>-66.5</v>
      </c>
      <c r="X24">
        <v>-66.5</v>
      </c>
      <c r="Y24">
        <v>0</v>
      </c>
      <c r="Z24">
        <v>58188.009999999653</v>
      </c>
      <c r="AA24">
        <v>59108.019999999648</v>
      </c>
      <c r="AB24">
        <v>920.01</v>
      </c>
      <c r="AC24">
        <v>15465.880000000032</v>
      </c>
      <c r="AD24">
        <v>6965.3300000000218</v>
      </c>
      <c r="AE24">
        <v>-8500.5500000000229</v>
      </c>
      <c r="AF24">
        <v>42722.13000000023</v>
      </c>
      <c r="AG24">
        <v>52142.689999999944</v>
      </c>
      <c r="AH24">
        <v>9420.5600000000286</v>
      </c>
      <c r="AI24">
        <v>-3711.8100000000036</v>
      </c>
      <c r="AJ24">
        <v>0</v>
      </c>
      <c r="AK24">
        <v>3711.8100000000036</v>
      </c>
      <c r="AL24">
        <v>46433.940000000235</v>
      </c>
      <c r="AM24">
        <v>52142.689999999944</v>
      </c>
      <c r="AN24">
        <v>5708.7500000000173</v>
      </c>
      <c r="AO24">
        <v>1152</v>
      </c>
    </row>
    <row r="25" spans="1:41" x14ac:dyDescent="0.35">
      <c r="A25">
        <v>2024</v>
      </c>
      <c r="B25">
        <v>2</v>
      </c>
      <c r="C25">
        <v>6</v>
      </c>
      <c r="D25" s="14">
        <v>45328</v>
      </c>
      <c r="E25" t="s">
        <v>41</v>
      </c>
      <c r="F25" t="s">
        <v>42</v>
      </c>
      <c r="G25" t="s">
        <v>43</v>
      </c>
      <c r="H25">
        <v>64276</v>
      </c>
      <c r="I25">
        <v>64343</v>
      </c>
      <c r="J25">
        <v>67</v>
      </c>
      <c r="K25">
        <v>773.28000000000065</v>
      </c>
      <c r="L25">
        <v>766.28000000000054</v>
      </c>
      <c r="M25">
        <v>-7</v>
      </c>
      <c r="N25">
        <v>1792.7500000000009</v>
      </c>
      <c r="O25">
        <v>1792.7500000000009</v>
      </c>
      <c r="P25">
        <v>0</v>
      </c>
      <c r="Q25">
        <v>-7018.4800000000005</v>
      </c>
      <c r="R25">
        <v>-6318.4800000000005</v>
      </c>
      <c r="S25">
        <v>700</v>
      </c>
      <c r="T25">
        <v>-2.37</v>
      </c>
      <c r="U25">
        <v>-2.37</v>
      </c>
      <c r="V25">
        <v>0</v>
      </c>
      <c r="W25">
        <v>-73.989999999999995</v>
      </c>
      <c r="X25">
        <v>-73.989999999999995</v>
      </c>
      <c r="Y25">
        <v>0</v>
      </c>
      <c r="Z25">
        <v>59747.189999999653</v>
      </c>
      <c r="AA25">
        <v>60507.189999999653</v>
      </c>
      <c r="AB25">
        <v>760</v>
      </c>
      <c r="AC25">
        <v>16087.060000000027</v>
      </c>
      <c r="AD25">
        <v>9101.7600000000148</v>
      </c>
      <c r="AE25">
        <v>-6985.3000000000147</v>
      </c>
      <c r="AF25">
        <v>43660.130000000267</v>
      </c>
      <c r="AG25">
        <v>51405.430000000088</v>
      </c>
      <c r="AH25">
        <v>7745.3000000000147</v>
      </c>
      <c r="AI25">
        <v>-4437.4199999999937</v>
      </c>
      <c r="AJ25">
        <v>0</v>
      </c>
      <c r="AK25">
        <v>4437.4199999999937</v>
      </c>
      <c r="AL25">
        <v>48097.550000000127</v>
      </c>
      <c r="AM25">
        <v>51405.430000000088</v>
      </c>
      <c r="AN25">
        <v>3307.8800000000115</v>
      </c>
      <c r="AO25">
        <v>1176</v>
      </c>
    </row>
    <row r="26" spans="1:41" x14ac:dyDescent="0.35">
      <c r="A26">
        <v>2024</v>
      </c>
      <c r="B26">
        <v>2</v>
      </c>
      <c r="C26">
        <v>6</v>
      </c>
      <c r="D26" s="14">
        <v>45329</v>
      </c>
      <c r="E26" t="s">
        <v>41</v>
      </c>
      <c r="F26" t="s">
        <v>42</v>
      </c>
      <c r="G26" t="s">
        <v>43</v>
      </c>
      <c r="H26">
        <v>68001</v>
      </c>
      <c r="I26">
        <v>68157</v>
      </c>
      <c r="J26">
        <v>156</v>
      </c>
      <c r="K26">
        <v>940.00000000000455</v>
      </c>
      <c r="L26">
        <v>940.00000000000455</v>
      </c>
      <c r="M26">
        <v>0</v>
      </c>
      <c r="N26">
        <v>1813.7200000000009</v>
      </c>
      <c r="O26">
        <v>1797.7300000000009</v>
      </c>
      <c r="P26">
        <v>-15.99</v>
      </c>
      <c r="Q26">
        <v>-7669.9800000000005</v>
      </c>
      <c r="R26">
        <v>-7067.9800000000005</v>
      </c>
      <c r="S26">
        <v>602</v>
      </c>
      <c r="T26">
        <v>-3.7800000000000002</v>
      </c>
      <c r="U26">
        <v>-3.7800000000000002</v>
      </c>
      <c r="V26">
        <v>0</v>
      </c>
      <c r="W26">
        <v>-88.990000000000009</v>
      </c>
      <c r="X26">
        <v>-88.990000000000009</v>
      </c>
      <c r="Y26">
        <v>0</v>
      </c>
      <c r="Z26">
        <v>62991.969999999608</v>
      </c>
      <c r="AA26">
        <v>63733.97999999961</v>
      </c>
      <c r="AB26">
        <v>742.01</v>
      </c>
      <c r="AC26">
        <v>17898.779999999959</v>
      </c>
      <c r="AD26">
        <v>8812.3800000000228</v>
      </c>
      <c r="AE26">
        <v>-9086.4000000000142</v>
      </c>
      <c r="AF26">
        <v>45093.190000000337</v>
      </c>
      <c r="AG26">
        <v>54921.599999999991</v>
      </c>
      <c r="AH26">
        <v>9828.4100000000089</v>
      </c>
      <c r="AI26">
        <v>-4350.5000000000036</v>
      </c>
      <c r="AJ26">
        <v>0</v>
      </c>
      <c r="AK26">
        <v>4350.5000000000036</v>
      </c>
      <c r="AL26">
        <v>49443.69000000025</v>
      </c>
      <c r="AM26">
        <v>54921.599999999991</v>
      </c>
      <c r="AN26">
        <v>5477.910000000018</v>
      </c>
      <c r="AO26">
        <v>1240</v>
      </c>
    </row>
    <row r="27" spans="1:41" x14ac:dyDescent="0.35">
      <c r="A27">
        <v>2024</v>
      </c>
      <c r="B27">
        <v>2</v>
      </c>
      <c r="C27">
        <v>6</v>
      </c>
      <c r="D27" s="14">
        <v>45330</v>
      </c>
      <c r="E27" t="s">
        <v>41</v>
      </c>
      <c r="F27" t="s">
        <v>42</v>
      </c>
      <c r="G27" t="s">
        <v>43</v>
      </c>
      <c r="H27">
        <v>63996.75</v>
      </c>
      <c r="I27">
        <v>64107.75</v>
      </c>
      <c r="J27">
        <v>111</v>
      </c>
      <c r="K27">
        <v>968.45000000000437</v>
      </c>
      <c r="L27">
        <v>968.45000000000437</v>
      </c>
      <c r="M27">
        <v>0</v>
      </c>
      <c r="N27">
        <v>1591.8900000000008</v>
      </c>
      <c r="O27">
        <v>1591.8900000000008</v>
      </c>
      <c r="P27">
        <v>0</v>
      </c>
      <c r="Q27">
        <v>-7034.5</v>
      </c>
      <c r="R27">
        <v>-6382.5</v>
      </c>
      <c r="S27">
        <v>652</v>
      </c>
      <c r="T27">
        <v>-12.96</v>
      </c>
      <c r="U27">
        <v>-12.96</v>
      </c>
      <c r="V27">
        <v>0</v>
      </c>
      <c r="W27">
        <v>-89.49</v>
      </c>
      <c r="X27">
        <v>-89.49</v>
      </c>
      <c r="Y27">
        <v>0</v>
      </c>
      <c r="Z27">
        <v>59420.139999999665</v>
      </c>
      <c r="AA27">
        <v>60183.139999999665</v>
      </c>
      <c r="AB27">
        <v>763</v>
      </c>
      <c r="AC27">
        <v>16721.000000000015</v>
      </c>
      <c r="AD27">
        <v>7974.1300000000228</v>
      </c>
      <c r="AE27">
        <v>-8746.8700000000172</v>
      </c>
      <c r="AF27">
        <v>42699.140000000341</v>
      </c>
      <c r="AG27">
        <v>52209.010000000031</v>
      </c>
      <c r="AH27">
        <v>9509.8700000000154</v>
      </c>
      <c r="AI27">
        <v>-3965.1099999999979</v>
      </c>
      <c r="AJ27">
        <v>0</v>
      </c>
      <c r="AK27">
        <v>3965.1099999999979</v>
      </c>
      <c r="AL27">
        <v>46664.250000000211</v>
      </c>
      <c r="AM27">
        <v>52209.010000000031</v>
      </c>
      <c r="AN27">
        <v>5544.7600000000157</v>
      </c>
      <c r="AO27">
        <v>1160</v>
      </c>
    </row>
    <row r="28" spans="1:41" x14ac:dyDescent="0.35">
      <c r="A28">
        <v>2024</v>
      </c>
      <c r="B28">
        <v>2</v>
      </c>
      <c r="C28">
        <v>6</v>
      </c>
      <c r="D28" s="14">
        <v>45331</v>
      </c>
      <c r="E28" t="s">
        <v>41</v>
      </c>
      <c r="F28" t="s">
        <v>42</v>
      </c>
      <c r="G28" t="s">
        <v>43</v>
      </c>
      <c r="H28">
        <v>62356.75</v>
      </c>
      <c r="I28">
        <v>62528.75</v>
      </c>
      <c r="J28">
        <v>172</v>
      </c>
      <c r="K28">
        <v>903.20000000000175</v>
      </c>
      <c r="L28">
        <v>903.20000000000175</v>
      </c>
      <c r="M28">
        <v>0</v>
      </c>
      <c r="N28">
        <v>1463.9500000000007</v>
      </c>
      <c r="O28">
        <v>1463.9500000000007</v>
      </c>
      <c r="P28">
        <v>0</v>
      </c>
      <c r="Q28">
        <v>-7076.1</v>
      </c>
      <c r="R28">
        <v>-6379.1</v>
      </c>
      <c r="S28">
        <v>697</v>
      </c>
      <c r="T28">
        <v>-22.96</v>
      </c>
      <c r="U28">
        <v>-22.96</v>
      </c>
      <c r="V28">
        <v>0</v>
      </c>
      <c r="W28">
        <v>-48</v>
      </c>
      <c r="X28">
        <v>-48</v>
      </c>
      <c r="Y28">
        <v>0</v>
      </c>
      <c r="Z28">
        <v>57576.839999999618</v>
      </c>
      <c r="AA28">
        <v>58445.839999999604</v>
      </c>
      <c r="AB28">
        <v>869</v>
      </c>
      <c r="AC28">
        <v>15487.540000000032</v>
      </c>
      <c r="AD28">
        <v>7561.5400000000182</v>
      </c>
      <c r="AE28">
        <v>-7926.0000000000182</v>
      </c>
      <c r="AF28">
        <v>42089.300000000192</v>
      </c>
      <c r="AG28">
        <v>50884.299999999916</v>
      </c>
      <c r="AH28">
        <v>8795.00000000002</v>
      </c>
      <c r="AI28">
        <v>-3752.9100000000039</v>
      </c>
      <c r="AJ28">
        <v>0</v>
      </c>
      <c r="AK28">
        <v>3752.9100000000039</v>
      </c>
      <c r="AL28">
        <v>45842.210000000152</v>
      </c>
      <c r="AM28">
        <v>50884.299999999916</v>
      </c>
      <c r="AN28">
        <v>5042.0900000000138</v>
      </c>
      <c r="AO28">
        <v>1133</v>
      </c>
    </row>
    <row r="29" spans="1:41" x14ac:dyDescent="0.35">
      <c r="A29">
        <v>2024</v>
      </c>
      <c r="B29">
        <v>2</v>
      </c>
      <c r="C29">
        <v>6</v>
      </c>
      <c r="D29" s="14">
        <v>45332</v>
      </c>
      <c r="E29" t="s">
        <v>41</v>
      </c>
      <c r="F29" t="s">
        <v>42</v>
      </c>
      <c r="G29" t="s">
        <v>43</v>
      </c>
      <c r="H29">
        <v>66173.25</v>
      </c>
      <c r="I29">
        <v>66264.25</v>
      </c>
      <c r="J29">
        <v>91</v>
      </c>
      <c r="K29">
        <v>890.61000000000377</v>
      </c>
      <c r="L29">
        <v>890.61000000000399</v>
      </c>
      <c r="M29">
        <v>0</v>
      </c>
      <c r="N29">
        <v>1842.670000000001</v>
      </c>
      <c r="O29">
        <v>1826.680000000001</v>
      </c>
      <c r="P29">
        <v>-15.99</v>
      </c>
      <c r="Q29">
        <v>-7677</v>
      </c>
      <c r="R29">
        <v>-6898</v>
      </c>
      <c r="S29">
        <v>779</v>
      </c>
      <c r="T29">
        <v>-18.770000000000003</v>
      </c>
      <c r="U29">
        <v>-19.230000000000004</v>
      </c>
      <c r="V29">
        <v>-0.46</v>
      </c>
      <c r="W29">
        <v>-51</v>
      </c>
      <c r="X29">
        <v>-51</v>
      </c>
      <c r="Y29">
        <v>0</v>
      </c>
      <c r="Z29">
        <v>61159.75999999958</v>
      </c>
      <c r="AA29">
        <v>62013.309999999576</v>
      </c>
      <c r="AB29">
        <v>853.55</v>
      </c>
      <c r="AC29">
        <v>16124.940000000024</v>
      </c>
      <c r="AD29">
        <v>8477.5300000000152</v>
      </c>
      <c r="AE29">
        <v>-7647.410000000018</v>
      </c>
      <c r="AF29">
        <v>45034.82000000032</v>
      </c>
      <c r="AG29">
        <v>53535.780000000013</v>
      </c>
      <c r="AH29">
        <v>8500.9600000000155</v>
      </c>
      <c r="AI29">
        <v>-4349.6199999999972</v>
      </c>
      <c r="AJ29">
        <v>0</v>
      </c>
      <c r="AK29">
        <v>4349.6199999999972</v>
      </c>
      <c r="AL29">
        <v>49384.440000000221</v>
      </c>
      <c r="AM29">
        <v>53535.780000000013</v>
      </c>
      <c r="AN29">
        <v>4151.3400000000101</v>
      </c>
      <c r="AO29">
        <v>1208</v>
      </c>
    </row>
    <row r="30" spans="1:41" x14ac:dyDescent="0.35">
      <c r="A30">
        <v>2024</v>
      </c>
      <c r="B30">
        <v>2</v>
      </c>
      <c r="C30">
        <v>6</v>
      </c>
      <c r="D30" s="14">
        <v>45326</v>
      </c>
      <c r="E30" t="s">
        <v>44</v>
      </c>
      <c r="F30" t="s">
        <v>42</v>
      </c>
      <c r="G30" t="s">
        <v>45</v>
      </c>
      <c r="H30">
        <v>109726.5</v>
      </c>
      <c r="I30">
        <v>110012.5</v>
      </c>
      <c r="J30">
        <v>286</v>
      </c>
      <c r="K30">
        <v>1001.1100000000071</v>
      </c>
      <c r="L30">
        <v>1001.1100000000071</v>
      </c>
      <c r="M30">
        <v>0</v>
      </c>
      <c r="N30">
        <v>5230.5799999999554</v>
      </c>
      <c r="O30">
        <v>5230.5799999999554</v>
      </c>
      <c r="P30">
        <v>0</v>
      </c>
      <c r="Q30">
        <v>-20210.5</v>
      </c>
      <c r="R30">
        <v>-19687.5</v>
      </c>
      <c r="S30">
        <v>523</v>
      </c>
      <c r="T30">
        <v>-7.41</v>
      </c>
      <c r="U30">
        <v>-7.41</v>
      </c>
      <c r="V30">
        <v>0</v>
      </c>
      <c r="W30">
        <v>-116.39000000000001</v>
      </c>
      <c r="X30">
        <v>-116.39000000000001</v>
      </c>
      <c r="Y30">
        <v>0</v>
      </c>
      <c r="Z30">
        <v>95623.890000000392</v>
      </c>
      <c r="AA30">
        <v>96432.890000000421</v>
      </c>
      <c r="AB30">
        <v>809.00000000000011</v>
      </c>
      <c r="AC30">
        <v>15116.88999999997</v>
      </c>
      <c r="AD30">
        <v>7942.9200000000255</v>
      </c>
      <c r="AE30">
        <v>-7173.970000000023</v>
      </c>
      <c r="AF30">
        <v>80507.000000000393</v>
      </c>
      <c r="AG30">
        <v>88489.970000000438</v>
      </c>
      <c r="AH30">
        <v>7982.9700000000266</v>
      </c>
      <c r="AI30">
        <v>-4156.0299999999988</v>
      </c>
      <c r="AJ30">
        <v>0</v>
      </c>
      <c r="AK30">
        <v>4156.0299999999988</v>
      </c>
      <c r="AL30">
        <v>84663.030000000028</v>
      </c>
      <c r="AM30">
        <v>88489.970000000438</v>
      </c>
      <c r="AN30">
        <v>3826.9400000000082</v>
      </c>
      <c r="AO30">
        <v>1495</v>
      </c>
    </row>
    <row r="31" spans="1:41" x14ac:dyDescent="0.35">
      <c r="A31">
        <v>2024</v>
      </c>
      <c r="B31">
        <v>2</v>
      </c>
      <c r="C31">
        <v>6</v>
      </c>
      <c r="D31" s="14">
        <v>45327</v>
      </c>
      <c r="E31" t="s">
        <v>44</v>
      </c>
      <c r="F31" t="s">
        <v>42</v>
      </c>
      <c r="G31" t="s">
        <v>45</v>
      </c>
      <c r="H31">
        <v>94547</v>
      </c>
      <c r="I31">
        <v>94831</v>
      </c>
      <c r="J31">
        <v>284</v>
      </c>
      <c r="K31">
        <v>709.07000000000141</v>
      </c>
      <c r="L31">
        <v>709.07000000000141</v>
      </c>
      <c r="M31">
        <v>0</v>
      </c>
      <c r="N31">
        <v>4092.2899999999713</v>
      </c>
      <c r="O31">
        <v>4076.2999999999715</v>
      </c>
      <c r="P31">
        <v>-15.99</v>
      </c>
      <c r="Q31">
        <v>-18317.5</v>
      </c>
      <c r="R31">
        <v>-17982.5</v>
      </c>
      <c r="S31">
        <v>335</v>
      </c>
      <c r="T31">
        <v>-8.9600000000000009</v>
      </c>
      <c r="U31">
        <v>-8.9600000000000009</v>
      </c>
      <c r="V31">
        <v>0</v>
      </c>
      <c r="W31">
        <v>-39.700000000000003</v>
      </c>
      <c r="X31">
        <v>-39.700000000000003</v>
      </c>
      <c r="Y31">
        <v>0</v>
      </c>
      <c r="Z31">
        <v>80982.200000000012</v>
      </c>
      <c r="AA31">
        <v>81585.210000000036</v>
      </c>
      <c r="AB31">
        <v>603.01</v>
      </c>
      <c r="AC31">
        <v>14158.439999999977</v>
      </c>
      <c r="AD31">
        <v>6251.75000000002</v>
      </c>
      <c r="AE31">
        <v>-7906.6900000000214</v>
      </c>
      <c r="AF31">
        <v>66823.760000000286</v>
      </c>
      <c r="AG31">
        <v>75333.460000000094</v>
      </c>
      <c r="AH31">
        <v>8509.7000000000189</v>
      </c>
      <c r="AI31">
        <v>-3329.7700000000032</v>
      </c>
      <c r="AJ31">
        <v>0</v>
      </c>
      <c r="AK31">
        <v>3329.7700000000032</v>
      </c>
      <c r="AL31">
        <v>70153.530000000086</v>
      </c>
      <c r="AM31">
        <v>75333.460000000094</v>
      </c>
      <c r="AN31">
        <v>5179.9300000000121</v>
      </c>
      <c r="AO31">
        <v>1269</v>
      </c>
    </row>
    <row r="32" spans="1:41" x14ac:dyDescent="0.35">
      <c r="A32">
        <v>2024</v>
      </c>
      <c r="B32">
        <v>2</v>
      </c>
      <c r="C32">
        <v>6</v>
      </c>
      <c r="D32" s="14">
        <v>45328</v>
      </c>
      <c r="E32" t="s">
        <v>44</v>
      </c>
      <c r="F32" t="s">
        <v>42</v>
      </c>
      <c r="G32" t="s">
        <v>45</v>
      </c>
      <c r="H32">
        <v>93356.5</v>
      </c>
      <c r="I32">
        <v>93599.5</v>
      </c>
      <c r="J32">
        <v>243</v>
      </c>
      <c r="K32">
        <v>856.71000000000379</v>
      </c>
      <c r="L32">
        <v>856.71000000000379</v>
      </c>
      <c r="M32">
        <v>0</v>
      </c>
      <c r="N32">
        <v>3551.6899999999791</v>
      </c>
      <c r="O32">
        <v>3535.6999999999794</v>
      </c>
      <c r="P32">
        <v>-15.99</v>
      </c>
      <c r="Q32">
        <v>-17119.5</v>
      </c>
      <c r="R32">
        <v>-16792.5</v>
      </c>
      <c r="S32">
        <v>327</v>
      </c>
      <c r="T32">
        <v>-3.96</v>
      </c>
      <c r="U32">
        <v>-3.96</v>
      </c>
      <c r="V32">
        <v>0</v>
      </c>
      <c r="W32">
        <v>-66.490000000000009</v>
      </c>
      <c r="X32">
        <v>-58.49</v>
      </c>
      <c r="Y32">
        <v>8</v>
      </c>
      <c r="Z32">
        <v>80574.95000000007</v>
      </c>
      <c r="AA32">
        <v>81136.960000000094</v>
      </c>
      <c r="AB32">
        <v>562.01</v>
      </c>
      <c r="AC32">
        <v>14117.159999999996</v>
      </c>
      <c r="AD32">
        <v>7950.560000000024</v>
      </c>
      <c r="AE32">
        <v>-6166.6000000000176</v>
      </c>
      <c r="AF32">
        <v>66457.790000000357</v>
      </c>
      <c r="AG32">
        <v>73186.400000000154</v>
      </c>
      <c r="AH32">
        <v>6728.6100000000188</v>
      </c>
      <c r="AI32">
        <v>-4078.1100000000033</v>
      </c>
      <c r="AJ32">
        <v>0</v>
      </c>
      <c r="AK32">
        <v>4078.1100000000033</v>
      </c>
      <c r="AL32">
        <v>70535.900000000009</v>
      </c>
      <c r="AM32">
        <v>73186.400000000154</v>
      </c>
      <c r="AN32">
        <v>2650.5000000000041</v>
      </c>
      <c r="AO32">
        <v>1270</v>
      </c>
    </row>
    <row r="33" spans="1:41" x14ac:dyDescent="0.35">
      <c r="A33">
        <v>2024</v>
      </c>
      <c r="B33">
        <v>2</v>
      </c>
      <c r="C33">
        <v>6</v>
      </c>
      <c r="D33" s="14">
        <v>45329</v>
      </c>
      <c r="E33" t="s">
        <v>44</v>
      </c>
      <c r="F33" t="s">
        <v>42</v>
      </c>
      <c r="G33" t="s">
        <v>45</v>
      </c>
      <c r="H33">
        <v>104361.75</v>
      </c>
      <c r="I33">
        <v>104533.75</v>
      </c>
      <c r="J33">
        <v>172</v>
      </c>
      <c r="K33">
        <v>937.41000000000474</v>
      </c>
      <c r="L33">
        <v>937.41000000000474</v>
      </c>
      <c r="M33">
        <v>0</v>
      </c>
      <c r="N33">
        <v>4466.0599999999658</v>
      </c>
      <c r="O33">
        <v>4466.0599999999658</v>
      </c>
      <c r="P33">
        <v>0</v>
      </c>
      <c r="Q33">
        <v>-18629</v>
      </c>
      <c r="R33">
        <v>-18306</v>
      </c>
      <c r="S33">
        <v>323</v>
      </c>
      <c r="T33">
        <v>-6.4200000000000008</v>
      </c>
      <c r="U33">
        <v>-6.4200000000000008</v>
      </c>
      <c r="V33">
        <v>0</v>
      </c>
      <c r="W33">
        <v>-78.599999999999994</v>
      </c>
      <c r="X33">
        <v>-78.599999999999994</v>
      </c>
      <c r="Y33">
        <v>0</v>
      </c>
      <c r="Z33">
        <v>91051.200000000303</v>
      </c>
      <c r="AA33">
        <v>91546.200000000303</v>
      </c>
      <c r="AB33">
        <v>495</v>
      </c>
      <c r="AC33">
        <v>16528.539999999961</v>
      </c>
      <c r="AD33">
        <v>8680.1500000000269</v>
      </c>
      <c r="AE33">
        <v>-7848.390000000024</v>
      </c>
      <c r="AF33">
        <v>74522.660000000295</v>
      </c>
      <c r="AG33">
        <v>82866.050000000105</v>
      </c>
      <c r="AH33">
        <v>8343.3900000000231</v>
      </c>
      <c r="AI33">
        <v>-4549.2700000000032</v>
      </c>
      <c r="AJ33">
        <v>0</v>
      </c>
      <c r="AK33">
        <v>4549.2700000000032</v>
      </c>
      <c r="AL33">
        <v>79071.930000000095</v>
      </c>
      <c r="AM33">
        <v>82866.050000000105</v>
      </c>
      <c r="AN33">
        <v>3794.1200000000117</v>
      </c>
      <c r="AO33">
        <v>1425</v>
      </c>
    </row>
    <row r="34" spans="1:41" x14ac:dyDescent="0.35">
      <c r="A34">
        <v>2024</v>
      </c>
      <c r="B34">
        <v>2</v>
      </c>
      <c r="C34">
        <v>6</v>
      </c>
      <c r="D34" s="14">
        <v>45330</v>
      </c>
      <c r="E34" t="s">
        <v>44</v>
      </c>
      <c r="F34" t="s">
        <v>42</v>
      </c>
      <c r="G34" t="s">
        <v>45</v>
      </c>
      <c r="H34">
        <v>107235</v>
      </c>
      <c r="I34">
        <v>107595</v>
      </c>
      <c r="J34">
        <v>360</v>
      </c>
      <c r="K34">
        <v>922.31000000000529</v>
      </c>
      <c r="L34">
        <v>922.31000000000529</v>
      </c>
      <c r="M34">
        <v>0</v>
      </c>
      <c r="N34">
        <v>4917.7899999999599</v>
      </c>
      <c r="O34">
        <v>4917.7899999999599</v>
      </c>
      <c r="P34">
        <v>0</v>
      </c>
      <c r="Q34">
        <v>-18625.5</v>
      </c>
      <c r="R34">
        <v>-18233.5</v>
      </c>
      <c r="S34">
        <v>392</v>
      </c>
      <c r="T34">
        <v>-6.16</v>
      </c>
      <c r="U34">
        <v>-6.16</v>
      </c>
      <c r="V34">
        <v>0</v>
      </c>
      <c r="W34">
        <v>-34.5</v>
      </c>
      <c r="X34">
        <v>-34.5</v>
      </c>
      <c r="Y34">
        <v>0</v>
      </c>
      <c r="Z34">
        <v>94408.940000000395</v>
      </c>
      <c r="AA34">
        <v>95160.94000000041</v>
      </c>
      <c r="AB34">
        <v>752</v>
      </c>
      <c r="AC34">
        <v>16727.419999999944</v>
      </c>
      <c r="AD34">
        <v>8055.7300000000278</v>
      </c>
      <c r="AE34">
        <v>-8671.6900000000187</v>
      </c>
      <c r="AF34">
        <v>77681.520000000281</v>
      </c>
      <c r="AG34">
        <v>87105.210000000341</v>
      </c>
      <c r="AH34">
        <v>9423.6900000000151</v>
      </c>
      <c r="AI34">
        <v>-4236.6400000000049</v>
      </c>
      <c r="AJ34">
        <v>0</v>
      </c>
      <c r="AK34">
        <v>4236.6400000000049</v>
      </c>
      <c r="AL34">
        <v>81918.160000000062</v>
      </c>
      <c r="AM34">
        <v>87105.210000000341</v>
      </c>
      <c r="AN34">
        <v>5187.0500000000156</v>
      </c>
      <c r="AO34">
        <v>1468</v>
      </c>
    </row>
    <row r="35" spans="1:41" x14ac:dyDescent="0.35">
      <c r="A35">
        <v>2024</v>
      </c>
      <c r="B35">
        <v>2</v>
      </c>
      <c r="C35">
        <v>6</v>
      </c>
      <c r="D35" s="14">
        <v>45331</v>
      </c>
      <c r="E35" t="s">
        <v>44</v>
      </c>
      <c r="F35" t="s">
        <v>42</v>
      </c>
      <c r="G35" t="s">
        <v>45</v>
      </c>
      <c r="H35">
        <v>100427.75</v>
      </c>
      <c r="I35">
        <v>100759.75</v>
      </c>
      <c r="J35">
        <v>332</v>
      </c>
      <c r="K35">
        <v>816.09000000000071</v>
      </c>
      <c r="L35">
        <v>816.09000000000071</v>
      </c>
      <c r="M35">
        <v>0</v>
      </c>
      <c r="N35">
        <v>4532.0899999999665</v>
      </c>
      <c r="O35">
        <v>4513.0999999999667</v>
      </c>
      <c r="P35">
        <v>-18.990000000000002</v>
      </c>
      <c r="Q35">
        <v>-17918</v>
      </c>
      <c r="R35">
        <v>-17638.5</v>
      </c>
      <c r="S35">
        <v>279.5</v>
      </c>
      <c r="T35">
        <v>-9.41</v>
      </c>
      <c r="U35">
        <v>-9.41</v>
      </c>
      <c r="V35">
        <v>0</v>
      </c>
      <c r="W35">
        <v>-56.4</v>
      </c>
      <c r="X35">
        <v>-56.4</v>
      </c>
      <c r="Y35">
        <v>0</v>
      </c>
      <c r="Z35">
        <v>87792.120000000141</v>
      </c>
      <c r="AA35">
        <v>88384.630000000136</v>
      </c>
      <c r="AB35">
        <v>592.51</v>
      </c>
      <c r="AC35">
        <v>14426.009999999986</v>
      </c>
      <c r="AD35">
        <v>6398.0900000000174</v>
      </c>
      <c r="AE35">
        <v>-8027.9200000000264</v>
      </c>
      <c r="AF35">
        <v>73366.110000000466</v>
      </c>
      <c r="AG35">
        <v>81986.540000000212</v>
      </c>
      <c r="AH35">
        <v>8620.4300000000239</v>
      </c>
      <c r="AI35">
        <v>-3385.9700000000025</v>
      </c>
      <c r="AJ35">
        <v>0</v>
      </c>
      <c r="AK35">
        <v>3385.9700000000025</v>
      </c>
      <c r="AL35">
        <v>76752.080000000351</v>
      </c>
      <c r="AM35">
        <v>81986.540000000212</v>
      </c>
      <c r="AN35">
        <v>5234.4600000000228</v>
      </c>
      <c r="AO35">
        <v>1381</v>
      </c>
    </row>
    <row r="36" spans="1:41" x14ac:dyDescent="0.35">
      <c r="A36">
        <v>2024</v>
      </c>
      <c r="B36">
        <v>2</v>
      </c>
      <c r="C36">
        <v>6</v>
      </c>
      <c r="D36" s="14">
        <v>45332</v>
      </c>
      <c r="E36" t="s">
        <v>44</v>
      </c>
      <c r="F36" t="s">
        <v>42</v>
      </c>
      <c r="G36" t="s">
        <v>45</v>
      </c>
      <c r="H36">
        <v>101669.25</v>
      </c>
      <c r="I36">
        <v>101956.25</v>
      </c>
      <c r="J36">
        <v>287</v>
      </c>
      <c r="K36">
        <v>918.89000000000374</v>
      </c>
      <c r="L36">
        <v>918.89000000000374</v>
      </c>
      <c r="M36">
        <v>0</v>
      </c>
      <c r="N36">
        <v>4127.2699999999722</v>
      </c>
      <c r="O36">
        <v>4127.2699999999722</v>
      </c>
      <c r="P36">
        <v>0</v>
      </c>
      <c r="Q36">
        <v>-18361.650000000001</v>
      </c>
      <c r="R36">
        <v>-17998.650000000001</v>
      </c>
      <c r="S36">
        <v>363</v>
      </c>
      <c r="T36">
        <v>-1.17</v>
      </c>
      <c r="U36">
        <v>-1.17</v>
      </c>
      <c r="V36">
        <v>0</v>
      </c>
      <c r="W36">
        <v>-30</v>
      </c>
      <c r="X36">
        <v>-30</v>
      </c>
      <c r="Y36">
        <v>0</v>
      </c>
      <c r="Z36">
        <v>88322.590000000171</v>
      </c>
      <c r="AA36">
        <v>88972.5900000002</v>
      </c>
      <c r="AB36">
        <v>650</v>
      </c>
      <c r="AC36">
        <v>13702.919999999987</v>
      </c>
      <c r="AD36">
        <v>7342.260000000023</v>
      </c>
      <c r="AE36">
        <v>-6360.6600000000162</v>
      </c>
      <c r="AF36">
        <v>74619.670000000217</v>
      </c>
      <c r="AG36">
        <v>81630.330000000191</v>
      </c>
      <c r="AH36">
        <v>7010.660000000019</v>
      </c>
      <c r="AI36">
        <v>-3941.2099999999991</v>
      </c>
      <c r="AJ36">
        <v>0</v>
      </c>
      <c r="AK36">
        <v>3941.2099999999991</v>
      </c>
      <c r="AL36">
        <v>78560.880000000339</v>
      </c>
      <c r="AM36">
        <v>81630.330000000191</v>
      </c>
      <c r="AN36">
        <v>3069.4500000000112</v>
      </c>
      <c r="AO36">
        <v>1375</v>
      </c>
    </row>
    <row r="37" spans="1:41" x14ac:dyDescent="0.35">
      <c r="A37">
        <v>2024</v>
      </c>
      <c r="B37">
        <v>2</v>
      </c>
      <c r="C37">
        <v>6</v>
      </c>
      <c r="D37" s="14">
        <v>45326</v>
      </c>
      <c r="E37" t="s">
        <v>44</v>
      </c>
      <c r="F37" t="s">
        <v>42</v>
      </c>
      <c r="G37" t="s">
        <v>46</v>
      </c>
      <c r="H37">
        <v>45052.270000000048</v>
      </c>
      <c r="I37">
        <v>45122.270000000048</v>
      </c>
      <c r="J37">
        <v>70</v>
      </c>
      <c r="K37">
        <v>297.18</v>
      </c>
      <c r="L37">
        <v>297.18</v>
      </c>
      <c r="M37">
        <v>0</v>
      </c>
      <c r="N37">
        <v>1238.2200000000005</v>
      </c>
      <c r="O37">
        <v>1238.2200000000005</v>
      </c>
      <c r="P37">
        <v>0</v>
      </c>
      <c r="Q37">
        <v>-16705.930000000037</v>
      </c>
      <c r="R37">
        <v>-16204.930000000035</v>
      </c>
      <c r="S37">
        <v>501</v>
      </c>
      <c r="T37">
        <v>0</v>
      </c>
      <c r="U37">
        <v>0</v>
      </c>
      <c r="V37">
        <v>0</v>
      </c>
      <c r="W37">
        <v>-25.990000000000002</v>
      </c>
      <c r="X37">
        <v>-25.990000000000002</v>
      </c>
      <c r="Y37">
        <v>0</v>
      </c>
      <c r="Z37">
        <v>29855.750000000022</v>
      </c>
      <c r="AA37">
        <v>30426.750000000022</v>
      </c>
      <c r="AB37">
        <v>571</v>
      </c>
      <c r="AC37">
        <v>7014.5100000000202</v>
      </c>
      <c r="AD37">
        <v>2768.2000000000016</v>
      </c>
      <c r="AE37">
        <v>-4246.3100000000095</v>
      </c>
      <c r="AF37">
        <v>22841.240000000049</v>
      </c>
      <c r="AG37">
        <v>27658.550000000028</v>
      </c>
      <c r="AH37">
        <v>4817.3100000000104</v>
      </c>
      <c r="AI37">
        <v>-1365.8899999999992</v>
      </c>
      <c r="AJ37">
        <v>0</v>
      </c>
      <c r="AK37">
        <v>1365.8899999999992</v>
      </c>
      <c r="AL37">
        <v>24207.130000000052</v>
      </c>
      <c r="AM37">
        <v>27658.550000000028</v>
      </c>
      <c r="AN37">
        <v>3451.4200000000069</v>
      </c>
      <c r="AO37">
        <v>556</v>
      </c>
    </row>
    <row r="38" spans="1:41" x14ac:dyDescent="0.35">
      <c r="A38">
        <v>2024</v>
      </c>
      <c r="B38">
        <v>2</v>
      </c>
      <c r="C38">
        <v>6</v>
      </c>
      <c r="D38" s="14">
        <v>45327</v>
      </c>
      <c r="E38" t="s">
        <v>44</v>
      </c>
      <c r="F38" t="s">
        <v>42</v>
      </c>
      <c r="G38" t="s">
        <v>46</v>
      </c>
      <c r="H38">
        <v>33084.080000000031</v>
      </c>
      <c r="I38">
        <v>33186.080000000031</v>
      </c>
      <c r="J38">
        <v>102</v>
      </c>
      <c r="K38">
        <v>211.70000000000005</v>
      </c>
      <c r="L38">
        <v>211.70000000000005</v>
      </c>
      <c r="M38">
        <v>0</v>
      </c>
      <c r="N38">
        <v>1131.2900000000004</v>
      </c>
      <c r="O38">
        <v>1115.3000000000004</v>
      </c>
      <c r="P38">
        <v>-15.99</v>
      </c>
      <c r="Q38">
        <v>-12376.170000000018</v>
      </c>
      <c r="R38">
        <v>-12060.170000000018</v>
      </c>
      <c r="S38">
        <v>316</v>
      </c>
      <c r="T38">
        <v>0</v>
      </c>
      <c r="U38">
        <v>0</v>
      </c>
      <c r="V38">
        <v>0</v>
      </c>
      <c r="W38">
        <v>-15.99</v>
      </c>
      <c r="X38">
        <v>-15.99</v>
      </c>
      <c r="Y38">
        <v>0</v>
      </c>
      <c r="Z38">
        <v>22034.910000000003</v>
      </c>
      <c r="AA38">
        <v>22436.920000000006</v>
      </c>
      <c r="AB38">
        <v>402.01</v>
      </c>
      <c r="AC38">
        <v>4527.8700000000063</v>
      </c>
      <c r="AD38">
        <v>1839.4999999999998</v>
      </c>
      <c r="AE38">
        <v>-2688.3700000000017</v>
      </c>
      <c r="AF38">
        <v>17507.040000000012</v>
      </c>
      <c r="AG38">
        <v>20597.420000000002</v>
      </c>
      <c r="AH38">
        <v>3090.3800000000042</v>
      </c>
      <c r="AI38">
        <v>-958.71</v>
      </c>
      <c r="AJ38">
        <v>0</v>
      </c>
      <c r="AK38">
        <v>958.71</v>
      </c>
      <c r="AL38">
        <v>18465.750000000025</v>
      </c>
      <c r="AM38">
        <v>20597.420000000002</v>
      </c>
      <c r="AN38">
        <v>2131.6699999999992</v>
      </c>
      <c r="AO38">
        <v>405</v>
      </c>
    </row>
    <row r="39" spans="1:41" x14ac:dyDescent="0.35">
      <c r="A39">
        <v>2024</v>
      </c>
      <c r="B39">
        <v>2</v>
      </c>
      <c r="C39">
        <v>6</v>
      </c>
      <c r="D39" s="14">
        <v>45328</v>
      </c>
      <c r="E39" t="s">
        <v>44</v>
      </c>
      <c r="F39" t="s">
        <v>42</v>
      </c>
      <c r="G39" t="s">
        <v>46</v>
      </c>
      <c r="H39">
        <v>38974.870000000039</v>
      </c>
      <c r="I39">
        <v>39023.870000000039</v>
      </c>
      <c r="J39">
        <v>49</v>
      </c>
      <c r="K39">
        <v>327.70999999999975</v>
      </c>
      <c r="L39">
        <v>327.70999999999975</v>
      </c>
      <c r="M39">
        <v>0</v>
      </c>
      <c r="N39">
        <v>1007.3600000000005</v>
      </c>
      <c r="O39">
        <v>988.37000000000046</v>
      </c>
      <c r="P39">
        <v>-18.990000000000002</v>
      </c>
      <c r="Q39">
        <v>-13844.530000000024</v>
      </c>
      <c r="R39">
        <v>-13640.530000000024</v>
      </c>
      <c r="S39">
        <v>204</v>
      </c>
      <c r="T39">
        <v>-5</v>
      </c>
      <c r="U39">
        <v>-5</v>
      </c>
      <c r="V39">
        <v>0</v>
      </c>
      <c r="W39">
        <v>-5</v>
      </c>
      <c r="X39">
        <v>-5</v>
      </c>
      <c r="Y39">
        <v>0</v>
      </c>
      <c r="Z39">
        <v>26455.409999999989</v>
      </c>
      <c r="AA39">
        <v>26689.419999999987</v>
      </c>
      <c r="AB39">
        <v>234.01</v>
      </c>
      <c r="AC39">
        <v>5617.5000000000146</v>
      </c>
      <c r="AD39">
        <v>3807.6700000000083</v>
      </c>
      <c r="AE39">
        <v>-1809.8299999999992</v>
      </c>
      <c r="AF39">
        <v>20837.910000000025</v>
      </c>
      <c r="AG39">
        <v>22881.750000000011</v>
      </c>
      <c r="AH39">
        <v>2043.8399999999988</v>
      </c>
      <c r="AI39">
        <v>-1180.6800000000005</v>
      </c>
      <c r="AJ39">
        <v>0</v>
      </c>
      <c r="AK39">
        <v>1180.6800000000005</v>
      </c>
      <c r="AL39">
        <v>22018.590000000047</v>
      </c>
      <c r="AM39">
        <v>22881.750000000011</v>
      </c>
      <c r="AN39">
        <v>863.16</v>
      </c>
      <c r="AO39">
        <v>497</v>
      </c>
    </row>
    <row r="40" spans="1:41" x14ac:dyDescent="0.35">
      <c r="A40">
        <v>2024</v>
      </c>
      <c r="B40">
        <v>2</v>
      </c>
      <c r="C40">
        <v>6</v>
      </c>
      <c r="D40" s="14">
        <v>45329</v>
      </c>
      <c r="E40" t="s">
        <v>44</v>
      </c>
      <c r="F40" t="s">
        <v>42</v>
      </c>
      <c r="G40" t="s">
        <v>46</v>
      </c>
      <c r="H40">
        <v>48118.790000000059</v>
      </c>
      <c r="I40">
        <v>48148.790000000059</v>
      </c>
      <c r="J40">
        <v>30</v>
      </c>
      <c r="K40">
        <v>256.73000000000036</v>
      </c>
      <c r="L40">
        <v>256.73000000000036</v>
      </c>
      <c r="M40">
        <v>0</v>
      </c>
      <c r="N40">
        <v>1231.2100000000005</v>
      </c>
      <c r="O40">
        <v>1215.2200000000005</v>
      </c>
      <c r="P40">
        <v>-15.99</v>
      </c>
      <c r="Q40">
        <v>-17148.710000000039</v>
      </c>
      <c r="R40">
        <v>-16693.710000000036</v>
      </c>
      <c r="S40">
        <v>455</v>
      </c>
      <c r="T40">
        <v>0</v>
      </c>
      <c r="U40">
        <v>0</v>
      </c>
      <c r="V40">
        <v>0</v>
      </c>
      <c r="W40">
        <v>-5</v>
      </c>
      <c r="X40">
        <v>-5</v>
      </c>
      <c r="Y40">
        <v>0</v>
      </c>
      <c r="Z40">
        <v>32453.020000000008</v>
      </c>
      <c r="AA40">
        <v>32922.030000000006</v>
      </c>
      <c r="AB40">
        <v>469.01</v>
      </c>
      <c r="AC40">
        <v>7467.6600000000208</v>
      </c>
      <c r="AD40">
        <v>3699.2900000000045</v>
      </c>
      <c r="AE40">
        <v>-3768.370000000004</v>
      </c>
      <c r="AF40">
        <v>24985.360000000062</v>
      </c>
      <c r="AG40">
        <v>29222.740000000023</v>
      </c>
      <c r="AH40">
        <v>4237.3800000000056</v>
      </c>
      <c r="AI40">
        <v>-1234.4699999999993</v>
      </c>
      <c r="AJ40">
        <v>0</v>
      </c>
      <c r="AK40">
        <v>1234.4699999999993</v>
      </c>
      <c r="AL40">
        <v>26219.830000000042</v>
      </c>
      <c r="AM40">
        <v>29222.740000000023</v>
      </c>
      <c r="AN40">
        <v>3002.9100000000035</v>
      </c>
      <c r="AO40">
        <v>603</v>
      </c>
    </row>
    <row r="41" spans="1:41" x14ac:dyDescent="0.35">
      <c r="A41">
        <v>2024</v>
      </c>
      <c r="B41">
        <v>2</v>
      </c>
      <c r="C41">
        <v>6</v>
      </c>
      <c r="D41" s="14">
        <v>45330</v>
      </c>
      <c r="E41" t="s">
        <v>44</v>
      </c>
      <c r="F41" t="s">
        <v>42</v>
      </c>
      <c r="G41" t="s">
        <v>46</v>
      </c>
      <c r="H41">
        <v>48862.320000000058</v>
      </c>
      <c r="I41">
        <v>49079.320000000058</v>
      </c>
      <c r="J41">
        <v>217</v>
      </c>
      <c r="K41">
        <v>287.13999999999976</v>
      </c>
      <c r="L41">
        <v>287.13999999999976</v>
      </c>
      <c r="M41">
        <v>0</v>
      </c>
      <c r="N41">
        <v>1178.2500000000005</v>
      </c>
      <c r="O41">
        <v>1140.2700000000004</v>
      </c>
      <c r="P41">
        <v>-37.980000000000004</v>
      </c>
      <c r="Q41">
        <v>-17516.420000000035</v>
      </c>
      <c r="R41">
        <v>-17225.420000000035</v>
      </c>
      <c r="S41">
        <v>291</v>
      </c>
      <c r="T41">
        <v>-0.48</v>
      </c>
      <c r="U41">
        <v>-0.48</v>
      </c>
      <c r="V41">
        <v>0</v>
      </c>
      <c r="W41">
        <v>0</v>
      </c>
      <c r="X41">
        <v>0</v>
      </c>
      <c r="Y41">
        <v>0</v>
      </c>
      <c r="Z41">
        <v>32810.810000000012</v>
      </c>
      <c r="AA41">
        <v>33280.83</v>
      </c>
      <c r="AB41">
        <v>470.02</v>
      </c>
      <c r="AC41">
        <v>7029.6400000000203</v>
      </c>
      <c r="AD41">
        <v>3391.9400000000041</v>
      </c>
      <c r="AE41">
        <v>-3637.7000000000053</v>
      </c>
      <c r="AF41">
        <v>25781.170000000071</v>
      </c>
      <c r="AG41">
        <v>29888.890000000054</v>
      </c>
      <c r="AH41">
        <v>4107.7200000000066</v>
      </c>
      <c r="AI41">
        <v>-886.56999999999982</v>
      </c>
      <c r="AJ41">
        <v>0</v>
      </c>
      <c r="AK41">
        <v>886.56999999999982</v>
      </c>
      <c r="AL41">
        <v>26667.740000000053</v>
      </c>
      <c r="AM41">
        <v>29888.890000000054</v>
      </c>
      <c r="AN41">
        <v>3221.1500000000083</v>
      </c>
      <c r="AO41">
        <v>614</v>
      </c>
    </row>
    <row r="42" spans="1:41" x14ac:dyDescent="0.35">
      <c r="A42">
        <v>2024</v>
      </c>
      <c r="B42">
        <v>2</v>
      </c>
      <c r="C42">
        <v>6</v>
      </c>
      <c r="D42" s="14">
        <v>45331</v>
      </c>
      <c r="E42" t="s">
        <v>44</v>
      </c>
      <c r="F42" t="s">
        <v>42</v>
      </c>
      <c r="G42" t="s">
        <v>46</v>
      </c>
      <c r="H42">
        <v>47545.380000000048</v>
      </c>
      <c r="I42">
        <v>47594.380000000056</v>
      </c>
      <c r="J42">
        <v>49</v>
      </c>
      <c r="K42">
        <v>366.7699999999997</v>
      </c>
      <c r="L42">
        <v>366.7699999999997</v>
      </c>
      <c r="M42">
        <v>0</v>
      </c>
      <c r="N42">
        <v>1047.3500000000004</v>
      </c>
      <c r="O42">
        <v>1047.3500000000004</v>
      </c>
      <c r="P42">
        <v>0</v>
      </c>
      <c r="Q42">
        <v>-16970.560000000034</v>
      </c>
      <c r="R42">
        <v>-16634.760000000035</v>
      </c>
      <c r="S42">
        <v>335.8</v>
      </c>
      <c r="T42">
        <v>-5</v>
      </c>
      <c r="U42">
        <v>-5</v>
      </c>
      <c r="V42">
        <v>0</v>
      </c>
      <c r="W42">
        <v>-23.990000000000002</v>
      </c>
      <c r="X42">
        <v>-23.990000000000002</v>
      </c>
      <c r="Y42">
        <v>0</v>
      </c>
      <c r="Z42">
        <v>31959.949999999983</v>
      </c>
      <c r="AA42">
        <v>32344.749999999982</v>
      </c>
      <c r="AB42">
        <v>384.8</v>
      </c>
      <c r="AC42">
        <v>6994.7700000000195</v>
      </c>
      <c r="AD42">
        <v>3679.1500000000033</v>
      </c>
      <c r="AE42">
        <v>-3315.6200000000031</v>
      </c>
      <c r="AF42">
        <v>24965.18000000004</v>
      </c>
      <c r="AG42">
        <v>28665.600000000006</v>
      </c>
      <c r="AH42">
        <v>3700.4200000000042</v>
      </c>
      <c r="AI42">
        <v>-1165.3600000000008</v>
      </c>
      <c r="AJ42">
        <v>0</v>
      </c>
      <c r="AK42">
        <v>1165.3600000000008</v>
      </c>
      <c r="AL42">
        <v>26130.540000000074</v>
      </c>
      <c r="AM42">
        <v>28665.600000000006</v>
      </c>
      <c r="AN42">
        <v>2535.0600000000045</v>
      </c>
      <c r="AO42">
        <v>597</v>
      </c>
    </row>
    <row r="43" spans="1:41" x14ac:dyDescent="0.35">
      <c r="A43">
        <v>2024</v>
      </c>
      <c r="B43">
        <v>2</v>
      </c>
      <c r="C43">
        <v>6</v>
      </c>
      <c r="D43" s="14">
        <v>45332</v>
      </c>
      <c r="E43" t="s">
        <v>44</v>
      </c>
      <c r="F43" t="s">
        <v>42</v>
      </c>
      <c r="G43" t="s">
        <v>46</v>
      </c>
      <c r="H43">
        <v>48525.480000000054</v>
      </c>
      <c r="I43">
        <v>48594.480000000047</v>
      </c>
      <c r="J43">
        <v>69</v>
      </c>
      <c r="K43">
        <v>386.53999999999922</v>
      </c>
      <c r="L43">
        <v>386.53999999999922</v>
      </c>
      <c r="M43">
        <v>0</v>
      </c>
      <c r="N43">
        <v>1351.1500000000005</v>
      </c>
      <c r="O43">
        <v>1351.1500000000005</v>
      </c>
      <c r="P43">
        <v>0</v>
      </c>
      <c r="Q43">
        <v>-17253.850000000028</v>
      </c>
      <c r="R43">
        <v>-17055.850000000028</v>
      </c>
      <c r="S43">
        <v>198</v>
      </c>
      <c r="T43">
        <v>-0.94000000000000006</v>
      </c>
      <c r="U43">
        <v>-0.94000000000000006</v>
      </c>
      <c r="V43">
        <v>0</v>
      </c>
      <c r="W43">
        <v>-23.990000000000002</v>
      </c>
      <c r="X43">
        <v>-23.990000000000002</v>
      </c>
      <c r="Y43">
        <v>0</v>
      </c>
      <c r="Z43">
        <v>32984.389999999978</v>
      </c>
      <c r="AA43">
        <v>33251.389999999978</v>
      </c>
      <c r="AB43">
        <v>267</v>
      </c>
      <c r="AC43">
        <v>6919.960000000021</v>
      </c>
      <c r="AD43">
        <v>3286.3600000000042</v>
      </c>
      <c r="AE43">
        <v>-3633.6000000000058</v>
      </c>
      <c r="AF43">
        <v>26064.430000000055</v>
      </c>
      <c r="AG43">
        <v>29965.030000000046</v>
      </c>
      <c r="AH43">
        <v>3900.6000000000072</v>
      </c>
      <c r="AI43">
        <v>-1174.0799999999997</v>
      </c>
      <c r="AJ43">
        <v>0</v>
      </c>
      <c r="AK43">
        <v>1174.0799999999997</v>
      </c>
      <c r="AL43">
        <v>27238.510000000038</v>
      </c>
      <c r="AM43">
        <v>29965.030000000046</v>
      </c>
      <c r="AN43">
        <v>2726.5200000000041</v>
      </c>
      <c r="AO43">
        <v>604</v>
      </c>
    </row>
    <row r="44" spans="1:41" x14ac:dyDescent="0.35">
      <c r="A44">
        <v>2024</v>
      </c>
      <c r="B44">
        <v>2</v>
      </c>
      <c r="C44">
        <v>6</v>
      </c>
      <c r="D44" s="14">
        <v>45326</v>
      </c>
      <c r="E44" t="s">
        <v>44</v>
      </c>
      <c r="F44" t="s">
        <v>47</v>
      </c>
      <c r="G44" t="s">
        <v>48</v>
      </c>
      <c r="H44">
        <v>3747.0700000000006</v>
      </c>
      <c r="I44">
        <v>3747.0700000000006</v>
      </c>
      <c r="J44">
        <v>0</v>
      </c>
      <c r="K44">
        <v>60.95</v>
      </c>
      <c r="L44">
        <v>60.95</v>
      </c>
      <c r="M44">
        <v>0</v>
      </c>
      <c r="N44">
        <v>30.990000000000002</v>
      </c>
      <c r="O44">
        <v>30.990000000000002</v>
      </c>
      <c r="P44">
        <v>0</v>
      </c>
      <c r="Q44">
        <v>-913.49999999999989</v>
      </c>
      <c r="R44">
        <v>-913.49999999999989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2925.51</v>
      </c>
      <c r="AA44">
        <v>2925.51</v>
      </c>
      <c r="AB44">
        <v>0</v>
      </c>
      <c r="AE44">
        <v>0</v>
      </c>
      <c r="AF44">
        <v>2925.51</v>
      </c>
      <c r="AG44">
        <v>2925.51</v>
      </c>
      <c r="AH44">
        <v>0</v>
      </c>
      <c r="AI44">
        <v>920.01999999999975</v>
      </c>
      <c r="AJ44">
        <v>0</v>
      </c>
      <c r="AK44">
        <v>-920.01999999999975</v>
      </c>
      <c r="AL44">
        <v>2005.4900000000005</v>
      </c>
      <c r="AM44">
        <v>2925.51</v>
      </c>
      <c r="AN44">
        <v>920.01999999999975</v>
      </c>
      <c r="AO44">
        <v>69</v>
      </c>
    </row>
    <row r="45" spans="1:41" x14ac:dyDescent="0.35">
      <c r="A45">
        <v>2024</v>
      </c>
      <c r="B45">
        <v>2</v>
      </c>
      <c r="C45">
        <v>6</v>
      </c>
      <c r="D45" s="14">
        <v>45327</v>
      </c>
      <c r="E45" t="s">
        <v>44</v>
      </c>
      <c r="F45" t="s">
        <v>47</v>
      </c>
      <c r="G45" t="s">
        <v>48</v>
      </c>
      <c r="H45">
        <v>458.25000000000006</v>
      </c>
      <c r="I45">
        <v>458.25000000000006</v>
      </c>
      <c r="J45">
        <v>0</v>
      </c>
      <c r="K45">
        <v>30.7</v>
      </c>
      <c r="L45">
        <v>30.7</v>
      </c>
      <c r="M45">
        <v>0</v>
      </c>
      <c r="N45">
        <v>0</v>
      </c>
      <c r="O45">
        <v>0</v>
      </c>
      <c r="P45">
        <v>0</v>
      </c>
      <c r="Q45">
        <v>-99.449999999999989</v>
      </c>
      <c r="R45">
        <v>-99.449999999999989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389.5</v>
      </c>
      <c r="AA45">
        <v>389.5</v>
      </c>
      <c r="AB45">
        <v>0</v>
      </c>
      <c r="AE45">
        <v>0</v>
      </c>
      <c r="AF45">
        <v>389.5</v>
      </c>
      <c r="AG45">
        <v>389.5</v>
      </c>
      <c r="AH45">
        <v>0</v>
      </c>
      <c r="AI45">
        <v>107.5</v>
      </c>
      <c r="AJ45">
        <v>0</v>
      </c>
      <c r="AK45">
        <v>-107.5</v>
      </c>
      <c r="AL45">
        <v>282</v>
      </c>
      <c r="AM45">
        <v>389.5</v>
      </c>
      <c r="AN45">
        <v>107.5</v>
      </c>
      <c r="AO45">
        <v>11</v>
      </c>
    </row>
    <row r="46" spans="1:41" x14ac:dyDescent="0.35">
      <c r="A46">
        <v>2024</v>
      </c>
      <c r="B46">
        <v>2</v>
      </c>
      <c r="C46">
        <v>6</v>
      </c>
      <c r="D46" s="14">
        <v>45328</v>
      </c>
      <c r="E46" t="s">
        <v>44</v>
      </c>
      <c r="F46" t="s">
        <v>47</v>
      </c>
      <c r="G46" t="s">
        <v>48</v>
      </c>
      <c r="H46">
        <v>3486.8300000000063</v>
      </c>
      <c r="I46">
        <v>3486.8300000000063</v>
      </c>
      <c r="J46">
        <v>0</v>
      </c>
      <c r="K46">
        <v>441.9199999999999</v>
      </c>
      <c r="L46">
        <v>441.9199999999999</v>
      </c>
      <c r="M46">
        <v>0</v>
      </c>
      <c r="N46">
        <v>0</v>
      </c>
      <c r="O46">
        <v>0</v>
      </c>
      <c r="P46">
        <v>0</v>
      </c>
      <c r="Q46">
        <v>-324.3</v>
      </c>
      <c r="R46">
        <v>-324.3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3604.4500000000048</v>
      </c>
      <c r="AA46">
        <v>3604.4500000000048</v>
      </c>
      <c r="AB46">
        <v>0</v>
      </c>
      <c r="AC46">
        <v>2.12</v>
      </c>
      <c r="AD46">
        <v>2.12</v>
      </c>
      <c r="AE46">
        <v>0</v>
      </c>
      <c r="AF46">
        <v>3602.3300000000049</v>
      </c>
      <c r="AG46">
        <v>3602.3300000000049</v>
      </c>
      <c r="AH46">
        <v>0</v>
      </c>
      <c r="AI46">
        <v>1183.6500000000005</v>
      </c>
      <c r="AJ46">
        <v>0</v>
      </c>
      <c r="AK46">
        <v>-1183.6500000000005</v>
      </c>
      <c r="AL46">
        <v>2418.6800000000007</v>
      </c>
      <c r="AM46">
        <v>3602.3300000000049</v>
      </c>
      <c r="AN46">
        <v>1183.6500000000005</v>
      </c>
      <c r="AO46">
        <v>135</v>
      </c>
    </row>
    <row r="47" spans="1:41" x14ac:dyDescent="0.35">
      <c r="A47">
        <v>2024</v>
      </c>
      <c r="B47">
        <v>2</v>
      </c>
      <c r="C47">
        <v>6</v>
      </c>
      <c r="D47" s="14">
        <v>45329</v>
      </c>
      <c r="E47" t="s">
        <v>44</v>
      </c>
      <c r="F47" t="s">
        <v>47</v>
      </c>
      <c r="G47" t="s">
        <v>48</v>
      </c>
      <c r="H47">
        <v>9805.1300000000083</v>
      </c>
      <c r="I47">
        <v>9805.1300000000083</v>
      </c>
      <c r="J47">
        <v>0</v>
      </c>
      <c r="K47">
        <v>1105.4600000000005</v>
      </c>
      <c r="L47">
        <v>1074.7600000000004</v>
      </c>
      <c r="M47">
        <v>-30.7</v>
      </c>
      <c r="N47">
        <v>31.98</v>
      </c>
      <c r="O47">
        <v>31.98</v>
      </c>
      <c r="P47">
        <v>0</v>
      </c>
      <c r="Q47">
        <v>-1040.2800000000002</v>
      </c>
      <c r="R47">
        <v>-1040.2800000000002</v>
      </c>
      <c r="S47">
        <v>0</v>
      </c>
      <c r="T47">
        <v>-57.8</v>
      </c>
      <c r="U47">
        <v>-57.8</v>
      </c>
      <c r="V47">
        <v>0</v>
      </c>
      <c r="W47">
        <v>0</v>
      </c>
      <c r="X47">
        <v>0</v>
      </c>
      <c r="Y47">
        <v>0</v>
      </c>
      <c r="Z47">
        <v>9844.4900000000071</v>
      </c>
      <c r="AA47">
        <v>9813.7900000000081</v>
      </c>
      <c r="AB47">
        <v>-30.7</v>
      </c>
      <c r="AC47">
        <v>15.75</v>
      </c>
      <c r="AD47">
        <v>13.629999999999999</v>
      </c>
      <c r="AE47">
        <v>-2.12</v>
      </c>
      <c r="AF47">
        <v>9828.7400000000071</v>
      </c>
      <c r="AG47">
        <v>9800.1600000000071</v>
      </c>
      <c r="AH47">
        <v>-28.579999999999995</v>
      </c>
      <c r="AI47">
        <v>3227.2199999999957</v>
      </c>
      <c r="AJ47">
        <v>0</v>
      </c>
      <c r="AK47">
        <v>-3227.2199999999957</v>
      </c>
      <c r="AL47">
        <v>6601.5199999999832</v>
      </c>
      <c r="AM47">
        <v>9800.1600000000071</v>
      </c>
      <c r="AN47">
        <v>3198.6399999999958</v>
      </c>
      <c r="AO47">
        <v>353</v>
      </c>
    </row>
    <row r="48" spans="1:41" x14ac:dyDescent="0.35">
      <c r="A48">
        <v>2024</v>
      </c>
      <c r="B48">
        <v>2</v>
      </c>
      <c r="C48">
        <v>6</v>
      </c>
      <c r="D48" s="14">
        <v>45330</v>
      </c>
      <c r="E48" t="s">
        <v>44</v>
      </c>
      <c r="F48" t="s">
        <v>47</v>
      </c>
      <c r="G48" t="s">
        <v>48</v>
      </c>
      <c r="H48">
        <v>16594.609999999931</v>
      </c>
      <c r="I48">
        <v>16594.609999999931</v>
      </c>
      <c r="J48">
        <v>0</v>
      </c>
      <c r="K48">
        <v>1834.0800000000015</v>
      </c>
      <c r="L48">
        <v>1864.7800000000016</v>
      </c>
      <c r="M48">
        <v>30.7</v>
      </c>
      <c r="N48">
        <v>31.98</v>
      </c>
      <c r="O48">
        <v>31.98</v>
      </c>
      <c r="P48">
        <v>0</v>
      </c>
      <c r="Q48">
        <v>-3208.1400000000003</v>
      </c>
      <c r="R48">
        <v>-3208.1400000000003</v>
      </c>
      <c r="S48">
        <v>0</v>
      </c>
      <c r="T48">
        <v>-39.15</v>
      </c>
      <c r="U48">
        <v>-39.15</v>
      </c>
      <c r="V48">
        <v>0</v>
      </c>
      <c r="W48">
        <v>0</v>
      </c>
      <c r="X48">
        <v>0</v>
      </c>
      <c r="Y48">
        <v>0</v>
      </c>
      <c r="Z48">
        <v>15213.379999999968</v>
      </c>
      <c r="AA48">
        <v>15244.079999999969</v>
      </c>
      <c r="AB48">
        <v>30.7</v>
      </c>
      <c r="AC48">
        <v>42.97</v>
      </c>
      <c r="AD48">
        <v>29.34</v>
      </c>
      <c r="AE48">
        <v>-13.629999999999999</v>
      </c>
      <c r="AF48">
        <v>15170.409999999967</v>
      </c>
      <c r="AG48">
        <v>15214.739999999969</v>
      </c>
      <c r="AH48">
        <v>44.330000000000005</v>
      </c>
      <c r="AI48">
        <v>5003.2899999999936</v>
      </c>
      <c r="AJ48">
        <v>0</v>
      </c>
      <c r="AK48">
        <v>-5003.2899999999936</v>
      </c>
      <c r="AL48">
        <v>10167.119999999992</v>
      </c>
      <c r="AM48">
        <v>15214.739999999969</v>
      </c>
      <c r="AN48">
        <v>5047.6199999999935</v>
      </c>
      <c r="AO48">
        <v>465</v>
      </c>
    </row>
    <row r="49" spans="1:41" x14ac:dyDescent="0.35">
      <c r="A49">
        <v>2024</v>
      </c>
      <c r="B49">
        <v>2</v>
      </c>
      <c r="C49">
        <v>6</v>
      </c>
      <c r="D49" s="14">
        <v>45331</v>
      </c>
      <c r="E49" t="s">
        <v>44</v>
      </c>
      <c r="F49" t="s">
        <v>47</v>
      </c>
      <c r="G49" t="s">
        <v>48</v>
      </c>
      <c r="H49">
        <v>16189.119999999906</v>
      </c>
      <c r="I49">
        <v>16203.119999999906</v>
      </c>
      <c r="J49">
        <v>14</v>
      </c>
      <c r="K49">
        <v>1122.2000000000007</v>
      </c>
      <c r="L49">
        <v>1122.2000000000007</v>
      </c>
      <c r="M49">
        <v>0</v>
      </c>
      <c r="N49">
        <v>6.99</v>
      </c>
      <c r="O49">
        <v>6.99</v>
      </c>
      <c r="P49">
        <v>0</v>
      </c>
      <c r="Q49">
        <v>-3385.9999999999923</v>
      </c>
      <c r="R49">
        <v>-3385.9999999999923</v>
      </c>
      <c r="S49">
        <v>0</v>
      </c>
      <c r="T49">
        <v>-45</v>
      </c>
      <c r="U49">
        <v>-45</v>
      </c>
      <c r="V49">
        <v>0</v>
      </c>
      <c r="W49">
        <v>0</v>
      </c>
      <c r="X49">
        <v>0</v>
      </c>
      <c r="Y49">
        <v>0</v>
      </c>
      <c r="Z49">
        <v>13887.309999999925</v>
      </c>
      <c r="AA49">
        <v>13901.309999999925</v>
      </c>
      <c r="AB49">
        <v>14</v>
      </c>
      <c r="AC49">
        <v>37.04</v>
      </c>
      <c r="AD49">
        <v>7.7</v>
      </c>
      <c r="AE49">
        <v>-29.34</v>
      </c>
      <c r="AF49">
        <v>13850.269999999926</v>
      </c>
      <c r="AG49">
        <v>13893.609999999926</v>
      </c>
      <c r="AH49">
        <v>43.34</v>
      </c>
      <c r="AI49">
        <v>4845.9699999999993</v>
      </c>
      <c r="AJ49">
        <v>0</v>
      </c>
      <c r="AK49">
        <v>-4845.9699999999993</v>
      </c>
      <c r="AL49">
        <v>9004.3000000000047</v>
      </c>
      <c r="AM49">
        <v>13893.609999999926</v>
      </c>
      <c r="AN49">
        <v>4889.3100000000004</v>
      </c>
      <c r="AO49">
        <v>447</v>
      </c>
    </row>
    <row r="50" spans="1:41" x14ac:dyDescent="0.35">
      <c r="A50">
        <v>2024</v>
      </c>
      <c r="B50">
        <v>2</v>
      </c>
      <c r="C50">
        <v>6</v>
      </c>
      <c r="D50" s="14">
        <v>45332</v>
      </c>
      <c r="E50" t="s">
        <v>44</v>
      </c>
      <c r="F50" t="s">
        <v>47</v>
      </c>
      <c r="G50" t="s">
        <v>48</v>
      </c>
      <c r="H50">
        <v>8335.800000000012</v>
      </c>
      <c r="I50">
        <v>8335.800000000012</v>
      </c>
      <c r="J50">
        <v>0</v>
      </c>
      <c r="K50">
        <v>630.76</v>
      </c>
      <c r="L50">
        <v>630.76</v>
      </c>
      <c r="M50">
        <v>0</v>
      </c>
      <c r="N50">
        <v>54.96</v>
      </c>
      <c r="O50">
        <v>54.96</v>
      </c>
      <c r="P50">
        <v>0</v>
      </c>
      <c r="Q50">
        <v>-1531.4499999999991</v>
      </c>
      <c r="R50">
        <v>-1528.4499999999991</v>
      </c>
      <c r="S50">
        <v>3</v>
      </c>
      <c r="T50">
        <v>-12.5</v>
      </c>
      <c r="U50">
        <v>-12.5</v>
      </c>
      <c r="V50">
        <v>0</v>
      </c>
      <c r="W50">
        <v>0</v>
      </c>
      <c r="X50">
        <v>0</v>
      </c>
      <c r="Y50">
        <v>0</v>
      </c>
      <c r="Z50">
        <v>7477.5700000000097</v>
      </c>
      <c r="AA50">
        <v>7480.5700000000097</v>
      </c>
      <c r="AB50">
        <v>3</v>
      </c>
      <c r="AC50">
        <v>36.379999999999995</v>
      </c>
      <c r="AD50">
        <v>28.68</v>
      </c>
      <c r="AE50">
        <v>-7.7</v>
      </c>
      <c r="AF50">
        <v>7441.1900000000105</v>
      </c>
      <c r="AG50">
        <v>7451.8900000000103</v>
      </c>
      <c r="AH50">
        <v>10.700000000000003</v>
      </c>
      <c r="AI50">
        <v>2415.4300000000012</v>
      </c>
      <c r="AJ50">
        <v>0</v>
      </c>
      <c r="AK50">
        <v>-2415.4300000000012</v>
      </c>
      <c r="AL50">
        <v>5025.7599999999957</v>
      </c>
      <c r="AM50">
        <v>7451.8900000000103</v>
      </c>
      <c r="AN50">
        <v>2426.1300000000015</v>
      </c>
      <c r="AO50">
        <v>255</v>
      </c>
    </row>
    <row r="51" spans="1:41" x14ac:dyDescent="0.35">
      <c r="A51">
        <v>2024</v>
      </c>
      <c r="B51">
        <v>2</v>
      </c>
      <c r="C51">
        <v>6</v>
      </c>
      <c r="D51" s="14">
        <v>45326</v>
      </c>
      <c r="E51" t="s">
        <v>44</v>
      </c>
      <c r="F51" t="s">
        <v>47</v>
      </c>
      <c r="G51" t="s">
        <v>49</v>
      </c>
      <c r="H51">
        <v>14987.8</v>
      </c>
      <c r="I51">
        <v>15005.8</v>
      </c>
      <c r="J51">
        <v>18</v>
      </c>
      <c r="K51">
        <v>155.9</v>
      </c>
      <c r="L51">
        <v>155.9</v>
      </c>
      <c r="M51">
        <v>0</v>
      </c>
      <c r="N51">
        <v>111.92999999999999</v>
      </c>
      <c r="O51">
        <v>111.92999999999999</v>
      </c>
      <c r="P51">
        <v>0</v>
      </c>
      <c r="Q51">
        <v>-4470.1500000000005</v>
      </c>
      <c r="R51">
        <v>-4471.1500000000005</v>
      </c>
      <c r="S51">
        <v>-1</v>
      </c>
      <c r="T51">
        <v>-15</v>
      </c>
      <c r="U51">
        <v>-15</v>
      </c>
      <c r="V51">
        <v>0</v>
      </c>
      <c r="W51">
        <v>0</v>
      </c>
      <c r="X51">
        <v>0</v>
      </c>
      <c r="Y51">
        <v>0</v>
      </c>
      <c r="Z51">
        <v>10770.48</v>
      </c>
      <c r="AA51">
        <v>10787.48</v>
      </c>
      <c r="AB51">
        <v>17</v>
      </c>
      <c r="AC51">
        <v>221.57999999999998</v>
      </c>
      <c r="AD51">
        <v>102.69000000000001</v>
      </c>
      <c r="AE51">
        <v>-118.88999999999999</v>
      </c>
      <c r="AF51">
        <v>10548.899999999998</v>
      </c>
      <c r="AG51">
        <v>10684.789999999997</v>
      </c>
      <c r="AH51">
        <v>135.89000000000001</v>
      </c>
      <c r="AI51">
        <v>2958.2899999999991</v>
      </c>
      <c r="AJ51">
        <v>0</v>
      </c>
      <c r="AK51">
        <v>-2958.2899999999991</v>
      </c>
      <c r="AL51">
        <v>7590.6100000000006</v>
      </c>
      <c r="AM51">
        <v>10684.789999999997</v>
      </c>
      <c r="AN51">
        <v>3094.1799999999994</v>
      </c>
      <c r="AO51">
        <v>221</v>
      </c>
    </row>
    <row r="52" spans="1:41" x14ac:dyDescent="0.35">
      <c r="A52">
        <v>2024</v>
      </c>
      <c r="B52">
        <v>2</v>
      </c>
      <c r="C52">
        <v>6</v>
      </c>
      <c r="D52" s="14">
        <v>45327</v>
      </c>
      <c r="E52" t="s">
        <v>44</v>
      </c>
      <c r="F52" t="s">
        <v>47</v>
      </c>
      <c r="G52" t="s">
        <v>49</v>
      </c>
      <c r="H52">
        <v>2375</v>
      </c>
      <c r="I52">
        <v>2375</v>
      </c>
      <c r="J52">
        <v>0</v>
      </c>
      <c r="K52">
        <v>9.36</v>
      </c>
      <c r="L52">
        <v>9.36</v>
      </c>
      <c r="M52">
        <v>0</v>
      </c>
      <c r="N52">
        <v>75.95</v>
      </c>
      <c r="O52">
        <v>75.95</v>
      </c>
      <c r="P52">
        <v>0</v>
      </c>
      <c r="Q52">
        <v>-875.2</v>
      </c>
      <c r="R52">
        <v>-875.2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1585.11</v>
      </c>
      <c r="AA52">
        <v>1585.11</v>
      </c>
      <c r="AB52">
        <v>0</v>
      </c>
      <c r="AC52">
        <v>107.69000000000001</v>
      </c>
      <c r="AD52">
        <v>5</v>
      </c>
      <c r="AE52">
        <v>-102.69000000000001</v>
      </c>
      <c r="AF52">
        <v>1477.42</v>
      </c>
      <c r="AG52">
        <v>1580.11</v>
      </c>
      <c r="AH52">
        <v>102.69000000000001</v>
      </c>
      <c r="AI52">
        <v>151.62</v>
      </c>
      <c r="AJ52">
        <v>0</v>
      </c>
      <c r="AK52">
        <v>-151.62</v>
      </c>
      <c r="AL52">
        <v>1325.8</v>
      </c>
      <c r="AM52">
        <v>1580.11</v>
      </c>
      <c r="AN52">
        <v>254.31000000000003</v>
      </c>
      <c r="AO52">
        <v>25</v>
      </c>
    </row>
    <row r="53" spans="1:41" x14ac:dyDescent="0.35">
      <c r="A53">
        <v>2024</v>
      </c>
      <c r="B53">
        <v>2</v>
      </c>
      <c r="C53">
        <v>6</v>
      </c>
      <c r="D53" s="14">
        <v>45328</v>
      </c>
      <c r="E53" t="s">
        <v>44</v>
      </c>
      <c r="F53" t="s">
        <v>47</v>
      </c>
      <c r="G53" t="s">
        <v>49</v>
      </c>
      <c r="H53">
        <v>7846.4500000000016</v>
      </c>
      <c r="I53">
        <v>7874.4500000000016</v>
      </c>
      <c r="J53">
        <v>28</v>
      </c>
      <c r="K53">
        <v>552.65000000000009</v>
      </c>
      <c r="L53">
        <v>552.65000000000009</v>
      </c>
      <c r="M53">
        <v>0</v>
      </c>
      <c r="N53">
        <v>83.95</v>
      </c>
      <c r="O53">
        <v>83.95</v>
      </c>
      <c r="P53">
        <v>0</v>
      </c>
      <c r="Q53">
        <v>-3585.4999999999995</v>
      </c>
      <c r="R53">
        <v>-3585.4999999999995</v>
      </c>
      <c r="S53">
        <v>0</v>
      </c>
      <c r="T53">
        <v>-132.19999999999996</v>
      </c>
      <c r="U53">
        <v>-132.19999999999996</v>
      </c>
      <c r="V53">
        <v>0</v>
      </c>
      <c r="W53">
        <v>-10</v>
      </c>
      <c r="X53">
        <v>-10</v>
      </c>
      <c r="Y53">
        <v>0</v>
      </c>
      <c r="Z53">
        <v>4755.3500000000031</v>
      </c>
      <c r="AA53">
        <v>4783.3500000000031</v>
      </c>
      <c r="AB53">
        <v>28</v>
      </c>
      <c r="AC53">
        <v>155.43</v>
      </c>
      <c r="AD53">
        <v>150.43</v>
      </c>
      <c r="AE53">
        <v>-5</v>
      </c>
      <c r="AF53">
        <v>4599.9200000000037</v>
      </c>
      <c r="AG53">
        <v>4632.9200000000028</v>
      </c>
      <c r="AH53">
        <v>33</v>
      </c>
      <c r="AI53">
        <v>626.6400000000001</v>
      </c>
      <c r="AJ53">
        <v>0</v>
      </c>
      <c r="AK53">
        <v>-626.6400000000001</v>
      </c>
      <c r="AL53">
        <v>3973.2800000000007</v>
      </c>
      <c r="AM53">
        <v>4632.9200000000028</v>
      </c>
      <c r="AN53">
        <v>659.6400000000001</v>
      </c>
      <c r="AO53">
        <v>92</v>
      </c>
    </row>
    <row r="54" spans="1:41" x14ac:dyDescent="0.35">
      <c r="A54">
        <v>2024</v>
      </c>
      <c r="B54">
        <v>2</v>
      </c>
      <c r="C54">
        <v>6</v>
      </c>
      <c r="D54" s="14">
        <v>45329</v>
      </c>
      <c r="E54" t="s">
        <v>44</v>
      </c>
      <c r="F54" t="s">
        <v>47</v>
      </c>
      <c r="G54" t="s">
        <v>49</v>
      </c>
      <c r="H54">
        <v>12103.05</v>
      </c>
      <c r="I54">
        <v>12126.05</v>
      </c>
      <c r="J54">
        <v>23</v>
      </c>
      <c r="K54">
        <v>543.88999999999987</v>
      </c>
      <c r="L54">
        <v>543.88999999999987</v>
      </c>
      <c r="M54">
        <v>0</v>
      </c>
      <c r="N54">
        <v>121.91999999999999</v>
      </c>
      <c r="O54">
        <v>121.91999999999999</v>
      </c>
      <c r="P54">
        <v>0</v>
      </c>
      <c r="Q54">
        <v>-3898.8999999999987</v>
      </c>
      <c r="R54">
        <v>-3888.8999999999987</v>
      </c>
      <c r="S54">
        <v>10</v>
      </c>
      <c r="T54">
        <v>-52.900000000000006</v>
      </c>
      <c r="U54">
        <v>-52.900000000000006</v>
      </c>
      <c r="V54">
        <v>0</v>
      </c>
      <c r="W54">
        <v>-25.990000000000002</v>
      </c>
      <c r="X54">
        <v>-25.990000000000002</v>
      </c>
      <c r="Y54">
        <v>0</v>
      </c>
      <c r="Z54">
        <v>8791.0700000000106</v>
      </c>
      <c r="AA54">
        <v>8824.0700000000088</v>
      </c>
      <c r="AB54">
        <v>33.000000000000007</v>
      </c>
      <c r="AC54">
        <v>350.65</v>
      </c>
      <c r="AD54">
        <v>200.22000000000003</v>
      </c>
      <c r="AE54">
        <v>-150.43</v>
      </c>
      <c r="AF54">
        <v>8440.420000000011</v>
      </c>
      <c r="AG54">
        <v>8623.8500000000113</v>
      </c>
      <c r="AH54">
        <v>183.43</v>
      </c>
      <c r="AI54">
        <v>1506.4199999999983</v>
      </c>
      <c r="AJ54">
        <v>0</v>
      </c>
      <c r="AK54">
        <v>-1506.4199999999983</v>
      </c>
      <c r="AL54">
        <v>6933.9999999999854</v>
      </c>
      <c r="AM54">
        <v>8623.8500000000113</v>
      </c>
      <c r="AN54">
        <v>1689.8499999999974</v>
      </c>
      <c r="AO54">
        <v>211</v>
      </c>
    </row>
    <row r="55" spans="1:41" x14ac:dyDescent="0.35">
      <c r="A55">
        <v>2024</v>
      </c>
      <c r="B55">
        <v>2</v>
      </c>
      <c r="C55">
        <v>6</v>
      </c>
      <c r="D55" s="14">
        <v>45330</v>
      </c>
      <c r="E55" t="s">
        <v>44</v>
      </c>
      <c r="F55" t="s">
        <v>47</v>
      </c>
      <c r="G55" t="s">
        <v>49</v>
      </c>
      <c r="H55">
        <v>10749.2</v>
      </c>
      <c r="I55">
        <v>10756.2</v>
      </c>
      <c r="J55">
        <v>7</v>
      </c>
      <c r="K55">
        <v>252.42000000000007</v>
      </c>
      <c r="L55">
        <v>252.42000000000007</v>
      </c>
      <c r="M55">
        <v>0</v>
      </c>
      <c r="N55">
        <v>106.93</v>
      </c>
      <c r="O55">
        <v>106.93</v>
      </c>
      <c r="P55">
        <v>0</v>
      </c>
      <c r="Q55">
        <v>-4033.0599999999981</v>
      </c>
      <c r="R55">
        <v>-4033.0599999999981</v>
      </c>
      <c r="S55">
        <v>0</v>
      </c>
      <c r="T55">
        <v>-47.400000000000006</v>
      </c>
      <c r="U55">
        <v>-47.400000000000006</v>
      </c>
      <c r="V55">
        <v>0</v>
      </c>
      <c r="W55">
        <v>-10</v>
      </c>
      <c r="X55">
        <v>-10</v>
      </c>
      <c r="Y55">
        <v>0</v>
      </c>
      <c r="Z55">
        <v>7018.0899999999965</v>
      </c>
      <c r="AA55">
        <v>7025.0899999999965</v>
      </c>
      <c r="AB55">
        <v>7</v>
      </c>
      <c r="AC55">
        <v>381.86999999999995</v>
      </c>
      <c r="AD55">
        <v>181.65000000000003</v>
      </c>
      <c r="AE55">
        <v>-200.22000000000003</v>
      </c>
      <c r="AF55">
        <v>6636.2199999999939</v>
      </c>
      <c r="AG55">
        <v>6843.439999999996</v>
      </c>
      <c r="AH55">
        <v>207.22000000000003</v>
      </c>
      <c r="AI55">
        <v>1036.3599999999999</v>
      </c>
      <c r="AJ55">
        <v>0</v>
      </c>
      <c r="AK55">
        <v>-1036.3599999999999</v>
      </c>
      <c r="AL55">
        <v>5599.8600000000015</v>
      </c>
      <c r="AM55">
        <v>6843.439999999996</v>
      </c>
      <c r="AN55">
        <v>1243.5800000000015</v>
      </c>
      <c r="AO55">
        <v>134</v>
      </c>
    </row>
    <row r="56" spans="1:41" x14ac:dyDescent="0.35">
      <c r="A56">
        <v>2024</v>
      </c>
      <c r="B56">
        <v>2</v>
      </c>
      <c r="C56">
        <v>6</v>
      </c>
      <c r="D56" s="14">
        <v>45331</v>
      </c>
      <c r="E56" t="s">
        <v>44</v>
      </c>
      <c r="F56" t="s">
        <v>47</v>
      </c>
      <c r="G56" t="s">
        <v>49</v>
      </c>
      <c r="H56">
        <v>7866.3000000000011</v>
      </c>
      <c r="I56">
        <v>7875.3000000000011</v>
      </c>
      <c r="J56">
        <v>9</v>
      </c>
      <c r="K56">
        <v>103.21000000000001</v>
      </c>
      <c r="L56">
        <v>103.21000000000001</v>
      </c>
      <c r="M56">
        <v>0</v>
      </c>
      <c r="N56">
        <v>572.98</v>
      </c>
      <c r="O56">
        <v>572.98</v>
      </c>
      <c r="P56">
        <v>0</v>
      </c>
      <c r="Q56">
        <v>-2461.0500000000002</v>
      </c>
      <c r="R56">
        <v>-2451.0500000000002</v>
      </c>
      <c r="S56">
        <v>10</v>
      </c>
      <c r="T56">
        <v>-12</v>
      </c>
      <c r="U56">
        <v>-12</v>
      </c>
      <c r="V56">
        <v>0</v>
      </c>
      <c r="W56">
        <v>0</v>
      </c>
      <c r="X56">
        <v>0</v>
      </c>
      <c r="Y56">
        <v>0</v>
      </c>
      <c r="Z56">
        <v>6069.4400000000014</v>
      </c>
      <c r="AA56">
        <v>6088.4400000000014</v>
      </c>
      <c r="AB56">
        <v>19</v>
      </c>
      <c r="AC56">
        <v>418.40000000000009</v>
      </c>
      <c r="AD56">
        <v>274.03000000000003</v>
      </c>
      <c r="AE56">
        <v>-144.37</v>
      </c>
      <c r="AF56">
        <v>5651.0399999999991</v>
      </c>
      <c r="AG56">
        <v>5814.4100000000017</v>
      </c>
      <c r="AH56">
        <v>163.36999999999998</v>
      </c>
      <c r="AI56">
        <v>971.55000000000018</v>
      </c>
      <c r="AJ56">
        <v>0</v>
      </c>
      <c r="AK56">
        <v>-971.55000000000018</v>
      </c>
      <c r="AL56">
        <v>4679.4899999999952</v>
      </c>
      <c r="AM56">
        <v>5814.4100000000017</v>
      </c>
      <c r="AN56">
        <v>1134.9199999999998</v>
      </c>
      <c r="AO56">
        <v>112</v>
      </c>
    </row>
    <row r="57" spans="1:41" x14ac:dyDescent="0.35">
      <c r="A57">
        <v>2024</v>
      </c>
      <c r="B57">
        <v>2</v>
      </c>
      <c r="C57">
        <v>6</v>
      </c>
      <c r="D57" s="14">
        <v>45332</v>
      </c>
      <c r="E57" t="s">
        <v>44</v>
      </c>
      <c r="F57" t="s">
        <v>47</v>
      </c>
      <c r="G57" t="s">
        <v>49</v>
      </c>
      <c r="H57">
        <v>13026.199999999997</v>
      </c>
      <c r="I57">
        <v>13034.199999999997</v>
      </c>
      <c r="J57">
        <v>8</v>
      </c>
      <c r="K57">
        <v>148.46999999999997</v>
      </c>
      <c r="L57">
        <v>148.46999999999997</v>
      </c>
      <c r="M57">
        <v>0</v>
      </c>
      <c r="N57">
        <v>50.980000000000004</v>
      </c>
      <c r="O57">
        <v>50.980000000000004</v>
      </c>
      <c r="P57">
        <v>0</v>
      </c>
      <c r="Q57">
        <v>-4450.6899999999978</v>
      </c>
      <c r="R57">
        <v>-4440.6899999999978</v>
      </c>
      <c r="S57">
        <v>10</v>
      </c>
      <c r="T57">
        <v>-20</v>
      </c>
      <c r="U57">
        <v>-20</v>
      </c>
      <c r="V57">
        <v>0</v>
      </c>
      <c r="W57">
        <v>-10.379999999999999</v>
      </c>
      <c r="X57">
        <v>-10.379999999999999</v>
      </c>
      <c r="Y57">
        <v>0</v>
      </c>
      <c r="Z57">
        <v>8744.5800000000017</v>
      </c>
      <c r="AA57">
        <v>8762.5800000000017</v>
      </c>
      <c r="AB57">
        <v>18.000000000000014</v>
      </c>
      <c r="AC57">
        <v>538.59000000000015</v>
      </c>
      <c r="AD57">
        <v>281.45999999999992</v>
      </c>
      <c r="AE57">
        <v>-257.13</v>
      </c>
      <c r="AF57">
        <v>8247.67</v>
      </c>
      <c r="AG57">
        <v>8522.8000000000011</v>
      </c>
      <c r="AH57">
        <v>275.13000000000011</v>
      </c>
      <c r="AI57">
        <v>1730.5100000000007</v>
      </c>
      <c r="AJ57">
        <v>9.5</v>
      </c>
      <c r="AK57">
        <v>-1721.0100000000007</v>
      </c>
      <c r="AL57">
        <v>6517.1599999999953</v>
      </c>
      <c r="AM57">
        <v>8513.3000000000011</v>
      </c>
      <c r="AN57">
        <v>1996.1400000000008</v>
      </c>
      <c r="AO57">
        <v>172</v>
      </c>
    </row>
    <row r="58" spans="1:41" x14ac:dyDescent="0.35">
      <c r="A58">
        <v>2024</v>
      </c>
      <c r="B58">
        <v>2</v>
      </c>
      <c r="C58">
        <v>6</v>
      </c>
      <c r="D58" s="14">
        <v>45326</v>
      </c>
      <c r="E58" t="s">
        <v>44</v>
      </c>
      <c r="F58" t="s">
        <v>47</v>
      </c>
      <c r="G58" t="s">
        <v>50</v>
      </c>
      <c r="H58">
        <v>24347</v>
      </c>
      <c r="I58">
        <v>24415</v>
      </c>
      <c r="J58">
        <v>68</v>
      </c>
      <c r="K58">
        <v>392.90999999999946</v>
      </c>
      <c r="L58">
        <v>392.90999999999946</v>
      </c>
      <c r="M58">
        <v>0</v>
      </c>
      <c r="N58">
        <v>1277.1900000000005</v>
      </c>
      <c r="O58">
        <v>1277.1900000000005</v>
      </c>
      <c r="P58">
        <v>0</v>
      </c>
      <c r="Q58">
        <v>-8122.2199999999993</v>
      </c>
      <c r="R58">
        <v>-7975.2199999999993</v>
      </c>
      <c r="S58">
        <v>147</v>
      </c>
      <c r="T58">
        <v>-15</v>
      </c>
      <c r="U58">
        <v>-15</v>
      </c>
      <c r="V58">
        <v>0</v>
      </c>
      <c r="W58">
        <v>-53.99</v>
      </c>
      <c r="X58">
        <v>-53.99</v>
      </c>
      <c r="Y58">
        <v>0</v>
      </c>
      <c r="Z58">
        <v>17825.889999999985</v>
      </c>
      <c r="AA58">
        <v>18040.889999999985</v>
      </c>
      <c r="AB58">
        <v>215</v>
      </c>
      <c r="AC58">
        <v>2337.1200000000035</v>
      </c>
      <c r="AD58">
        <v>786.83999999999992</v>
      </c>
      <c r="AE58">
        <v>-1550.2800000000009</v>
      </c>
      <c r="AF58">
        <v>15488.770000000013</v>
      </c>
      <c r="AG58">
        <v>17254.049999999996</v>
      </c>
      <c r="AH58">
        <v>1765.2800000000007</v>
      </c>
      <c r="AI58">
        <v>-510.74000000000007</v>
      </c>
      <c r="AJ58">
        <v>0</v>
      </c>
      <c r="AK58">
        <v>510.74000000000007</v>
      </c>
      <c r="AL58">
        <v>15999.510000000011</v>
      </c>
      <c r="AM58">
        <v>17254.049999999996</v>
      </c>
      <c r="AN58">
        <v>1254.5400000000002</v>
      </c>
      <c r="AO58">
        <v>285</v>
      </c>
    </row>
    <row r="59" spans="1:41" x14ac:dyDescent="0.35">
      <c r="A59">
        <v>2024</v>
      </c>
      <c r="B59">
        <v>2</v>
      </c>
      <c r="C59">
        <v>6</v>
      </c>
      <c r="D59" s="14">
        <v>45327</v>
      </c>
      <c r="E59" t="s">
        <v>44</v>
      </c>
      <c r="F59" t="s">
        <v>47</v>
      </c>
      <c r="G59" t="s">
        <v>50</v>
      </c>
      <c r="H59">
        <v>15323</v>
      </c>
      <c r="I59">
        <v>15393</v>
      </c>
      <c r="J59">
        <v>70</v>
      </c>
      <c r="K59">
        <v>262.20999999999987</v>
      </c>
      <c r="L59">
        <v>262.20999999999987</v>
      </c>
      <c r="M59">
        <v>0</v>
      </c>
      <c r="N59">
        <v>710.5500000000003</v>
      </c>
      <c r="O59">
        <v>710.5500000000003</v>
      </c>
      <c r="P59">
        <v>0</v>
      </c>
      <c r="Q59">
        <v>-5068.3999999999996</v>
      </c>
      <c r="R59">
        <v>-4998.3999999999996</v>
      </c>
      <c r="S59">
        <v>70</v>
      </c>
      <c r="T59">
        <v>-15</v>
      </c>
      <c r="U59">
        <v>-15</v>
      </c>
      <c r="V59">
        <v>0</v>
      </c>
      <c r="W59">
        <v>-10</v>
      </c>
      <c r="X59">
        <v>-10</v>
      </c>
      <c r="Y59">
        <v>0</v>
      </c>
      <c r="Z59">
        <v>11202.359999999993</v>
      </c>
      <c r="AA59">
        <v>11342.359999999993</v>
      </c>
      <c r="AB59">
        <v>140</v>
      </c>
      <c r="AC59">
        <v>1328.5899999999992</v>
      </c>
      <c r="AD59">
        <v>561.75</v>
      </c>
      <c r="AE59">
        <v>-766.83999999999969</v>
      </c>
      <c r="AF59">
        <v>9873.7699999999895</v>
      </c>
      <c r="AG59">
        <v>10780.60999999999</v>
      </c>
      <c r="AH59">
        <v>906.8399999999998</v>
      </c>
      <c r="AI59">
        <v>-389.15</v>
      </c>
      <c r="AJ59">
        <v>0</v>
      </c>
      <c r="AK59">
        <v>389.15</v>
      </c>
      <c r="AL59">
        <v>10262.919999999996</v>
      </c>
      <c r="AM59">
        <v>10780.60999999999</v>
      </c>
      <c r="AN59">
        <v>517.69000000000017</v>
      </c>
      <c r="AO59">
        <v>176</v>
      </c>
    </row>
    <row r="60" spans="1:41" x14ac:dyDescent="0.35">
      <c r="A60">
        <v>2024</v>
      </c>
      <c r="B60">
        <v>2</v>
      </c>
      <c r="C60">
        <v>6</v>
      </c>
      <c r="D60" s="14">
        <v>45328</v>
      </c>
      <c r="E60" t="s">
        <v>44</v>
      </c>
      <c r="F60" t="s">
        <v>47</v>
      </c>
      <c r="G60" t="s">
        <v>50</v>
      </c>
      <c r="H60">
        <v>20567.05</v>
      </c>
      <c r="I60">
        <v>20614.05</v>
      </c>
      <c r="J60">
        <v>47</v>
      </c>
      <c r="K60">
        <v>427.42999999999938</v>
      </c>
      <c r="L60">
        <v>427.42999999999938</v>
      </c>
      <c r="M60">
        <v>0</v>
      </c>
      <c r="N60">
        <v>914.4300000000004</v>
      </c>
      <c r="O60">
        <v>914.4300000000004</v>
      </c>
      <c r="P60">
        <v>0</v>
      </c>
      <c r="Q60">
        <v>-6163</v>
      </c>
      <c r="R60">
        <v>-6092</v>
      </c>
      <c r="S60">
        <v>71</v>
      </c>
      <c r="T60">
        <v>-5</v>
      </c>
      <c r="U60">
        <v>-5</v>
      </c>
      <c r="V60">
        <v>0</v>
      </c>
      <c r="W60">
        <v>-15</v>
      </c>
      <c r="X60">
        <v>-15</v>
      </c>
      <c r="Y60">
        <v>0</v>
      </c>
      <c r="Z60">
        <v>15725.909999999982</v>
      </c>
      <c r="AA60">
        <v>15843.909999999982</v>
      </c>
      <c r="AB60">
        <v>118.00000000000003</v>
      </c>
      <c r="AC60">
        <v>1934.4899999999998</v>
      </c>
      <c r="AD60">
        <v>1372.7399999999998</v>
      </c>
      <c r="AE60">
        <v>-561.74999999999977</v>
      </c>
      <c r="AF60">
        <v>13791.419999999998</v>
      </c>
      <c r="AG60">
        <v>14471.169999999996</v>
      </c>
      <c r="AH60">
        <v>679.75</v>
      </c>
      <c r="AI60">
        <v>-867.63000000000056</v>
      </c>
      <c r="AJ60">
        <v>0</v>
      </c>
      <c r="AK60">
        <v>867.63000000000056</v>
      </c>
      <c r="AL60">
        <v>14659.050000000005</v>
      </c>
      <c r="AM60">
        <v>14471.169999999996</v>
      </c>
      <c r="AN60">
        <v>-187.88</v>
      </c>
      <c r="AO60">
        <v>242</v>
      </c>
    </row>
    <row r="61" spans="1:41" x14ac:dyDescent="0.35">
      <c r="A61">
        <v>2024</v>
      </c>
      <c r="B61">
        <v>2</v>
      </c>
      <c r="C61">
        <v>6</v>
      </c>
      <c r="D61" s="14">
        <v>45329</v>
      </c>
      <c r="E61" t="s">
        <v>44</v>
      </c>
      <c r="F61" t="s">
        <v>47</v>
      </c>
      <c r="G61" t="s">
        <v>50</v>
      </c>
      <c r="H61">
        <v>28202.55</v>
      </c>
      <c r="I61">
        <v>28270.55</v>
      </c>
      <c r="J61">
        <v>68</v>
      </c>
      <c r="K61">
        <v>844.07000000000073</v>
      </c>
      <c r="L61">
        <v>844.07000000000073</v>
      </c>
      <c r="M61">
        <v>0</v>
      </c>
      <c r="N61">
        <v>1106.3200000000004</v>
      </c>
      <c r="O61">
        <v>1093.3300000000004</v>
      </c>
      <c r="P61">
        <v>-12.99</v>
      </c>
      <c r="Q61">
        <v>-8575.7000000000007</v>
      </c>
      <c r="R61">
        <v>-8403.7000000000007</v>
      </c>
      <c r="S61">
        <v>172</v>
      </c>
      <c r="T61">
        <v>-64.460000000000008</v>
      </c>
      <c r="U61">
        <v>-64.460000000000008</v>
      </c>
      <c r="V61">
        <v>0</v>
      </c>
      <c r="W61">
        <v>-35.99</v>
      </c>
      <c r="X61">
        <v>-35.99</v>
      </c>
      <c r="Y61">
        <v>0</v>
      </c>
      <c r="Z61">
        <v>21476.78999999999</v>
      </c>
      <c r="AA61">
        <v>21703.799999999988</v>
      </c>
      <c r="AB61">
        <v>227.01</v>
      </c>
      <c r="AC61">
        <v>2665.7800000000011</v>
      </c>
      <c r="AD61">
        <v>1363.3899999999999</v>
      </c>
      <c r="AE61">
        <v>-1302.3899999999996</v>
      </c>
      <c r="AF61">
        <v>18811.010000000013</v>
      </c>
      <c r="AG61">
        <v>20340.409999999996</v>
      </c>
      <c r="AH61">
        <v>1529.4</v>
      </c>
      <c r="AI61">
        <v>-838.40999999999951</v>
      </c>
      <c r="AJ61">
        <v>0</v>
      </c>
      <c r="AK61">
        <v>838.40999999999951</v>
      </c>
      <c r="AL61">
        <v>19649.419999999995</v>
      </c>
      <c r="AM61">
        <v>20340.409999999996</v>
      </c>
      <c r="AN61">
        <v>690.99000000000069</v>
      </c>
      <c r="AO61">
        <v>335</v>
      </c>
    </row>
    <row r="62" spans="1:41" x14ac:dyDescent="0.35">
      <c r="A62">
        <v>2024</v>
      </c>
      <c r="B62">
        <v>2</v>
      </c>
      <c r="C62">
        <v>6</v>
      </c>
      <c r="D62" s="14">
        <v>45330</v>
      </c>
      <c r="E62" t="s">
        <v>44</v>
      </c>
      <c r="F62" t="s">
        <v>47</v>
      </c>
      <c r="G62" t="s">
        <v>50</v>
      </c>
      <c r="H62">
        <v>26719</v>
      </c>
      <c r="I62">
        <v>26848</v>
      </c>
      <c r="J62">
        <v>129</v>
      </c>
      <c r="K62">
        <v>708.78999999999962</v>
      </c>
      <c r="L62">
        <v>708.78999999999962</v>
      </c>
      <c r="M62">
        <v>0</v>
      </c>
      <c r="N62">
        <v>1201.2300000000005</v>
      </c>
      <c r="O62">
        <v>1201.2300000000005</v>
      </c>
      <c r="P62">
        <v>0</v>
      </c>
      <c r="Q62">
        <v>-8373.119999999999</v>
      </c>
      <c r="R62">
        <v>-8282.119999999999</v>
      </c>
      <c r="S62">
        <v>91</v>
      </c>
      <c r="T62">
        <v>-69.460000000000008</v>
      </c>
      <c r="U62">
        <v>-69.460000000000008</v>
      </c>
      <c r="V62">
        <v>0</v>
      </c>
      <c r="W62">
        <v>-73.98</v>
      </c>
      <c r="X62">
        <v>-73.98</v>
      </c>
      <c r="Y62">
        <v>0</v>
      </c>
      <c r="Z62">
        <v>20112.460000000006</v>
      </c>
      <c r="AA62">
        <v>20332.460000000006</v>
      </c>
      <c r="AB62">
        <v>220</v>
      </c>
      <c r="AC62">
        <v>2690.8099999999995</v>
      </c>
      <c r="AD62">
        <v>1373.5200000000004</v>
      </c>
      <c r="AE62">
        <v>-1317.2900000000002</v>
      </c>
      <c r="AF62">
        <v>17421.650000000009</v>
      </c>
      <c r="AG62">
        <v>18958.939999999999</v>
      </c>
      <c r="AH62">
        <v>1537.2899999999995</v>
      </c>
      <c r="AI62">
        <v>-847.05</v>
      </c>
      <c r="AJ62">
        <v>0</v>
      </c>
      <c r="AK62">
        <v>847.05</v>
      </c>
      <c r="AL62">
        <v>18268.700000000008</v>
      </c>
      <c r="AM62">
        <v>18958.939999999999</v>
      </c>
      <c r="AN62">
        <v>690.24000000000024</v>
      </c>
      <c r="AO62">
        <v>317</v>
      </c>
    </row>
    <row r="63" spans="1:41" x14ac:dyDescent="0.35">
      <c r="A63">
        <v>2024</v>
      </c>
      <c r="B63">
        <v>2</v>
      </c>
      <c r="C63">
        <v>6</v>
      </c>
      <c r="D63" s="14">
        <v>45331</v>
      </c>
      <c r="E63" t="s">
        <v>44</v>
      </c>
      <c r="F63" t="s">
        <v>47</v>
      </c>
      <c r="G63" t="s">
        <v>50</v>
      </c>
      <c r="H63">
        <v>22994.129999999997</v>
      </c>
      <c r="I63">
        <v>23038.129999999997</v>
      </c>
      <c r="J63">
        <v>44</v>
      </c>
      <c r="K63">
        <v>506.88999999999965</v>
      </c>
      <c r="L63">
        <v>506.88999999999965</v>
      </c>
      <c r="M63">
        <v>0</v>
      </c>
      <c r="N63">
        <v>1089.2900000000004</v>
      </c>
      <c r="O63">
        <v>1076.3000000000004</v>
      </c>
      <c r="P63">
        <v>-12.99</v>
      </c>
      <c r="Q63">
        <v>-7469.52</v>
      </c>
      <c r="R63">
        <v>-7372.52</v>
      </c>
      <c r="S63">
        <v>97</v>
      </c>
      <c r="T63">
        <v>-35</v>
      </c>
      <c r="U63">
        <v>-35</v>
      </c>
      <c r="V63">
        <v>0</v>
      </c>
      <c r="W63">
        <v>-47.99</v>
      </c>
      <c r="X63">
        <v>-47.99</v>
      </c>
      <c r="Y63">
        <v>0</v>
      </c>
      <c r="Z63">
        <v>17037.799999999992</v>
      </c>
      <c r="AA63">
        <v>17165.809999999994</v>
      </c>
      <c r="AB63">
        <v>128.01000000000002</v>
      </c>
      <c r="AC63">
        <v>2607.840000000002</v>
      </c>
      <c r="AD63">
        <v>1304.4599999999998</v>
      </c>
      <c r="AE63">
        <v>-1303.3799999999999</v>
      </c>
      <c r="AF63">
        <v>14429.959999999992</v>
      </c>
      <c r="AG63">
        <v>15861.349999999993</v>
      </c>
      <c r="AH63">
        <v>1431.39</v>
      </c>
      <c r="AI63">
        <v>-768.38999999999953</v>
      </c>
      <c r="AJ63">
        <v>0</v>
      </c>
      <c r="AK63">
        <v>768.38999999999953</v>
      </c>
      <c r="AL63">
        <v>15198.349999999995</v>
      </c>
      <c r="AM63">
        <v>15861.349999999993</v>
      </c>
      <c r="AN63">
        <v>662.99999999999966</v>
      </c>
      <c r="AO63">
        <v>269</v>
      </c>
    </row>
    <row r="64" spans="1:41" x14ac:dyDescent="0.35">
      <c r="A64">
        <v>2024</v>
      </c>
      <c r="B64">
        <v>2</v>
      </c>
      <c r="C64">
        <v>6</v>
      </c>
      <c r="D64" s="14">
        <v>45332</v>
      </c>
      <c r="E64" t="s">
        <v>44</v>
      </c>
      <c r="F64" t="s">
        <v>47</v>
      </c>
      <c r="G64" t="s">
        <v>50</v>
      </c>
      <c r="H64">
        <v>24045.48</v>
      </c>
      <c r="I64">
        <v>24092.48</v>
      </c>
      <c r="J64">
        <v>47</v>
      </c>
      <c r="K64">
        <v>621.09999999999968</v>
      </c>
      <c r="L64">
        <v>621.09999999999968</v>
      </c>
      <c r="M64">
        <v>0</v>
      </c>
      <c r="N64">
        <v>1185.2200000000005</v>
      </c>
      <c r="O64">
        <v>1185.2200000000005</v>
      </c>
      <c r="P64">
        <v>0</v>
      </c>
      <c r="Q64">
        <v>-7165.76</v>
      </c>
      <c r="R64">
        <v>-7060.76</v>
      </c>
      <c r="S64">
        <v>105</v>
      </c>
      <c r="T64">
        <v>-35</v>
      </c>
      <c r="U64">
        <v>-35</v>
      </c>
      <c r="V64">
        <v>0</v>
      </c>
      <c r="W64">
        <v>-69.98</v>
      </c>
      <c r="X64">
        <v>-69.98</v>
      </c>
      <c r="Y64">
        <v>0</v>
      </c>
      <c r="Z64">
        <v>18581.060000000001</v>
      </c>
      <c r="AA64">
        <v>18733.060000000001</v>
      </c>
      <c r="AB64">
        <v>152</v>
      </c>
      <c r="AC64">
        <v>2355.8600000000006</v>
      </c>
      <c r="AD64">
        <v>1065.9000000000003</v>
      </c>
      <c r="AE64">
        <v>-1289.96</v>
      </c>
      <c r="AF64">
        <v>16225.199999999995</v>
      </c>
      <c r="AG64">
        <v>17667.16</v>
      </c>
      <c r="AH64">
        <v>1441.96</v>
      </c>
      <c r="AI64">
        <v>-688.5200000000001</v>
      </c>
      <c r="AJ64">
        <v>0</v>
      </c>
      <c r="AK64">
        <v>688.5200000000001</v>
      </c>
      <c r="AL64">
        <v>16913.720000000005</v>
      </c>
      <c r="AM64">
        <v>17667.16</v>
      </c>
      <c r="AN64">
        <v>753.43999999999994</v>
      </c>
      <c r="AO64">
        <v>281</v>
      </c>
    </row>
    <row r="65" spans="1:41" x14ac:dyDescent="0.35">
      <c r="A65">
        <v>2024</v>
      </c>
      <c r="B65">
        <v>2</v>
      </c>
      <c r="C65">
        <v>6</v>
      </c>
      <c r="D65" s="14">
        <v>45326</v>
      </c>
      <c r="E65" t="s">
        <v>44</v>
      </c>
      <c r="F65" t="s">
        <v>47</v>
      </c>
      <c r="G65" t="s">
        <v>51</v>
      </c>
      <c r="H65">
        <v>3223.75</v>
      </c>
      <c r="I65">
        <v>3223.75</v>
      </c>
      <c r="J65">
        <v>0</v>
      </c>
      <c r="K65">
        <v>5</v>
      </c>
      <c r="L65">
        <v>5</v>
      </c>
      <c r="M65">
        <v>0</v>
      </c>
      <c r="N65">
        <v>0</v>
      </c>
      <c r="O65">
        <v>0</v>
      </c>
      <c r="P65">
        <v>0</v>
      </c>
      <c r="Q65">
        <v>-832.79999999999984</v>
      </c>
      <c r="R65">
        <v>-832.79999999999984</v>
      </c>
      <c r="S65">
        <v>0</v>
      </c>
      <c r="T65">
        <v>-5</v>
      </c>
      <c r="U65">
        <v>-5</v>
      </c>
      <c r="V65">
        <v>0</v>
      </c>
      <c r="W65">
        <v>0</v>
      </c>
      <c r="X65">
        <v>0</v>
      </c>
      <c r="Y65">
        <v>0</v>
      </c>
      <c r="Z65">
        <v>2390.9499999999998</v>
      </c>
      <c r="AA65">
        <v>2390.9499999999998</v>
      </c>
      <c r="AB65">
        <v>0</v>
      </c>
      <c r="AC65">
        <v>42.510000000000005</v>
      </c>
      <c r="AE65">
        <v>-42.510000000000005</v>
      </c>
      <c r="AF65">
        <v>2348.4399999999996</v>
      </c>
      <c r="AG65">
        <v>2390.9499999999998</v>
      </c>
      <c r="AH65">
        <v>42.51</v>
      </c>
      <c r="AI65">
        <v>762.72000000000014</v>
      </c>
      <c r="AJ65">
        <v>0</v>
      </c>
      <c r="AK65">
        <v>-762.72000000000014</v>
      </c>
      <c r="AL65">
        <v>1585.7200000000007</v>
      </c>
      <c r="AM65">
        <v>2390.9499999999998</v>
      </c>
      <c r="AN65">
        <v>805.23000000000013</v>
      </c>
      <c r="AO65">
        <v>55</v>
      </c>
    </row>
    <row r="66" spans="1:41" x14ac:dyDescent="0.35">
      <c r="A66">
        <v>2024</v>
      </c>
      <c r="B66">
        <v>2</v>
      </c>
      <c r="C66">
        <v>6</v>
      </c>
      <c r="D66" s="14">
        <v>45327</v>
      </c>
      <c r="E66" t="s">
        <v>44</v>
      </c>
      <c r="F66" t="s">
        <v>47</v>
      </c>
      <c r="G66" t="s">
        <v>51</v>
      </c>
      <c r="H66">
        <v>155</v>
      </c>
      <c r="I66">
        <v>155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-49.099999999999994</v>
      </c>
      <c r="R66">
        <v>-49.099999999999994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105.9</v>
      </c>
      <c r="AA66">
        <v>105.9</v>
      </c>
      <c r="AB66">
        <v>0</v>
      </c>
      <c r="AE66">
        <v>0</v>
      </c>
      <c r="AF66">
        <v>105.9</v>
      </c>
      <c r="AG66">
        <v>105.9</v>
      </c>
      <c r="AH66">
        <v>0</v>
      </c>
      <c r="AI66">
        <v>12.72</v>
      </c>
      <c r="AJ66">
        <v>0</v>
      </c>
      <c r="AK66">
        <v>-12.72</v>
      </c>
      <c r="AL66">
        <v>93.18</v>
      </c>
      <c r="AM66">
        <v>105.9</v>
      </c>
      <c r="AN66">
        <v>12.720000000000002</v>
      </c>
      <c r="AO66">
        <v>3</v>
      </c>
    </row>
    <row r="67" spans="1:41" x14ac:dyDescent="0.35">
      <c r="A67">
        <v>2024</v>
      </c>
      <c r="B67">
        <v>2</v>
      </c>
      <c r="C67">
        <v>6</v>
      </c>
      <c r="D67" s="14">
        <v>45328</v>
      </c>
      <c r="E67" t="s">
        <v>44</v>
      </c>
      <c r="F67" t="s">
        <v>47</v>
      </c>
      <c r="G67" t="s">
        <v>51</v>
      </c>
      <c r="H67">
        <v>2256.0500000000002</v>
      </c>
      <c r="I67">
        <v>2256.0500000000002</v>
      </c>
      <c r="J67">
        <v>0</v>
      </c>
      <c r="K67">
        <v>10</v>
      </c>
      <c r="L67">
        <v>10</v>
      </c>
      <c r="M67">
        <v>0</v>
      </c>
      <c r="N67">
        <v>15.99</v>
      </c>
      <c r="O67">
        <v>15.99</v>
      </c>
      <c r="P67">
        <v>0</v>
      </c>
      <c r="Q67">
        <v>-551.4</v>
      </c>
      <c r="R67">
        <v>-551.4</v>
      </c>
      <c r="S67">
        <v>0</v>
      </c>
      <c r="T67">
        <v>-4</v>
      </c>
      <c r="U67">
        <v>-4</v>
      </c>
      <c r="V67">
        <v>0</v>
      </c>
      <c r="W67">
        <v>0</v>
      </c>
      <c r="X67">
        <v>0</v>
      </c>
      <c r="Y67">
        <v>0</v>
      </c>
      <c r="Z67">
        <v>1726.6399999999999</v>
      </c>
      <c r="AA67">
        <v>1726.6399999999999</v>
      </c>
      <c r="AB67">
        <v>0</v>
      </c>
      <c r="AC67">
        <v>131.65</v>
      </c>
      <c r="AD67">
        <v>131.65</v>
      </c>
      <c r="AE67">
        <v>0</v>
      </c>
      <c r="AF67">
        <v>1594.99</v>
      </c>
      <c r="AG67">
        <v>1594.99</v>
      </c>
      <c r="AH67">
        <v>0</v>
      </c>
      <c r="AI67">
        <v>467.57000000000011</v>
      </c>
      <c r="AJ67">
        <v>0</v>
      </c>
      <c r="AK67">
        <v>-467.57000000000011</v>
      </c>
      <c r="AL67">
        <v>1127.42</v>
      </c>
      <c r="AM67">
        <v>1594.99</v>
      </c>
      <c r="AN67">
        <v>467.57000000000005</v>
      </c>
      <c r="AO67">
        <v>37</v>
      </c>
    </row>
    <row r="68" spans="1:41" x14ac:dyDescent="0.35">
      <c r="A68">
        <v>2024</v>
      </c>
      <c r="B68">
        <v>2</v>
      </c>
      <c r="C68">
        <v>6</v>
      </c>
      <c r="D68" s="14">
        <v>45329</v>
      </c>
      <c r="E68" t="s">
        <v>44</v>
      </c>
      <c r="F68" t="s">
        <v>47</v>
      </c>
      <c r="G68" t="s">
        <v>51</v>
      </c>
      <c r="H68">
        <v>6010.0000000000018</v>
      </c>
      <c r="I68">
        <v>6010.0000000000018</v>
      </c>
      <c r="J68">
        <v>0</v>
      </c>
      <c r="K68">
        <v>52.5</v>
      </c>
      <c r="L68">
        <v>52.5</v>
      </c>
      <c r="M68">
        <v>0</v>
      </c>
      <c r="N68">
        <v>15.99</v>
      </c>
      <c r="O68">
        <v>15.99</v>
      </c>
      <c r="P68">
        <v>0</v>
      </c>
      <c r="Q68">
        <v>-1688.0499999999997</v>
      </c>
      <c r="R68">
        <v>-1688.0499999999997</v>
      </c>
      <c r="S68">
        <v>0</v>
      </c>
      <c r="T68">
        <v>-12</v>
      </c>
      <c r="U68">
        <v>-12</v>
      </c>
      <c r="V68">
        <v>0</v>
      </c>
      <c r="W68">
        <v>0</v>
      </c>
      <c r="X68">
        <v>0</v>
      </c>
      <c r="Y68">
        <v>0</v>
      </c>
      <c r="Z68">
        <v>4378.4400000000014</v>
      </c>
      <c r="AA68">
        <v>4378.4400000000014</v>
      </c>
      <c r="AB68">
        <v>0</v>
      </c>
      <c r="AC68">
        <v>164.98</v>
      </c>
      <c r="AD68">
        <v>33.33</v>
      </c>
      <c r="AE68">
        <v>-131.64999999999998</v>
      </c>
      <c r="AF68">
        <v>4213.4600000000009</v>
      </c>
      <c r="AG68">
        <v>4345.1100000000006</v>
      </c>
      <c r="AH68">
        <v>131.64999999999998</v>
      </c>
      <c r="AI68">
        <v>1274.74</v>
      </c>
      <c r="AJ68">
        <v>0</v>
      </c>
      <c r="AK68">
        <v>-1274.74</v>
      </c>
      <c r="AL68">
        <v>2938.7199999999966</v>
      </c>
      <c r="AM68">
        <v>4345.1100000000006</v>
      </c>
      <c r="AN68">
        <v>1406.39</v>
      </c>
      <c r="AO68">
        <v>97</v>
      </c>
    </row>
    <row r="69" spans="1:41" x14ac:dyDescent="0.35">
      <c r="A69">
        <v>2024</v>
      </c>
      <c r="B69">
        <v>2</v>
      </c>
      <c r="C69">
        <v>6</v>
      </c>
      <c r="D69" s="14">
        <v>45330</v>
      </c>
      <c r="E69" t="s">
        <v>44</v>
      </c>
      <c r="F69" t="s">
        <v>47</v>
      </c>
      <c r="G69" t="s">
        <v>51</v>
      </c>
      <c r="H69">
        <v>9327.35</v>
      </c>
      <c r="I69">
        <v>9327.35</v>
      </c>
      <c r="J69">
        <v>0</v>
      </c>
      <c r="K69">
        <v>32.5</v>
      </c>
      <c r="L69">
        <v>32.5</v>
      </c>
      <c r="M69">
        <v>0</v>
      </c>
      <c r="N69">
        <v>0</v>
      </c>
      <c r="O69">
        <v>0</v>
      </c>
      <c r="P69">
        <v>0</v>
      </c>
      <c r="Q69">
        <v>-3040.9</v>
      </c>
      <c r="R69">
        <v>-3040.9</v>
      </c>
      <c r="S69">
        <v>0</v>
      </c>
      <c r="T69">
        <v>-8</v>
      </c>
      <c r="U69">
        <v>-8</v>
      </c>
      <c r="V69">
        <v>0</v>
      </c>
      <c r="W69">
        <v>0</v>
      </c>
      <c r="X69">
        <v>0</v>
      </c>
      <c r="Y69">
        <v>0</v>
      </c>
      <c r="Z69">
        <v>6310.95</v>
      </c>
      <c r="AA69">
        <v>6310.95</v>
      </c>
      <c r="AB69">
        <v>0</v>
      </c>
      <c r="AC69">
        <v>33.33</v>
      </c>
      <c r="AE69">
        <v>-33.33</v>
      </c>
      <c r="AF69">
        <v>6277.62</v>
      </c>
      <c r="AG69">
        <v>6310.95</v>
      </c>
      <c r="AH69">
        <v>33.33</v>
      </c>
      <c r="AI69">
        <v>1864.6800000000026</v>
      </c>
      <c r="AJ69">
        <v>0</v>
      </c>
      <c r="AK69">
        <v>-1864.6800000000026</v>
      </c>
      <c r="AL69">
        <v>4412.9399999999969</v>
      </c>
      <c r="AM69">
        <v>6310.95</v>
      </c>
      <c r="AN69">
        <v>1898.0100000000025</v>
      </c>
      <c r="AO69">
        <v>143</v>
      </c>
    </row>
    <row r="70" spans="1:41" x14ac:dyDescent="0.35">
      <c r="A70">
        <v>2024</v>
      </c>
      <c r="B70">
        <v>2</v>
      </c>
      <c r="C70">
        <v>6</v>
      </c>
      <c r="D70" s="14">
        <v>45331</v>
      </c>
      <c r="E70" t="s">
        <v>44</v>
      </c>
      <c r="F70" t="s">
        <v>47</v>
      </c>
      <c r="G70" t="s">
        <v>51</v>
      </c>
      <c r="H70">
        <v>10094.349999999999</v>
      </c>
      <c r="I70">
        <v>10094.349999999999</v>
      </c>
      <c r="J70">
        <v>0</v>
      </c>
      <c r="K70">
        <v>60.3</v>
      </c>
      <c r="L70">
        <v>60.3</v>
      </c>
      <c r="M70">
        <v>0</v>
      </c>
      <c r="N70">
        <v>0</v>
      </c>
      <c r="O70">
        <v>0</v>
      </c>
      <c r="P70">
        <v>0</v>
      </c>
      <c r="Q70">
        <v>-3339.6500000000005</v>
      </c>
      <c r="R70">
        <v>-3339.6500000000005</v>
      </c>
      <c r="S70">
        <v>0</v>
      </c>
      <c r="T70">
        <v>-8</v>
      </c>
      <c r="U70">
        <v>-8</v>
      </c>
      <c r="V70">
        <v>0</v>
      </c>
      <c r="W70">
        <v>0</v>
      </c>
      <c r="X70">
        <v>0</v>
      </c>
      <c r="Y70">
        <v>0</v>
      </c>
      <c r="Z70">
        <v>6807.0000000000009</v>
      </c>
      <c r="AA70">
        <v>6807.0000000000009</v>
      </c>
      <c r="AB70">
        <v>0</v>
      </c>
      <c r="AE70">
        <v>0</v>
      </c>
      <c r="AF70">
        <v>6807.0000000000009</v>
      </c>
      <c r="AG70">
        <v>6807.0000000000009</v>
      </c>
      <c r="AH70">
        <v>0</v>
      </c>
      <c r="AI70">
        <v>2280.7600000000011</v>
      </c>
      <c r="AJ70">
        <v>0</v>
      </c>
      <c r="AK70">
        <v>-2280.7600000000011</v>
      </c>
      <c r="AL70">
        <v>4526.2400000000007</v>
      </c>
      <c r="AM70">
        <v>6807.0000000000009</v>
      </c>
      <c r="AN70">
        <v>2280.7600000000016</v>
      </c>
      <c r="AO70">
        <v>149</v>
      </c>
    </row>
    <row r="71" spans="1:41" x14ac:dyDescent="0.35">
      <c r="A71">
        <v>2024</v>
      </c>
      <c r="B71">
        <v>2</v>
      </c>
      <c r="C71">
        <v>6</v>
      </c>
      <c r="D71" s="14">
        <v>45332</v>
      </c>
      <c r="E71" t="s">
        <v>44</v>
      </c>
      <c r="F71" t="s">
        <v>47</v>
      </c>
      <c r="G71" t="s">
        <v>51</v>
      </c>
      <c r="H71">
        <v>5495.6500000000005</v>
      </c>
      <c r="I71">
        <v>5495.6500000000005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-1438.3999999999996</v>
      </c>
      <c r="R71">
        <v>-1438.3999999999996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4057.2500000000005</v>
      </c>
      <c r="AA71">
        <v>4057.2500000000005</v>
      </c>
      <c r="AB71">
        <v>0</v>
      </c>
      <c r="AC71">
        <v>66.73</v>
      </c>
      <c r="AD71">
        <v>58.309999999999995</v>
      </c>
      <c r="AE71">
        <v>-8.42</v>
      </c>
      <c r="AF71">
        <v>3990.5200000000004</v>
      </c>
      <c r="AG71">
        <v>3998.9400000000005</v>
      </c>
      <c r="AH71">
        <v>8.4199999999999982</v>
      </c>
      <c r="AI71">
        <v>1026.4900000000002</v>
      </c>
      <c r="AJ71">
        <v>8.02</v>
      </c>
      <c r="AK71">
        <v>-1018.4700000000001</v>
      </c>
      <c r="AL71">
        <v>2964.0300000000007</v>
      </c>
      <c r="AM71">
        <v>3990.9200000000005</v>
      </c>
      <c r="AN71">
        <v>1026.8900000000003</v>
      </c>
      <c r="AO71">
        <v>89</v>
      </c>
    </row>
    <row r="72" spans="1:41" x14ac:dyDescent="0.35">
      <c r="A72">
        <v>2024</v>
      </c>
      <c r="B72">
        <v>2</v>
      </c>
      <c r="C72">
        <v>7</v>
      </c>
      <c r="D72" s="14">
        <v>45333</v>
      </c>
      <c r="E72" t="s">
        <v>41</v>
      </c>
      <c r="F72" t="s">
        <v>42</v>
      </c>
      <c r="G72" t="s">
        <v>43</v>
      </c>
      <c r="H72">
        <v>78190.25</v>
      </c>
      <c r="I72">
        <v>78272.25</v>
      </c>
      <c r="J72">
        <v>82</v>
      </c>
      <c r="K72">
        <v>963.87000000000728</v>
      </c>
      <c r="L72">
        <v>963.87000000000728</v>
      </c>
      <c r="M72">
        <v>0</v>
      </c>
      <c r="N72">
        <v>1886.630000000001</v>
      </c>
      <c r="O72">
        <v>1886.630000000001</v>
      </c>
      <c r="P72">
        <v>0</v>
      </c>
      <c r="Q72">
        <v>-8471</v>
      </c>
      <c r="R72">
        <v>-7712</v>
      </c>
      <c r="S72">
        <v>759</v>
      </c>
      <c r="T72">
        <v>-8.1900000000000013</v>
      </c>
      <c r="U72">
        <v>-8.1900000000000013</v>
      </c>
      <c r="V72">
        <v>0</v>
      </c>
      <c r="W72">
        <v>-49.5</v>
      </c>
      <c r="X72">
        <v>-49.5</v>
      </c>
      <c r="Y72">
        <v>0</v>
      </c>
      <c r="Z72">
        <v>72512.059999999808</v>
      </c>
      <c r="AA72">
        <v>73353.059999999808</v>
      </c>
      <c r="AB72">
        <v>841</v>
      </c>
      <c r="AC72">
        <v>18803.770000000004</v>
      </c>
      <c r="AD72">
        <v>10374.050000000021</v>
      </c>
      <c r="AE72">
        <v>-8429.7200000000175</v>
      </c>
      <c r="AF72">
        <v>53708.290000000263</v>
      </c>
      <c r="AG72">
        <v>62979.009999999987</v>
      </c>
      <c r="AH72">
        <v>9270.7200000000175</v>
      </c>
      <c r="AI72">
        <v>-5371.3699999999981</v>
      </c>
      <c r="AJ72">
        <v>0</v>
      </c>
      <c r="AK72">
        <v>5371.3699999999981</v>
      </c>
      <c r="AL72">
        <v>59079.660000000222</v>
      </c>
      <c r="AM72">
        <v>62979.009999999987</v>
      </c>
      <c r="AN72">
        <v>3899.3500000000081</v>
      </c>
      <c r="AO72">
        <v>1419</v>
      </c>
    </row>
    <row r="73" spans="1:41" x14ac:dyDescent="0.35">
      <c r="A73">
        <v>2024</v>
      </c>
      <c r="B73">
        <v>2</v>
      </c>
      <c r="C73">
        <v>7</v>
      </c>
      <c r="D73" s="14">
        <v>45334</v>
      </c>
      <c r="E73" t="s">
        <v>41</v>
      </c>
      <c r="F73" t="s">
        <v>42</v>
      </c>
      <c r="G73" t="s">
        <v>43</v>
      </c>
      <c r="H73">
        <v>72289.25</v>
      </c>
      <c r="I73">
        <v>72408.25</v>
      </c>
      <c r="J73">
        <v>119</v>
      </c>
      <c r="K73">
        <v>846.9700000000023</v>
      </c>
      <c r="L73">
        <v>839.9700000000023</v>
      </c>
      <c r="M73">
        <v>-7</v>
      </c>
      <c r="N73">
        <v>1776.7500000000009</v>
      </c>
      <c r="O73">
        <v>1776.7500000000009</v>
      </c>
      <c r="P73">
        <v>0</v>
      </c>
      <c r="Q73">
        <v>-7518.5</v>
      </c>
      <c r="R73">
        <v>-6654.5</v>
      </c>
      <c r="S73">
        <v>864</v>
      </c>
      <c r="T73">
        <v>-1.29</v>
      </c>
      <c r="U73">
        <v>-1.29</v>
      </c>
      <c r="V73">
        <v>0</v>
      </c>
      <c r="W73">
        <v>-36.5</v>
      </c>
      <c r="X73">
        <v>-36.5</v>
      </c>
      <c r="Y73">
        <v>0</v>
      </c>
      <c r="Z73">
        <v>67356.679999999615</v>
      </c>
      <c r="AA73">
        <v>68332.679999999644</v>
      </c>
      <c r="AB73">
        <v>976</v>
      </c>
      <c r="AC73">
        <v>18073.090000000004</v>
      </c>
      <c r="AD73">
        <v>7775.0500000000156</v>
      </c>
      <c r="AE73">
        <v>-10298.040000000028</v>
      </c>
      <c r="AF73">
        <v>49283.590000000288</v>
      </c>
      <c r="AG73">
        <v>60557.629999999874</v>
      </c>
      <c r="AH73">
        <v>11274.040000000028</v>
      </c>
      <c r="AI73">
        <v>-3997.1899999999991</v>
      </c>
      <c r="AJ73">
        <v>0</v>
      </c>
      <c r="AK73">
        <v>3997.1899999999991</v>
      </c>
      <c r="AL73">
        <v>53280.780000000239</v>
      </c>
      <c r="AM73">
        <v>60557.629999999874</v>
      </c>
      <c r="AN73">
        <v>7276.850000000024</v>
      </c>
      <c r="AO73">
        <v>1318</v>
      </c>
    </row>
    <row r="74" spans="1:41" x14ac:dyDescent="0.35">
      <c r="A74">
        <v>2024</v>
      </c>
      <c r="B74">
        <v>2</v>
      </c>
      <c r="C74">
        <v>7</v>
      </c>
      <c r="D74" s="14">
        <v>45335</v>
      </c>
      <c r="E74" t="s">
        <v>41</v>
      </c>
      <c r="F74" t="s">
        <v>42</v>
      </c>
      <c r="G74" t="s">
        <v>43</v>
      </c>
      <c r="H74">
        <v>70025.5</v>
      </c>
      <c r="I74">
        <v>70163.5</v>
      </c>
      <c r="J74">
        <v>138</v>
      </c>
      <c r="K74">
        <v>999.78000000000839</v>
      </c>
      <c r="L74">
        <v>999.78000000000839</v>
      </c>
      <c r="M74">
        <v>0</v>
      </c>
      <c r="N74">
        <v>1857.690000000001</v>
      </c>
      <c r="O74">
        <v>1857.690000000001</v>
      </c>
      <c r="P74">
        <v>0</v>
      </c>
      <c r="Q74">
        <v>-7518.2</v>
      </c>
      <c r="R74">
        <v>-6834.2</v>
      </c>
      <c r="S74">
        <v>684</v>
      </c>
      <c r="T74">
        <v>-13.510000000000003</v>
      </c>
      <c r="U74">
        <v>-13.510000000000003</v>
      </c>
      <c r="V74">
        <v>0</v>
      </c>
      <c r="W74">
        <v>-99.980000000000018</v>
      </c>
      <c r="X74">
        <v>-99.980000000000018</v>
      </c>
      <c r="Y74">
        <v>0</v>
      </c>
      <c r="Z74">
        <v>65251.279999999635</v>
      </c>
      <c r="AA74">
        <v>66073.279999999635</v>
      </c>
      <c r="AB74">
        <v>822</v>
      </c>
      <c r="AC74">
        <v>16736.840000000022</v>
      </c>
      <c r="AD74">
        <v>9129.0700000000161</v>
      </c>
      <c r="AE74">
        <v>-7607.7700000000123</v>
      </c>
      <c r="AF74">
        <v>48514.440000000192</v>
      </c>
      <c r="AG74">
        <v>56944.209999999941</v>
      </c>
      <c r="AH74">
        <v>8429.7700000000132</v>
      </c>
      <c r="AI74">
        <v>-4748.0700000000033</v>
      </c>
      <c r="AJ74">
        <v>0</v>
      </c>
      <c r="AK74">
        <v>4748.0700000000033</v>
      </c>
      <c r="AL74">
        <v>53262.510000000111</v>
      </c>
      <c r="AM74">
        <v>56944.209999999941</v>
      </c>
      <c r="AN74">
        <v>3681.7000000000044</v>
      </c>
      <c r="AO74">
        <v>1261</v>
      </c>
    </row>
    <row r="75" spans="1:41" x14ac:dyDescent="0.35">
      <c r="A75">
        <v>2024</v>
      </c>
      <c r="B75">
        <v>2</v>
      </c>
      <c r="C75">
        <v>7</v>
      </c>
      <c r="D75" s="14">
        <v>45336</v>
      </c>
      <c r="E75" t="s">
        <v>41</v>
      </c>
      <c r="F75" t="s">
        <v>42</v>
      </c>
      <c r="G75" t="s">
        <v>43</v>
      </c>
      <c r="H75">
        <v>64350.25</v>
      </c>
      <c r="I75">
        <v>64486.25</v>
      </c>
      <c r="J75">
        <v>136</v>
      </c>
      <c r="K75">
        <v>813.45000000000152</v>
      </c>
      <c r="L75">
        <v>813.45000000000152</v>
      </c>
      <c r="M75">
        <v>0</v>
      </c>
      <c r="N75">
        <v>1506.9200000000008</v>
      </c>
      <c r="O75">
        <v>1506.9200000000008</v>
      </c>
      <c r="P75">
        <v>0</v>
      </c>
      <c r="Q75">
        <v>-6650.9</v>
      </c>
      <c r="R75">
        <v>-6028.9</v>
      </c>
      <c r="S75">
        <v>622</v>
      </c>
      <c r="T75">
        <v>-17.100000000000001</v>
      </c>
      <c r="U75">
        <v>-17.100000000000001</v>
      </c>
      <c r="V75">
        <v>0</v>
      </c>
      <c r="W75">
        <v>-65</v>
      </c>
      <c r="X75">
        <v>-65</v>
      </c>
      <c r="Y75">
        <v>0</v>
      </c>
      <c r="Z75">
        <v>59937.619999999595</v>
      </c>
      <c r="AA75">
        <v>60695.619999999595</v>
      </c>
      <c r="AB75">
        <v>758</v>
      </c>
      <c r="AC75">
        <v>15865.150000000025</v>
      </c>
      <c r="AD75">
        <v>6851.5900000000147</v>
      </c>
      <c r="AE75">
        <v>-9013.560000000025</v>
      </c>
      <c r="AF75">
        <v>44072.470000000227</v>
      </c>
      <c r="AG75">
        <v>53844.029999999912</v>
      </c>
      <c r="AH75">
        <v>9771.5600000000231</v>
      </c>
      <c r="AI75">
        <v>-3434.8300000000008</v>
      </c>
      <c r="AJ75">
        <v>0</v>
      </c>
      <c r="AK75">
        <v>3434.8300000000008</v>
      </c>
      <c r="AL75">
        <v>47507.300000000265</v>
      </c>
      <c r="AM75">
        <v>53844.029999999912</v>
      </c>
      <c r="AN75">
        <v>6336.7300000000259</v>
      </c>
      <c r="AO75">
        <v>1163</v>
      </c>
    </row>
    <row r="76" spans="1:41" x14ac:dyDescent="0.35">
      <c r="A76">
        <v>2024</v>
      </c>
      <c r="B76">
        <v>2</v>
      </c>
      <c r="C76">
        <v>7</v>
      </c>
      <c r="D76" s="14">
        <v>45337</v>
      </c>
      <c r="E76" t="s">
        <v>41</v>
      </c>
      <c r="F76" t="s">
        <v>42</v>
      </c>
      <c r="G76" t="s">
        <v>43</v>
      </c>
      <c r="H76">
        <v>57494.75</v>
      </c>
      <c r="I76">
        <v>57581.75</v>
      </c>
      <c r="J76">
        <v>87</v>
      </c>
      <c r="K76">
        <v>735.9000000000035</v>
      </c>
      <c r="L76">
        <v>728.90000000000327</v>
      </c>
      <c r="M76">
        <v>-7</v>
      </c>
      <c r="N76">
        <v>1756.7900000000009</v>
      </c>
      <c r="O76">
        <v>1756.7900000000009</v>
      </c>
      <c r="P76">
        <v>0</v>
      </c>
      <c r="Q76">
        <v>-6173.35</v>
      </c>
      <c r="R76">
        <v>-5638.35</v>
      </c>
      <c r="S76">
        <v>535</v>
      </c>
      <c r="T76">
        <v>-7.5600000000000005</v>
      </c>
      <c r="U76">
        <v>-7.1000000000000005</v>
      </c>
      <c r="V76">
        <v>0.46</v>
      </c>
      <c r="W76">
        <v>-51.49</v>
      </c>
      <c r="X76">
        <v>-51.49</v>
      </c>
      <c r="Y76">
        <v>0</v>
      </c>
      <c r="Z76">
        <v>53755.039999999732</v>
      </c>
      <c r="AA76">
        <v>54370.499999999731</v>
      </c>
      <c r="AB76">
        <v>615.46</v>
      </c>
      <c r="AC76">
        <v>13914.900000000025</v>
      </c>
      <c r="AD76">
        <v>7063.3100000000122</v>
      </c>
      <c r="AE76">
        <v>-6851.5900000000101</v>
      </c>
      <c r="AF76">
        <v>39840.140000000174</v>
      </c>
      <c r="AG76">
        <v>47307.189999999973</v>
      </c>
      <c r="AH76">
        <v>7467.050000000012</v>
      </c>
      <c r="AI76">
        <v>-3678.5100000000007</v>
      </c>
      <c r="AJ76">
        <v>0</v>
      </c>
      <c r="AK76">
        <v>3678.5100000000007</v>
      </c>
      <c r="AL76">
        <v>43518.650000000125</v>
      </c>
      <c r="AM76">
        <v>47307.189999999973</v>
      </c>
      <c r="AN76">
        <v>3788.5400000000068</v>
      </c>
      <c r="AO76">
        <v>1041</v>
      </c>
    </row>
    <row r="77" spans="1:41" x14ac:dyDescent="0.35">
      <c r="A77">
        <v>2024</v>
      </c>
      <c r="B77">
        <v>2</v>
      </c>
      <c r="C77">
        <v>7</v>
      </c>
      <c r="D77" s="14">
        <v>45338</v>
      </c>
      <c r="E77" t="s">
        <v>41</v>
      </c>
      <c r="F77" t="s">
        <v>42</v>
      </c>
      <c r="G77" t="s">
        <v>43</v>
      </c>
      <c r="H77">
        <v>65573.5</v>
      </c>
      <c r="I77">
        <v>65651.5</v>
      </c>
      <c r="J77">
        <v>78</v>
      </c>
      <c r="K77">
        <v>977.5200000000051</v>
      </c>
      <c r="L77">
        <v>977.5200000000051</v>
      </c>
      <c r="M77">
        <v>0</v>
      </c>
      <c r="N77">
        <v>2121.52</v>
      </c>
      <c r="O77">
        <v>2108.5300000000002</v>
      </c>
      <c r="P77">
        <v>-12.99</v>
      </c>
      <c r="Q77">
        <v>-6920.7000000000007</v>
      </c>
      <c r="R77">
        <v>-6377.7</v>
      </c>
      <c r="S77">
        <v>543</v>
      </c>
      <c r="T77">
        <v>-4.8900000000000006</v>
      </c>
      <c r="U77">
        <v>-4.8900000000000006</v>
      </c>
      <c r="V77">
        <v>0</v>
      </c>
      <c r="W77">
        <v>-71.989999999999995</v>
      </c>
      <c r="X77">
        <v>-71.989999999999995</v>
      </c>
      <c r="Y77">
        <v>0</v>
      </c>
      <c r="Z77">
        <v>61674.959999999599</v>
      </c>
      <c r="AA77">
        <v>62282.969999999594</v>
      </c>
      <c r="AB77">
        <v>608.01</v>
      </c>
      <c r="AC77">
        <v>15228.000000000033</v>
      </c>
      <c r="AD77">
        <v>8341.9100000000217</v>
      </c>
      <c r="AE77">
        <v>-6886.090000000012</v>
      </c>
      <c r="AF77">
        <v>46446.960000000196</v>
      </c>
      <c r="AG77">
        <v>53941.05999999999</v>
      </c>
      <c r="AH77">
        <v>7494.1000000000122</v>
      </c>
      <c r="AI77">
        <v>-4237.8999999999996</v>
      </c>
      <c r="AJ77">
        <v>0</v>
      </c>
      <c r="AK77">
        <v>4237.8999999999996</v>
      </c>
      <c r="AL77">
        <v>50684.860000000132</v>
      </c>
      <c r="AM77">
        <v>53941.05999999999</v>
      </c>
      <c r="AN77">
        <v>3256.2000000000098</v>
      </c>
      <c r="AO77">
        <v>1170</v>
      </c>
    </row>
    <row r="78" spans="1:41" x14ac:dyDescent="0.35">
      <c r="A78">
        <v>2024</v>
      </c>
      <c r="B78">
        <v>2</v>
      </c>
      <c r="C78">
        <v>7</v>
      </c>
      <c r="D78" s="14">
        <v>45339</v>
      </c>
      <c r="E78" t="s">
        <v>41</v>
      </c>
      <c r="F78" t="s">
        <v>42</v>
      </c>
      <c r="G78" t="s">
        <v>43</v>
      </c>
      <c r="H78">
        <v>76865</v>
      </c>
      <c r="I78">
        <v>77079</v>
      </c>
      <c r="J78">
        <v>214</v>
      </c>
      <c r="K78">
        <v>1128.8100000000113</v>
      </c>
      <c r="L78">
        <v>1128.8100000000113</v>
      </c>
      <c r="M78">
        <v>0</v>
      </c>
      <c r="N78">
        <v>2086.5400000000004</v>
      </c>
      <c r="O78">
        <v>2067.5500000000006</v>
      </c>
      <c r="P78">
        <v>-18.990000000000002</v>
      </c>
      <c r="Q78">
        <v>-7574.25</v>
      </c>
      <c r="R78">
        <v>-7120.25</v>
      </c>
      <c r="S78">
        <v>454</v>
      </c>
      <c r="T78">
        <v>-4.8600000000000003</v>
      </c>
      <c r="U78">
        <v>-4.8600000000000003</v>
      </c>
      <c r="V78">
        <v>0</v>
      </c>
      <c r="W78">
        <v>-84.8</v>
      </c>
      <c r="X78">
        <v>-84.8</v>
      </c>
      <c r="Y78">
        <v>0</v>
      </c>
      <c r="Z78">
        <v>72416.439999999799</v>
      </c>
      <c r="AA78">
        <v>73065.449999999837</v>
      </c>
      <c r="AB78">
        <v>649.01</v>
      </c>
      <c r="AC78">
        <v>19394.379999999903</v>
      </c>
      <c r="AD78">
        <v>11155.600000000004</v>
      </c>
      <c r="AE78">
        <v>-8238.7800000000207</v>
      </c>
      <c r="AF78">
        <v>53022.060000000187</v>
      </c>
      <c r="AG78">
        <v>61909.84999999994</v>
      </c>
      <c r="AH78">
        <v>8887.7900000000172</v>
      </c>
      <c r="AI78">
        <v>-5894.5399999999981</v>
      </c>
      <c r="AJ78">
        <v>0</v>
      </c>
      <c r="AK78">
        <v>5894.5399999999981</v>
      </c>
      <c r="AL78">
        <v>58916.600000000173</v>
      </c>
      <c r="AM78">
        <v>61909.84999999994</v>
      </c>
      <c r="AN78">
        <v>2993.25000000001</v>
      </c>
      <c r="AO78">
        <v>1357</v>
      </c>
    </row>
    <row r="79" spans="1:41" x14ac:dyDescent="0.35">
      <c r="A79">
        <v>2024</v>
      </c>
      <c r="B79">
        <v>2</v>
      </c>
      <c r="C79">
        <v>7</v>
      </c>
      <c r="D79" s="14">
        <v>45333</v>
      </c>
      <c r="E79" t="s">
        <v>44</v>
      </c>
      <c r="F79" t="s">
        <v>42</v>
      </c>
      <c r="G79" t="s">
        <v>45</v>
      </c>
      <c r="H79">
        <v>108113.25</v>
      </c>
      <c r="I79">
        <v>108236.25</v>
      </c>
      <c r="J79">
        <v>123</v>
      </c>
      <c r="K79">
        <v>954.98000000000434</v>
      </c>
      <c r="L79">
        <v>924.98000000000252</v>
      </c>
      <c r="M79">
        <v>-30</v>
      </c>
      <c r="N79">
        <v>4698.889999999963</v>
      </c>
      <c r="O79">
        <v>4698.889999999963</v>
      </c>
      <c r="P79">
        <v>0</v>
      </c>
      <c r="Q79">
        <v>-19191.650000000001</v>
      </c>
      <c r="R79">
        <v>-18667.650000000001</v>
      </c>
      <c r="S79">
        <v>524</v>
      </c>
      <c r="T79">
        <v>-1.93</v>
      </c>
      <c r="U79">
        <v>-1.93</v>
      </c>
      <c r="V79">
        <v>0</v>
      </c>
      <c r="W79">
        <v>-47.5</v>
      </c>
      <c r="X79">
        <v>-47.5</v>
      </c>
      <c r="Y79">
        <v>0</v>
      </c>
      <c r="Z79">
        <v>94526.040000000372</v>
      </c>
      <c r="AA79">
        <v>95143.040000000372</v>
      </c>
      <c r="AB79">
        <v>617</v>
      </c>
      <c r="AC79">
        <v>15312.399999999992</v>
      </c>
      <c r="AD79">
        <v>8063.5800000000263</v>
      </c>
      <c r="AE79">
        <v>-7248.8200000000234</v>
      </c>
      <c r="AF79">
        <v>79213.640000000451</v>
      </c>
      <c r="AG79">
        <v>87079.460000000414</v>
      </c>
      <c r="AH79">
        <v>7865.8200000000243</v>
      </c>
      <c r="AI79">
        <v>-4362.8100000000068</v>
      </c>
      <c r="AJ79">
        <v>0</v>
      </c>
      <c r="AK79">
        <v>4362.8100000000068</v>
      </c>
      <c r="AL79">
        <v>83576.450000000244</v>
      </c>
      <c r="AM79">
        <v>87079.460000000414</v>
      </c>
      <c r="AN79">
        <v>3503.0100000000075</v>
      </c>
      <c r="AO79">
        <v>1474</v>
      </c>
    </row>
    <row r="80" spans="1:41" x14ac:dyDescent="0.35">
      <c r="A80">
        <v>2024</v>
      </c>
      <c r="B80">
        <v>2</v>
      </c>
      <c r="C80">
        <v>7</v>
      </c>
      <c r="D80" s="14">
        <v>45334</v>
      </c>
      <c r="E80" t="s">
        <v>44</v>
      </c>
      <c r="F80" t="s">
        <v>42</v>
      </c>
      <c r="G80" t="s">
        <v>45</v>
      </c>
      <c r="H80">
        <v>89244</v>
      </c>
      <c r="I80">
        <v>89397</v>
      </c>
      <c r="J80">
        <v>153</v>
      </c>
      <c r="K80">
        <v>706.47000000000105</v>
      </c>
      <c r="L80">
        <v>706.47000000000105</v>
      </c>
      <c r="M80">
        <v>0</v>
      </c>
      <c r="N80">
        <v>3477.689999999981</v>
      </c>
      <c r="O80">
        <v>3477.689999999981</v>
      </c>
      <c r="P80">
        <v>0</v>
      </c>
      <c r="Q80">
        <v>-16491.7</v>
      </c>
      <c r="R80">
        <v>-15995.7</v>
      </c>
      <c r="S80">
        <v>496</v>
      </c>
      <c r="T80">
        <v>-9.8600000000000012</v>
      </c>
      <c r="U80">
        <v>-9.8600000000000012</v>
      </c>
      <c r="V80">
        <v>0</v>
      </c>
      <c r="W80">
        <v>-77.989999999999995</v>
      </c>
      <c r="X80">
        <v>-77.989999999999995</v>
      </c>
      <c r="Y80">
        <v>0</v>
      </c>
      <c r="Z80">
        <v>76848.609999999971</v>
      </c>
      <c r="AA80">
        <v>77497.609999999986</v>
      </c>
      <c r="AB80">
        <v>649</v>
      </c>
      <c r="AC80">
        <v>13292.559999999992</v>
      </c>
      <c r="AD80">
        <v>5312.6300000000138</v>
      </c>
      <c r="AE80">
        <v>-7979.9300000000258</v>
      </c>
      <c r="AF80">
        <v>63556.050000000192</v>
      </c>
      <c r="AG80">
        <v>72184.98</v>
      </c>
      <c r="AH80">
        <v>8628.9300000000221</v>
      </c>
      <c r="AI80">
        <v>-2889.7400000000016</v>
      </c>
      <c r="AJ80">
        <v>0</v>
      </c>
      <c r="AK80">
        <v>2889.7400000000016</v>
      </c>
      <c r="AL80">
        <v>66445.79000000011</v>
      </c>
      <c r="AM80">
        <v>72184.98</v>
      </c>
      <c r="AN80">
        <v>5739.1900000000096</v>
      </c>
      <c r="AO80">
        <v>1219</v>
      </c>
    </row>
    <row r="81" spans="1:41" x14ac:dyDescent="0.35">
      <c r="A81">
        <v>2024</v>
      </c>
      <c r="B81">
        <v>2</v>
      </c>
      <c r="C81">
        <v>7</v>
      </c>
      <c r="D81" s="14">
        <v>45335</v>
      </c>
      <c r="E81" t="s">
        <v>44</v>
      </c>
      <c r="F81" t="s">
        <v>42</v>
      </c>
      <c r="G81" t="s">
        <v>45</v>
      </c>
      <c r="H81">
        <v>88245.5</v>
      </c>
      <c r="I81">
        <v>88398.5</v>
      </c>
      <c r="J81">
        <v>153</v>
      </c>
      <c r="K81">
        <v>727.22000000000037</v>
      </c>
      <c r="L81">
        <v>727.22000000000037</v>
      </c>
      <c r="M81">
        <v>0</v>
      </c>
      <c r="N81">
        <v>3872.5099999999752</v>
      </c>
      <c r="O81">
        <v>3872.5099999999752</v>
      </c>
      <c r="P81">
        <v>0</v>
      </c>
      <c r="Q81">
        <v>-15407.7</v>
      </c>
      <c r="R81">
        <v>-15028.7</v>
      </c>
      <c r="S81">
        <v>379</v>
      </c>
      <c r="T81">
        <v>-5.68</v>
      </c>
      <c r="U81">
        <v>-5.68</v>
      </c>
      <c r="V81">
        <v>0</v>
      </c>
      <c r="W81">
        <v>-84.490000000000009</v>
      </c>
      <c r="X81">
        <v>-84.490000000000009</v>
      </c>
      <c r="Y81">
        <v>0</v>
      </c>
      <c r="Z81">
        <v>77347.359999999928</v>
      </c>
      <c r="AA81">
        <v>77879.359999999913</v>
      </c>
      <c r="AB81">
        <v>532</v>
      </c>
      <c r="AC81">
        <v>11818.810000000012</v>
      </c>
      <c r="AD81">
        <v>6639.6500000000224</v>
      </c>
      <c r="AE81">
        <v>-5179.1600000000126</v>
      </c>
      <c r="AF81">
        <v>65528.550000000192</v>
      </c>
      <c r="AG81">
        <v>71239.710000000065</v>
      </c>
      <c r="AH81">
        <v>5711.1600000000144</v>
      </c>
      <c r="AI81">
        <v>-3358.7</v>
      </c>
      <c r="AJ81">
        <v>0</v>
      </c>
      <c r="AK81">
        <v>3358.7</v>
      </c>
      <c r="AL81">
        <v>68887.250000000044</v>
      </c>
      <c r="AM81">
        <v>71239.710000000065</v>
      </c>
      <c r="AN81">
        <v>2352.4600000000005</v>
      </c>
      <c r="AO81">
        <v>1183</v>
      </c>
    </row>
    <row r="82" spans="1:41" x14ac:dyDescent="0.35">
      <c r="A82">
        <v>2024</v>
      </c>
      <c r="B82">
        <v>2</v>
      </c>
      <c r="C82">
        <v>7</v>
      </c>
      <c r="D82" s="14">
        <v>45336</v>
      </c>
      <c r="E82" t="s">
        <v>44</v>
      </c>
      <c r="F82" t="s">
        <v>42</v>
      </c>
      <c r="G82" t="s">
        <v>45</v>
      </c>
      <c r="H82">
        <v>93305</v>
      </c>
      <c r="I82">
        <v>93461</v>
      </c>
      <c r="J82">
        <v>156</v>
      </c>
      <c r="K82">
        <v>754.66000000000349</v>
      </c>
      <c r="L82">
        <v>754.66000000000349</v>
      </c>
      <c r="M82">
        <v>0</v>
      </c>
      <c r="N82">
        <v>3971.3399999999733</v>
      </c>
      <c r="O82">
        <v>3964.3499999999735</v>
      </c>
      <c r="P82">
        <v>-6.99</v>
      </c>
      <c r="Q82">
        <v>-16257.71</v>
      </c>
      <c r="R82">
        <v>-16010.71</v>
      </c>
      <c r="S82">
        <v>247</v>
      </c>
      <c r="T82">
        <v>-0.98</v>
      </c>
      <c r="U82">
        <v>-0.98</v>
      </c>
      <c r="V82">
        <v>0</v>
      </c>
      <c r="W82">
        <v>-75.989999999999995</v>
      </c>
      <c r="X82">
        <v>-75.989999999999995</v>
      </c>
      <c r="Y82">
        <v>0</v>
      </c>
      <c r="Z82">
        <v>81696.320000000022</v>
      </c>
      <c r="AA82">
        <v>82092.330000000031</v>
      </c>
      <c r="AB82">
        <v>396.01</v>
      </c>
      <c r="AC82">
        <v>13108.689999999999</v>
      </c>
      <c r="AD82">
        <v>6608.8600000000179</v>
      </c>
      <c r="AE82">
        <v>-6499.8300000000208</v>
      </c>
      <c r="AF82">
        <v>68587.630000000237</v>
      </c>
      <c r="AG82">
        <v>75483.470000000074</v>
      </c>
      <c r="AH82">
        <v>6895.8400000000211</v>
      </c>
      <c r="AI82">
        <v>-3474.4000000000005</v>
      </c>
      <c r="AJ82">
        <v>0</v>
      </c>
      <c r="AK82">
        <v>3474.4000000000005</v>
      </c>
      <c r="AL82">
        <v>72062.030000000159</v>
      </c>
      <c r="AM82">
        <v>75483.470000000074</v>
      </c>
      <c r="AN82">
        <v>3421.4400000000069</v>
      </c>
      <c r="AO82">
        <v>1268</v>
      </c>
    </row>
    <row r="83" spans="1:41" x14ac:dyDescent="0.35">
      <c r="A83">
        <v>2024</v>
      </c>
      <c r="B83">
        <v>2</v>
      </c>
      <c r="C83">
        <v>7</v>
      </c>
      <c r="D83" s="14">
        <v>45337</v>
      </c>
      <c r="E83" t="s">
        <v>44</v>
      </c>
      <c r="F83" t="s">
        <v>42</v>
      </c>
      <c r="G83" t="s">
        <v>45</v>
      </c>
      <c r="H83">
        <v>92684.75</v>
      </c>
      <c r="I83">
        <v>92935.75</v>
      </c>
      <c r="J83">
        <v>251</v>
      </c>
      <c r="K83">
        <v>789.76000000000158</v>
      </c>
      <c r="L83">
        <v>789.76000000000158</v>
      </c>
      <c r="M83">
        <v>0</v>
      </c>
      <c r="N83">
        <v>3913.3499999999731</v>
      </c>
      <c r="O83">
        <v>3913.3499999999731</v>
      </c>
      <c r="P83">
        <v>0</v>
      </c>
      <c r="Q83">
        <v>-16617.13</v>
      </c>
      <c r="R83">
        <v>-16289.630000000001</v>
      </c>
      <c r="S83">
        <v>327.5</v>
      </c>
      <c r="T83">
        <v>-1.68</v>
      </c>
      <c r="U83">
        <v>-1.68</v>
      </c>
      <c r="V83">
        <v>0</v>
      </c>
      <c r="W83">
        <v>-72.289999999999992</v>
      </c>
      <c r="X83">
        <v>-72.289999999999992</v>
      </c>
      <c r="Y83">
        <v>0</v>
      </c>
      <c r="Z83">
        <v>80696.75999999998</v>
      </c>
      <c r="AA83">
        <v>81275.25999999998</v>
      </c>
      <c r="AB83">
        <v>578.5</v>
      </c>
      <c r="AC83">
        <v>12889.590000000009</v>
      </c>
      <c r="AD83">
        <v>6233.1500000000169</v>
      </c>
      <c r="AE83">
        <v>-6656.4400000000196</v>
      </c>
      <c r="AF83">
        <v>67807.17000000026</v>
      </c>
      <c r="AG83">
        <v>75042.110000000015</v>
      </c>
      <c r="AH83">
        <v>7234.9400000000214</v>
      </c>
      <c r="AI83">
        <v>-3217.030000000002</v>
      </c>
      <c r="AJ83">
        <v>0</v>
      </c>
      <c r="AK83">
        <v>3217.030000000002</v>
      </c>
      <c r="AL83">
        <v>71024.200000000157</v>
      </c>
      <c r="AM83">
        <v>75042.110000000015</v>
      </c>
      <c r="AN83">
        <v>4017.9100000000062</v>
      </c>
      <c r="AO83">
        <v>1242</v>
      </c>
    </row>
    <row r="84" spans="1:41" x14ac:dyDescent="0.35">
      <c r="A84">
        <v>2024</v>
      </c>
      <c r="B84">
        <v>2</v>
      </c>
      <c r="C84">
        <v>7</v>
      </c>
      <c r="D84" s="14">
        <v>45338</v>
      </c>
      <c r="E84" t="s">
        <v>44</v>
      </c>
      <c r="F84" t="s">
        <v>42</v>
      </c>
      <c r="G84" t="s">
        <v>45</v>
      </c>
      <c r="H84">
        <v>91104.75</v>
      </c>
      <c r="I84">
        <v>91255.75</v>
      </c>
      <c r="J84">
        <v>151</v>
      </c>
      <c r="K84">
        <v>780.13000000000443</v>
      </c>
      <c r="L84">
        <v>780.13000000000443</v>
      </c>
      <c r="M84">
        <v>0</v>
      </c>
      <c r="N84">
        <v>4075.2399999999716</v>
      </c>
      <c r="O84">
        <v>4056.2499999999718</v>
      </c>
      <c r="P84">
        <v>-18.990000000000002</v>
      </c>
      <c r="Q84">
        <v>-15856.49</v>
      </c>
      <c r="R84">
        <v>-15651.49</v>
      </c>
      <c r="S84">
        <v>205</v>
      </c>
      <c r="T84">
        <v>-0.98</v>
      </c>
      <c r="U84">
        <v>-0.98</v>
      </c>
      <c r="V84">
        <v>0</v>
      </c>
      <c r="W84">
        <v>-72.5</v>
      </c>
      <c r="X84">
        <v>-72.5</v>
      </c>
      <c r="Y84">
        <v>0</v>
      </c>
      <c r="Z84">
        <v>80030.149999999965</v>
      </c>
      <c r="AA84">
        <v>80367.159999999989</v>
      </c>
      <c r="AB84">
        <v>337.01</v>
      </c>
      <c r="AC84">
        <v>12503.969999999988</v>
      </c>
      <c r="AD84">
        <v>6336.1800000000158</v>
      </c>
      <c r="AE84">
        <v>-6167.7900000000172</v>
      </c>
      <c r="AF84">
        <v>67526.180000000255</v>
      </c>
      <c r="AG84">
        <v>74030.980000000141</v>
      </c>
      <c r="AH84">
        <v>6504.8000000000175</v>
      </c>
      <c r="AI84">
        <v>-3335.1700000000033</v>
      </c>
      <c r="AJ84">
        <v>0</v>
      </c>
      <c r="AK84">
        <v>3335.1700000000033</v>
      </c>
      <c r="AL84">
        <v>70861.350000000268</v>
      </c>
      <c r="AM84">
        <v>74030.980000000141</v>
      </c>
      <c r="AN84">
        <v>3169.6300000000028</v>
      </c>
      <c r="AO84">
        <v>1223</v>
      </c>
    </row>
    <row r="85" spans="1:41" x14ac:dyDescent="0.35">
      <c r="A85">
        <v>2024</v>
      </c>
      <c r="B85">
        <v>2</v>
      </c>
      <c r="C85">
        <v>7</v>
      </c>
      <c r="D85" s="14">
        <v>45339</v>
      </c>
      <c r="E85" t="s">
        <v>44</v>
      </c>
      <c r="F85" t="s">
        <v>42</v>
      </c>
      <c r="G85" t="s">
        <v>45</v>
      </c>
      <c r="H85">
        <v>132087.18</v>
      </c>
      <c r="I85">
        <v>132403.18</v>
      </c>
      <c r="J85">
        <v>316</v>
      </c>
      <c r="K85">
        <v>1185.1000000000081</v>
      </c>
      <c r="L85">
        <v>1185.1000000000081</v>
      </c>
      <c r="M85">
        <v>0</v>
      </c>
      <c r="N85">
        <v>5603.4999999999527</v>
      </c>
      <c r="O85">
        <v>5587.5099999999529</v>
      </c>
      <c r="P85">
        <v>-15.99</v>
      </c>
      <c r="Q85">
        <v>-23650.5</v>
      </c>
      <c r="R85">
        <v>-23335.5</v>
      </c>
      <c r="S85">
        <v>315</v>
      </c>
      <c r="T85">
        <v>-18.09</v>
      </c>
      <c r="U85">
        <v>-18.09</v>
      </c>
      <c r="V85">
        <v>0</v>
      </c>
      <c r="W85">
        <v>-117.2</v>
      </c>
      <c r="X85">
        <v>-117.2</v>
      </c>
      <c r="Y85">
        <v>0</v>
      </c>
      <c r="Z85">
        <v>115089.9900000007</v>
      </c>
      <c r="AA85">
        <v>115705.0000000007</v>
      </c>
      <c r="AB85">
        <v>615.01</v>
      </c>
      <c r="AC85">
        <v>22841.619999999886</v>
      </c>
      <c r="AD85">
        <v>16520.979999999843</v>
      </c>
      <c r="AE85">
        <v>-6320.6400000000158</v>
      </c>
      <c r="AF85">
        <v>92248.370000000374</v>
      </c>
      <c r="AG85">
        <v>99184.020000000281</v>
      </c>
      <c r="AH85">
        <v>6935.650000000016</v>
      </c>
      <c r="AI85">
        <v>-8564.5600000000013</v>
      </c>
      <c r="AJ85">
        <v>0</v>
      </c>
      <c r="AK85">
        <v>8564.5600000000013</v>
      </c>
      <c r="AL85">
        <v>100812.93000000023</v>
      </c>
      <c r="AM85">
        <v>99184.020000000281</v>
      </c>
      <c r="AN85">
        <v>-1628.9100000000012</v>
      </c>
      <c r="AO85">
        <v>1694</v>
      </c>
    </row>
    <row r="86" spans="1:41" x14ac:dyDescent="0.35">
      <c r="A86">
        <v>2024</v>
      </c>
      <c r="B86">
        <v>2</v>
      </c>
      <c r="C86">
        <v>7</v>
      </c>
      <c r="D86" s="14">
        <v>45333</v>
      </c>
      <c r="E86" t="s">
        <v>44</v>
      </c>
      <c r="F86" t="s">
        <v>42</v>
      </c>
      <c r="G86" t="s">
        <v>46</v>
      </c>
      <c r="H86">
        <v>45012.150000000045</v>
      </c>
      <c r="I86">
        <v>45161.150000000045</v>
      </c>
      <c r="J86">
        <v>149</v>
      </c>
      <c r="K86">
        <v>262.23000000000019</v>
      </c>
      <c r="L86">
        <v>262.23000000000019</v>
      </c>
      <c r="M86">
        <v>0</v>
      </c>
      <c r="N86">
        <v>1363.1500000000005</v>
      </c>
      <c r="O86">
        <v>1347.1600000000005</v>
      </c>
      <c r="P86">
        <v>-15.99</v>
      </c>
      <c r="Q86">
        <v>-16601.940000000031</v>
      </c>
      <c r="R86">
        <v>-16287.94000000003</v>
      </c>
      <c r="S86">
        <v>314</v>
      </c>
      <c r="T86">
        <v>-0.94000000000000006</v>
      </c>
      <c r="U86">
        <v>-0.94000000000000006</v>
      </c>
      <c r="V86">
        <v>0</v>
      </c>
      <c r="W86">
        <v>0</v>
      </c>
      <c r="X86">
        <v>0</v>
      </c>
      <c r="Y86">
        <v>0</v>
      </c>
      <c r="Z86">
        <v>30034.649999999987</v>
      </c>
      <c r="AA86">
        <v>30481.659999999989</v>
      </c>
      <c r="AB86">
        <v>447.01</v>
      </c>
      <c r="AC86">
        <v>5718.4300000000167</v>
      </c>
      <c r="AD86">
        <v>2441.0700000000011</v>
      </c>
      <c r="AE86">
        <v>-3277.3600000000042</v>
      </c>
      <c r="AF86">
        <v>24316.220000000038</v>
      </c>
      <c r="AG86">
        <v>28040.590000000015</v>
      </c>
      <c r="AH86">
        <v>3724.3700000000058</v>
      </c>
      <c r="AI86">
        <v>-1276.4099999999999</v>
      </c>
      <c r="AJ86">
        <v>0</v>
      </c>
      <c r="AK86">
        <v>1276.4099999999999</v>
      </c>
      <c r="AL86">
        <v>25592.630000000052</v>
      </c>
      <c r="AM86">
        <v>28040.590000000015</v>
      </c>
      <c r="AN86">
        <v>2447.9600000000041</v>
      </c>
      <c r="AO86">
        <v>544</v>
      </c>
    </row>
    <row r="87" spans="1:41" x14ac:dyDescent="0.35">
      <c r="A87">
        <v>2024</v>
      </c>
      <c r="B87">
        <v>2</v>
      </c>
      <c r="C87">
        <v>7</v>
      </c>
      <c r="D87" s="14">
        <v>45334</v>
      </c>
      <c r="E87" t="s">
        <v>44</v>
      </c>
      <c r="F87" t="s">
        <v>42</v>
      </c>
      <c r="G87" t="s">
        <v>46</v>
      </c>
      <c r="H87">
        <v>35475.710000000036</v>
      </c>
      <c r="I87">
        <v>35518.710000000036</v>
      </c>
      <c r="J87">
        <v>43</v>
      </c>
      <c r="K87">
        <v>289.49999999999972</v>
      </c>
      <c r="L87">
        <v>289.49999999999972</v>
      </c>
      <c r="M87">
        <v>0</v>
      </c>
      <c r="N87">
        <v>1206.2600000000004</v>
      </c>
      <c r="O87">
        <v>1206.2600000000004</v>
      </c>
      <c r="P87">
        <v>0</v>
      </c>
      <c r="Q87">
        <v>-12985.580000000022</v>
      </c>
      <c r="R87">
        <v>-12673.580000000022</v>
      </c>
      <c r="S87">
        <v>312</v>
      </c>
      <c r="T87">
        <v>0</v>
      </c>
      <c r="U87">
        <v>0</v>
      </c>
      <c r="V87">
        <v>0</v>
      </c>
      <c r="W87">
        <v>-5</v>
      </c>
      <c r="X87">
        <v>-5</v>
      </c>
      <c r="Y87">
        <v>0</v>
      </c>
      <c r="Z87">
        <v>23980.890000000007</v>
      </c>
      <c r="AA87">
        <v>24335.89000000001</v>
      </c>
      <c r="AB87">
        <v>355</v>
      </c>
      <c r="AC87">
        <v>4287.580000000009</v>
      </c>
      <c r="AD87">
        <v>1898.4299999999989</v>
      </c>
      <c r="AE87">
        <v>-2389.1500000000005</v>
      </c>
      <c r="AF87">
        <v>19693.310000000023</v>
      </c>
      <c r="AG87">
        <v>22437.460000000028</v>
      </c>
      <c r="AH87">
        <v>2744.1500000000024</v>
      </c>
      <c r="AI87">
        <v>-952.23999999999978</v>
      </c>
      <c r="AJ87">
        <v>0</v>
      </c>
      <c r="AK87">
        <v>952.23999999999978</v>
      </c>
      <c r="AL87">
        <v>20645.55000000001</v>
      </c>
      <c r="AM87">
        <v>22437.460000000028</v>
      </c>
      <c r="AN87">
        <v>1791.9099999999985</v>
      </c>
      <c r="AO87">
        <v>426</v>
      </c>
    </row>
    <row r="88" spans="1:41" x14ac:dyDescent="0.35">
      <c r="A88">
        <v>2024</v>
      </c>
      <c r="B88">
        <v>2</v>
      </c>
      <c r="C88">
        <v>7</v>
      </c>
      <c r="D88" s="14">
        <v>45335</v>
      </c>
      <c r="E88" t="s">
        <v>44</v>
      </c>
      <c r="F88" t="s">
        <v>42</v>
      </c>
      <c r="G88" t="s">
        <v>46</v>
      </c>
      <c r="H88">
        <v>34813.210000000036</v>
      </c>
      <c r="I88">
        <v>34848.210000000036</v>
      </c>
      <c r="J88">
        <v>35</v>
      </c>
      <c r="K88">
        <v>267.64</v>
      </c>
      <c r="L88">
        <v>267.64</v>
      </c>
      <c r="M88">
        <v>0</v>
      </c>
      <c r="N88">
        <v>798.49000000000035</v>
      </c>
      <c r="O88">
        <v>798.49000000000035</v>
      </c>
      <c r="P88">
        <v>0</v>
      </c>
      <c r="Q88">
        <v>-12105.630000000021</v>
      </c>
      <c r="R88">
        <v>-11883.730000000021</v>
      </c>
      <c r="S88">
        <v>221.9</v>
      </c>
      <c r="T88">
        <v>0</v>
      </c>
      <c r="U88">
        <v>0</v>
      </c>
      <c r="V88">
        <v>0</v>
      </c>
      <c r="W88">
        <v>-10</v>
      </c>
      <c r="X88">
        <v>-10</v>
      </c>
      <c r="Y88">
        <v>0</v>
      </c>
      <c r="Z88">
        <v>23763.709999999992</v>
      </c>
      <c r="AA88">
        <v>24020.609999999993</v>
      </c>
      <c r="AB88">
        <v>256.89999999999998</v>
      </c>
      <c r="AC88">
        <v>4498.8600000000069</v>
      </c>
      <c r="AD88">
        <v>2662.4000000000005</v>
      </c>
      <c r="AE88">
        <v>-1836.4599999999998</v>
      </c>
      <c r="AF88">
        <v>19264.850000000017</v>
      </c>
      <c r="AG88">
        <v>21358.210000000006</v>
      </c>
      <c r="AH88">
        <v>2093.3599999999997</v>
      </c>
      <c r="AI88">
        <v>-854.3400000000006</v>
      </c>
      <c r="AJ88">
        <v>0</v>
      </c>
      <c r="AK88">
        <v>854.3400000000006</v>
      </c>
      <c r="AL88">
        <v>20119.190000000017</v>
      </c>
      <c r="AM88">
        <v>21358.210000000006</v>
      </c>
      <c r="AN88">
        <v>1239.0199999999995</v>
      </c>
      <c r="AO88">
        <v>434</v>
      </c>
    </row>
    <row r="89" spans="1:41" x14ac:dyDescent="0.35">
      <c r="A89">
        <v>2024</v>
      </c>
      <c r="B89">
        <v>2</v>
      </c>
      <c r="C89">
        <v>7</v>
      </c>
      <c r="D89" s="14">
        <v>45336</v>
      </c>
      <c r="E89" t="s">
        <v>44</v>
      </c>
      <c r="F89" t="s">
        <v>42</v>
      </c>
      <c r="G89" t="s">
        <v>46</v>
      </c>
      <c r="H89">
        <v>43298.310000000049</v>
      </c>
      <c r="I89">
        <v>43375.310000000049</v>
      </c>
      <c r="J89">
        <v>77</v>
      </c>
      <c r="K89">
        <v>355.69999999999987</v>
      </c>
      <c r="L89">
        <v>355.69999999999987</v>
      </c>
      <c r="M89">
        <v>0</v>
      </c>
      <c r="N89">
        <v>988.38000000000045</v>
      </c>
      <c r="O89">
        <v>988.38000000000045</v>
      </c>
      <c r="P89">
        <v>0</v>
      </c>
      <c r="Q89">
        <v>-15468.52000000003</v>
      </c>
      <c r="R89">
        <v>-15189.620000000032</v>
      </c>
      <c r="S89">
        <v>278.89999999999998</v>
      </c>
      <c r="T89">
        <v>0</v>
      </c>
      <c r="U89">
        <v>0</v>
      </c>
      <c r="V89">
        <v>0</v>
      </c>
      <c r="W89">
        <v>-23.990000000000002</v>
      </c>
      <c r="X89">
        <v>-23.990000000000002</v>
      </c>
      <c r="Y89">
        <v>0</v>
      </c>
      <c r="Z89">
        <v>29149.880000000012</v>
      </c>
      <c r="AA89">
        <v>29505.780000000013</v>
      </c>
      <c r="AB89">
        <v>355.9</v>
      </c>
      <c r="AC89">
        <v>5605.6500000000142</v>
      </c>
      <c r="AD89">
        <v>2993.6900000000028</v>
      </c>
      <c r="AE89">
        <v>-2611.9600000000005</v>
      </c>
      <c r="AF89">
        <v>23544.230000000043</v>
      </c>
      <c r="AG89">
        <v>26512.090000000026</v>
      </c>
      <c r="AH89">
        <v>2967.8600000000019</v>
      </c>
      <c r="AI89">
        <v>-1125.0699999999995</v>
      </c>
      <c r="AJ89">
        <v>0</v>
      </c>
      <c r="AK89">
        <v>1125.0699999999995</v>
      </c>
      <c r="AL89">
        <v>24669.300000000054</v>
      </c>
      <c r="AM89">
        <v>26512.090000000026</v>
      </c>
      <c r="AN89">
        <v>1842.7899999999995</v>
      </c>
      <c r="AO89">
        <v>537</v>
      </c>
    </row>
    <row r="90" spans="1:41" x14ac:dyDescent="0.35">
      <c r="A90">
        <v>2024</v>
      </c>
      <c r="B90">
        <v>2</v>
      </c>
      <c r="C90">
        <v>7</v>
      </c>
      <c r="D90" s="14">
        <v>45337</v>
      </c>
      <c r="E90" t="s">
        <v>44</v>
      </c>
      <c r="F90" t="s">
        <v>42</v>
      </c>
      <c r="G90" t="s">
        <v>46</v>
      </c>
      <c r="H90">
        <v>41638.550000000032</v>
      </c>
      <c r="I90">
        <v>41694.550000000032</v>
      </c>
      <c r="J90">
        <v>56</v>
      </c>
      <c r="K90">
        <v>274.95999999999998</v>
      </c>
      <c r="L90">
        <v>274.95999999999998</v>
      </c>
      <c r="M90">
        <v>0</v>
      </c>
      <c r="N90">
        <v>1146.3000000000004</v>
      </c>
      <c r="O90">
        <v>1146.3000000000004</v>
      </c>
      <c r="P90">
        <v>0</v>
      </c>
      <c r="Q90">
        <v>-14436.760000000022</v>
      </c>
      <c r="R90">
        <v>-14147.760000000022</v>
      </c>
      <c r="S90">
        <v>289</v>
      </c>
      <c r="T90">
        <v>0</v>
      </c>
      <c r="U90">
        <v>0</v>
      </c>
      <c r="V90">
        <v>0</v>
      </c>
      <c r="W90">
        <v>-18.990000000000002</v>
      </c>
      <c r="X90">
        <v>-18.990000000000002</v>
      </c>
      <c r="Y90">
        <v>0</v>
      </c>
      <c r="Z90">
        <v>28604.060000000012</v>
      </c>
      <c r="AA90">
        <v>28949.060000000016</v>
      </c>
      <c r="AB90">
        <v>345</v>
      </c>
      <c r="AC90">
        <v>5289.2800000000116</v>
      </c>
      <c r="AD90">
        <v>2414.9399999999996</v>
      </c>
      <c r="AE90">
        <v>-2874.3400000000015</v>
      </c>
      <c r="AF90">
        <v>23314.780000000042</v>
      </c>
      <c r="AG90">
        <v>26534.120000000021</v>
      </c>
      <c r="AH90">
        <v>3219.3400000000024</v>
      </c>
      <c r="AI90">
        <v>-703.61999999999989</v>
      </c>
      <c r="AJ90">
        <v>0</v>
      </c>
      <c r="AK90">
        <v>703.61999999999989</v>
      </c>
      <c r="AL90">
        <v>24018.400000000023</v>
      </c>
      <c r="AM90">
        <v>26534.120000000021</v>
      </c>
      <c r="AN90">
        <v>2515.7200000000016</v>
      </c>
      <c r="AO90">
        <v>515</v>
      </c>
    </row>
    <row r="91" spans="1:41" x14ac:dyDescent="0.35">
      <c r="A91">
        <v>2024</v>
      </c>
      <c r="B91">
        <v>2</v>
      </c>
      <c r="C91">
        <v>7</v>
      </c>
      <c r="D91" s="14">
        <v>45338</v>
      </c>
      <c r="E91" t="s">
        <v>44</v>
      </c>
      <c r="F91" t="s">
        <v>42</v>
      </c>
      <c r="G91" t="s">
        <v>46</v>
      </c>
      <c r="H91">
        <v>42103.910000000033</v>
      </c>
      <c r="I91">
        <v>42181.910000000033</v>
      </c>
      <c r="J91">
        <v>78</v>
      </c>
      <c r="K91">
        <v>270.19000000000005</v>
      </c>
      <c r="L91">
        <v>270.19000000000005</v>
      </c>
      <c r="M91">
        <v>0</v>
      </c>
      <c r="N91">
        <v>1321.1800000000005</v>
      </c>
      <c r="O91">
        <v>1321.1800000000005</v>
      </c>
      <c r="P91">
        <v>0</v>
      </c>
      <c r="Q91">
        <v>-14521.630000000016</v>
      </c>
      <c r="R91">
        <v>-14258.050000000014</v>
      </c>
      <c r="S91">
        <v>263.58000000000004</v>
      </c>
      <c r="T91">
        <v>0</v>
      </c>
      <c r="U91">
        <v>0</v>
      </c>
      <c r="V91">
        <v>0</v>
      </c>
      <c r="W91">
        <v>-10</v>
      </c>
      <c r="X91">
        <v>-10</v>
      </c>
      <c r="Y91">
        <v>0</v>
      </c>
      <c r="Z91">
        <v>29163.649999999983</v>
      </c>
      <c r="AA91">
        <v>29505.229999999981</v>
      </c>
      <c r="AB91">
        <v>341.58</v>
      </c>
      <c r="AC91">
        <v>5267.4400000000142</v>
      </c>
      <c r="AD91">
        <v>2864.1600000000021</v>
      </c>
      <c r="AE91">
        <v>-2403.2800000000011</v>
      </c>
      <c r="AF91">
        <v>23896.210000000039</v>
      </c>
      <c r="AG91">
        <v>26641.070000000014</v>
      </c>
      <c r="AH91">
        <v>2744.8600000000029</v>
      </c>
      <c r="AI91">
        <v>-1209.6499999999983</v>
      </c>
      <c r="AJ91">
        <v>0</v>
      </c>
      <c r="AK91">
        <v>1209.6499999999983</v>
      </c>
      <c r="AL91">
        <v>25105.86000000003</v>
      </c>
      <c r="AM91">
        <v>26641.070000000014</v>
      </c>
      <c r="AN91">
        <v>1535.2100000000007</v>
      </c>
      <c r="AO91">
        <v>515</v>
      </c>
    </row>
    <row r="92" spans="1:41" x14ac:dyDescent="0.35">
      <c r="A92">
        <v>2024</v>
      </c>
      <c r="B92">
        <v>2</v>
      </c>
      <c r="C92">
        <v>7</v>
      </c>
      <c r="D92" s="14">
        <v>45339</v>
      </c>
      <c r="E92" t="s">
        <v>44</v>
      </c>
      <c r="F92" t="s">
        <v>42</v>
      </c>
      <c r="G92" t="s">
        <v>46</v>
      </c>
      <c r="H92">
        <v>54179.010000000046</v>
      </c>
      <c r="I92">
        <v>54351.010000000046</v>
      </c>
      <c r="J92">
        <v>172</v>
      </c>
      <c r="K92">
        <v>362.51999999999941</v>
      </c>
      <c r="L92">
        <v>362.51999999999941</v>
      </c>
      <c r="M92">
        <v>0</v>
      </c>
      <c r="N92">
        <v>1744.9400000000007</v>
      </c>
      <c r="O92">
        <v>1744.9400000000007</v>
      </c>
      <c r="P92">
        <v>0</v>
      </c>
      <c r="Q92">
        <v>-19255.980000000032</v>
      </c>
      <c r="R92">
        <v>-19043.390000000032</v>
      </c>
      <c r="S92">
        <v>212.59</v>
      </c>
      <c r="T92">
        <v>0</v>
      </c>
      <c r="U92">
        <v>0</v>
      </c>
      <c r="V92">
        <v>0</v>
      </c>
      <c r="W92">
        <v>-15</v>
      </c>
      <c r="X92">
        <v>-15</v>
      </c>
      <c r="Y92">
        <v>0</v>
      </c>
      <c r="Z92">
        <v>37015.489999999962</v>
      </c>
      <c r="AA92">
        <v>37400.079999999965</v>
      </c>
      <c r="AB92">
        <v>384.59</v>
      </c>
      <c r="AC92">
        <v>7968.1900000000269</v>
      </c>
      <c r="AD92">
        <v>5222.1700000000137</v>
      </c>
      <c r="AE92">
        <v>-2746.0200000000013</v>
      </c>
      <c r="AF92">
        <v>29047.30000000005</v>
      </c>
      <c r="AG92">
        <v>32177.910000000044</v>
      </c>
      <c r="AH92">
        <v>3130.6100000000033</v>
      </c>
      <c r="AI92">
        <v>-2465.1800000000012</v>
      </c>
      <c r="AJ92">
        <v>0</v>
      </c>
      <c r="AK92">
        <v>2465.1800000000012</v>
      </c>
      <c r="AL92">
        <v>31512.480000000069</v>
      </c>
      <c r="AM92">
        <v>32177.910000000044</v>
      </c>
      <c r="AN92">
        <v>665.42999999999961</v>
      </c>
      <c r="AO92">
        <v>653</v>
      </c>
    </row>
    <row r="93" spans="1:41" x14ac:dyDescent="0.35">
      <c r="A93">
        <v>2024</v>
      </c>
      <c r="B93">
        <v>2</v>
      </c>
      <c r="C93">
        <v>7</v>
      </c>
      <c r="D93" s="14">
        <v>45333</v>
      </c>
      <c r="E93" t="s">
        <v>44</v>
      </c>
      <c r="F93" t="s">
        <v>47</v>
      </c>
      <c r="G93" t="s">
        <v>48</v>
      </c>
      <c r="H93">
        <v>8821</v>
      </c>
      <c r="I93">
        <v>8821</v>
      </c>
      <c r="J93">
        <v>0</v>
      </c>
      <c r="K93">
        <v>0.46</v>
      </c>
      <c r="L93">
        <v>0.46</v>
      </c>
      <c r="M93">
        <v>0</v>
      </c>
      <c r="N93">
        <v>543.6600000000002</v>
      </c>
      <c r="O93">
        <v>543.6600000000002</v>
      </c>
      <c r="P93">
        <v>0</v>
      </c>
      <c r="Q93">
        <v>-1642.4999999999998</v>
      </c>
      <c r="R93">
        <v>-1642.4999999999998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7722.6200000000026</v>
      </c>
      <c r="AA93">
        <v>7722.6200000000026</v>
      </c>
      <c r="AB93">
        <v>0</v>
      </c>
      <c r="AC93">
        <v>37.099999999999994</v>
      </c>
      <c r="AE93">
        <v>-37.099999999999994</v>
      </c>
      <c r="AF93">
        <v>7685.5200000000023</v>
      </c>
      <c r="AG93">
        <v>7722.6200000000026</v>
      </c>
      <c r="AH93">
        <v>37.099999999999994</v>
      </c>
      <c r="AI93">
        <v>2150.5100000000011</v>
      </c>
      <c r="AJ93">
        <v>7.67</v>
      </c>
      <c r="AK93">
        <v>-2142.8400000000011</v>
      </c>
      <c r="AL93">
        <v>5535.01</v>
      </c>
      <c r="AM93">
        <v>7714.9500000000025</v>
      </c>
      <c r="AN93">
        <v>2179.9400000000005</v>
      </c>
      <c r="AO93">
        <v>141</v>
      </c>
    </row>
    <row r="94" spans="1:41" x14ac:dyDescent="0.35">
      <c r="A94">
        <v>2024</v>
      </c>
      <c r="B94">
        <v>2</v>
      </c>
      <c r="C94">
        <v>7</v>
      </c>
      <c r="D94" s="14">
        <v>45334</v>
      </c>
      <c r="E94" t="s">
        <v>44</v>
      </c>
      <c r="F94" t="s">
        <v>47</v>
      </c>
      <c r="G94" t="s">
        <v>48</v>
      </c>
      <c r="H94">
        <v>470.75000000000006</v>
      </c>
      <c r="I94">
        <v>470.75000000000006</v>
      </c>
      <c r="J94">
        <v>0</v>
      </c>
      <c r="K94">
        <v>30.7</v>
      </c>
      <c r="L94">
        <v>30.7</v>
      </c>
      <c r="M94">
        <v>0</v>
      </c>
      <c r="N94">
        <v>0</v>
      </c>
      <c r="O94">
        <v>0</v>
      </c>
      <c r="P94">
        <v>0</v>
      </c>
      <c r="Q94">
        <v>-77.900000000000006</v>
      </c>
      <c r="R94">
        <v>-77.900000000000006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423.55000000000007</v>
      </c>
      <c r="AA94">
        <v>423.55000000000007</v>
      </c>
      <c r="AB94">
        <v>0</v>
      </c>
      <c r="AE94">
        <v>0</v>
      </c>
      <c r="AF94">
        <v>423.55000000000007</v>
      </c>
      <c r="AG94">
        <v>423.55000000000007</v>
      </c>
      <c r="AH94">
        <v>0</v>
      </c>
      <c r="AI94">
        <v>136.57999999999998</v>
      </c>
      <c r="AJ94">
        <v>0</v>
      </c>
      <c r="AK94">
        <v>-136.57999999999998</v>
      </c>
      <c r="AL94">
        <v>286.96999999999991</v>
      </c>
      <c r="AM94">
        <v>423.55000000000007</v>
      </c>
      <c r="AN94">
        <v>136.58000000000001</v>
      </c>
      <c r="AO94">
        <v>17</v>
      </c>
    </row>
    <row r="95" spans="1:41" x14ac:dyDescent="0.35">
      <c r="A95">
        <v>2024</v>
      </c>
      <c r="B95">
        <v>2</v>
      </c>
      <c r="C95">
        <v>7</v>
      </c>
      <c r="D95" s="14">
        <v>45335</v>
      </c>
      <c r="E95" t="s">
        <v>44</v>
      </c>
      <c r="F95" t="s">
        <v>47</v>
      </c>
      <c r="G95" t="s">
        <v>48</v>
      </c>
      <c r="H95">
        <v>8980.3299999999981</v>
      </c>
      <c r="I95">
        <v>8980.3299999999981</v>
      </c>
      <c r="J95">
        <v>0</v>
      </c>
      <c r="K95">
        <v>832.10000000000036</v>
      </c>
      <c r="L95">
        <v>832.10000000000036</v>
      </c>
      <c r="M95">
        <v>0</v>
      </c>
      <c r="N95">
        <v>0</v>
      </c>
      <c r="O95">
        <v>0</v>
      </c>
      <c r="P95">
        <v>0</v>
      </c>
      <c r="Q95">
        <v>-815.95</v>
      </c>
      <c r="R95">
        <v>-815.95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8996.4800000000014</v>
      </c>
      <c r="AA95">
        <v>8996.4800000000014</v>
      </c>
      <c r="AB95">
        <v>0</v>
      </c>
      <c r="AC95">
        <v>16.670000000000002</v>
      </c>
      <c r="AD95">
        <v>16.670000000000002</v>
      </c>
      <c r="AE95">
        <v>0</v>
      </c>
      <c r="AF95">
        <v>8979.8100000000031</v>
      </c>
      <c r="AG95">
        <v>8979.8100000000031</v>
      </c>
      <c r="AH95">
        <v>0</v>
      </c>
      <c r="AI95">
        <v>3192.0200000000054</v>
      </c>
      <c r="AJ95">
        <v>0</v>
      </c>
      <c r="AK95">
        <v>-3192.0200000000054</v>
      </c>
      <c r="AL95">
        <v>5787.7899999999954</v>
      </c>
      <c r="AM95">
        <v>8979.8100000000031</v>
      </c>
      <c r="AN95">
        <v>3192.0200000000054</v>
      </c>
      <c r="AO95">
        <v>285</v>
      </c>
    </row>
    <row r="96" spans="1:41" x14ac:dyDescent="0.35">
      <c r="A96">
        <v>2024</v>
      </c>
      <c r="B96">
        <v>2</v>
      </c>
      <c r="C96">
        <v>7</v>
      </c>
      <c r="D96" s="14">
        <v>45336</v>
      </c>
      <c r="E96" t="s">
        <v>44</v>
      </c>
      <c r="F96" t="s">
        <v>47</v>
      </c>
      <c r="G96" t="s">
        <v>48</v>
      </c>
      <c r="H96">
        <v>5064.6800000000158</v>
      </c>
      <c r="I96">
        <v>5064.6800000000158</v>
      </c>
      <c r="J96">
        <v>0</v>
      </c>
      <c r="K96">
        <v>505.77999999999986</v>
      </c>
      <c r="L96">
        <v>505.77999999999986</v>
      </c>
      <c r="M96">
        <v>0</v>
      </c>
      <c r="N96">
        <v>0</v>
      </c>
      <c r="O96">
        <v>0</v>
      </c>
      <c r="P96">
        <v>0</v>
      </c>
      <c r="Q96">
        <v>-1142.2500000000002</v>
      </c>
      <c r="R96">
        <v>-1142.2500000000002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4428.2100000000119</v>
      </c>
      <c r="AA96">
        <v>4428.2100000000119</v>
      </c>
      <c r="AB96">
        <v>0</v>
      </c>
      <c r="AC96">
        <v>40.480000000000004</v>
      </c>
      <c r="AD96">
        <v>23.810000000000002</v>
      </c>
      <c r="AE96">
        <v>-16.670000000000002</v>
      </c>
      <c r="AF96">
        <v>4387.7300000000114</v>
      </c>
      <c r="AG96">
        <v>4404.4000000000115</v>
      </c>
      <c r="AH96">
        <v>16.669999999999998</v>
      </c>
      <c r="AI96">
        <v>1810.2499999999995</v>
      </c>
      <c r="AJ96">
        <v>0</v>
      </c>
      <c r="AK96">
        <v>-1810.2499999999995</v>
      </c>
      <c r="AL96">
        <v>2577.4799999999973</v>
      </c>
      <c r="AM96">
        <v>4404.4000000000115</v>
      </c>
      <c r="AN96">
        <v>1826.9199999999996</v>
      </c>
      <c r="AO96">
        <v>191</v>
      </c>
    </row>
    <row r="97" spans="1:41" x14ac:dyDescent="0.35">
      <c r="A97">
        <v>2024</v>
      </c>
      <c r="B97">
        <v>2</v>
      </c>
      <c r="C97">
        <v>7</v>
      </c>
      <c r="D97" s="14">
        <v>45337</v>
      </c>
      <c r="E97" t="s">
        <v>44</v>
      </c>
      <c r="F97" t="s">
        <v>47</v>
      </c>
      <c r="G97" t="s">
        <v>48</v>
      </c>
      <c r="H97">
        <v>10658.699999999964</v>
      </c>
      <c r="I97">
        <v>10658.699999999964</v>
      </c>
      <c r="J97">
        <v>0</v>
      </c>
      <c r="K97">
        <v>624.53000000000009</v>
      </c>
      <c r="L97">
        <v>624.53000000000009</v>
      </c>
      <c r="M97">
        <v>0</v>
      </c>
      <c r="N97">
        <v>95.94</v>
      </c>
      <c r="O97">
        <v>95.94</v>
      </c>
      <c r="P97">
        <v>0</v>
      </c>
      <c r="Q97">
        <v>-1864.4000000000008</v>
      </c>
      <c r="R97">
        <v>-1864.4000000000008</v>
      </c>
      <c r="S97">
        <v>0</v>
      </c>
      <c r="T97">
        <v>-0.5</v>
      </c>
      <c r="U97">
        <v>-0.5</v>
      </c>
      <c r="V97">
        <v>0</v>
      </c>
      <c r="W97">
        <v>0</v>
      </c>
      <c r="X97">
        <v>0</v>
      </c>
      <c r="Y97">
        <v>0</v>
      </c>
      <c r="Z97">
        <v>9514.2699999999841</v>
      </c>
      <c r="AA97">
        <v>9514.2699999999841</v>
      </c>
      <c r="AB97">
        <v>0</v>
      </c>
      <c r="AC97">
        <v>100.44</v>
      </c>
      <c r="AD97">
        <v>76.63</v>
      </c>
      <c r="AE97">
        <v>-23.810000000000002</v>
      </c>
      <c r="AF97">
        <v>9413.829999999989</v>
      </c>
      <c r="AG97">
        <v>9437.6399999999867</v>
      </c>
      <c r="AH97">
        <v>23.809999999999995</v>
      </c>
      <c r="AI97">
        <v>3299.8299999999995</v>
      </c>
      <c r="AJ97">
        <v>0</v>
      </c>
      <c r="AK97">
        <v>-3299.8299999999995</v>
      </c>
      <c r="AL97">
        <v>6113.9999999999891</v>
      </c>
      <c r="AM97">
        <v>9437.6399999999867</v>
      </c>
      <c r="AN97">
        <v>3323.64</v>
      </c>
      <c r="AO97">
        <v>283</v>
      </c>
    </row>
    <row r="98" spans="1:41" x14ac:dyDescent="0.35">
      <c r="A98">
        <v>2024</v>
      </c>
      <c r="B98">
        <v>2</v>
      </c>
      <c r="C98">
        <v>7</v>
      </c>
      <c r="D98" s="14">
        <v>45338</v>
      </c>
      <c r="E98" t="s">
        <v>44</v>
      </c>
      <c r="F98" t="s">
        <v>47</v>
      </c>
      <c r="G98" t="s">
        <v>48</v>
      </c>
      <c r="H98">
        <v>8490.8000000000229</v>
      </c>
      <c r="I98">
        <v>8490.8000000000229</v>
      </c>
      <c r="J98">
        <v>0</v>
      </c>
      <c r="K98">
        <v>969.66000000000042</v>
      </c>
      <c r="L98">
        <v>1031.0600000000004</v>
      </c>
      <c r="M98">
        <v>61.4</v>
      </c>
      <c r="N98">
        <v>0</v>
      </c>
      <c r="O98">
        <v>0</v>
      </c>
      <c r="P98">
        <v>0</v>
      </c>
      <c r="Q98">
        <v>-884.10000000000036</v>
      </c>
      <c r="R98">
        <v>-870.10000000000025</v>
      </c>
      <c r="S98">
        <v>14</v>
      </c>
      <c r="T98">
        <v>-11.830000000000002</v>
      </c>
      <c r="U98">
        <v>-11.830000000000002</v>
      </c>
      <c r="V98">
        <v>0</v>
      </c>
      <c r="W98">
        <v>0</v>
      </c>
      <c r="X98">
        <v>0</v>
      </c>
      <c r="Y98">
        <v>0</v>
      </c>
      <c r="Z98">
        <v>8564.5300000000188</v>
      </c>
      <c r="AA98">
        <v>8639.9300000000185</v>
      </c>
      <c r="AB98">
        <v>75.400000000000006</v>
      </c>
      <c r="AC98">
        <v>115.72000000000001</v>
      </c>
      <c r="AD98">
        <v>39.090000000000003</v>
      </c>
      <c r="AE98">
        <v>-76.63000000000001</v>
      </c>
      <c r="AF98">
        <v>8448.8100000000195</v>
      </c>
      <c r="AG98">
        <v>8600.8400000000202</v>
      </c>
      <c r="AH98">
        <v>152.03000000000003</v>
      </c>
      <c r="AI98">
        <v>3316.4099999999985</v>
      </c>
      <c r="AJ98">
        <v>0</v>
      </c>
      <c r="AK98">
        <v>-3316.4099999999985</v>
      </c>
      <c r="AL98">
        <v>5132.3999999999978</v>
      </c>
      <c r="AM98">
        <v>8600.8400000000202</v>
      </c>
      <c r="AN98">
        <v>3468.4399999999987</v>
      </c>
      <c r="AO98">
        <v>303</v>
      </c>
    </row>
    <row r="99" spans="1:41" x14ac:dyDescent="0.35">
      <c r="A99">
        <v>2024</v>
      </c>
      <c r="B99">
        <v>2</v>
      </c>
      <c r="C99">
        <v>7</v>
      </c>
      <c r="D99" s="14">
        <v>45339</v>
      </c>
      <c r="E99" t="s">
        <v>44</v>
      </c>
      <c r="F99" t="s">
        <v>47</v>
      </c>
      <c r="G99" t="s">
        <v>48</v>
      </c>
      <c r="H99">
        <v>11651.149999999936</v>
      </c>
      <c r="I99">
        <v>11651.149999999936</v>
      </c>
      <c r="J99">
        <v>0</v>
      </c>
      <c r="K99">
        <v>972.69000000000062</v>
      </c>
      <c r="L99">
        <v>972.69000000000062</v>
      </c>
      <c r="M99">
        <v>0</v>
      </c>
      <c r="N99">
        <v>0</v>
      </c>
      <c r="O99">
        <v>0</v>
      </c>
      <c r="P99">
        <v>0</v>
      </c>
      <c r="Q99">
        <v>-1417.7999999999995</v>
      </c>
      <c r="R99">
        <v>-1417.7999999999995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11206.039999999954</v>
      </c>
      <c r="AA99">
        <v>11206.039999999954</v>
      </c>
      <c r="AB99">
        <v>0</v>
      </c>
      <c r="AC99">
        <v>63.84</v>
      </c>
      <c r="AD99">
        <v>24.75</v>
      </c>
      <c r="AE99">
        <v>-39.090000000000003</v>
      </c>
      <c r="AF99">
        <v>11142.199999999955</v>
      </c>
      <c r="AG99">
        <v>11181.289999999955</v>
      </c>
      <c r="AH99">
        <v>39.089999999999989</v>
      </c>
      <c r="AI99">
        <v>3857.1000000000063</v>
      </c>
      <c r="AJ99">
        <v>51.739999999999995</v>
      </c>
      <c r="AK99">
        <v>-3805.3600000000065</v>
      </c>
      <c r="AL99">
        <v>7285.099999999994</v>
      </c>
      <c r="AM99">
        <v>11129.549999999954</v>
      </c>
      <c r="AN99">
        <v>3844.4500000000062</v>
      </c>
      <c r="AO99">
        <v>319</v>
      </c>
    </row>
    <row r="100" spans="1:41" x14ac:dyDescent="0.35">
      <c r="A100">
        <v>2024</v>
      </c>
      <c r="B100">
        <v>2</v>
      </c>
      <c r="C100">
        <v>7</v>
      </c>
      <c r="D100" s="14">
        <v>45333</v>
      </c>
      <c r="E100" t="s">
        <v>44</v>
      </c>
      <c r="F100" t="s">
        <v>47</v>
      </c>
      <c r="G100" t="s">
        <v>49</v>
      </c>
      <c r="H100">
        <v>14150</v>
      </c>
      <c r="I100">
        <v>14157</v>
      </c>
      <c r="J100">
        <v>7</v>
      </c>
      <c r="K100">
        <v>170.51999999999998</v>
      </c>
      <c r="L100">
        <v>170.51999999999998</v>
      </c>
      <c r="M100">
        <v>0</v>
      </c>
      <c r="N100">
        <v>79.95</v>
      </c>
      <c r="O100">
        <v>79.95</v>
      </c>
      <c r="P100">
        <v>0</v>
      </c>
      <c r="Q100">
        <v>-4291.8399999999983</v>
      </c>
      <c r="R100">
        <v>-4291.8399999999983</v>
      </c>
      <c r="S100">
        <v>0</v>
      </c>
      <c r="T100">
        <v>-20</v>
      </c>
      <c r="U100">
        <v>-20</v>
      </c>
      <c r="V100">
        <v>0</v>
      </c>
      <c r="W100">
        <v>-20</v>
      </c>
      <c r="X100">
        <v>-20</v>
      </c>
      <c r="Y100">
        <v>0</v>
      </c>
      <c r="Z100">
        <v>10068.629999999992</v>
      </c>
      <c r="AA100">
        <v>10075.629999999992</v>
      </c>
      <c r="AB100">
        <v>7</v>
      </c>
      <c r="AC100">
        <v>290.58</v>
      </c>
      <c r="AD100">
        <v>86.79</v>
      </c>
      <c r="AE100">
        <v>-203.78999999999996</v>
      </c>
      <c r="AF100">
        <v>9778.0499999999938</v>
      </c>
      <c r="AG100">
        <v>9988.8399999999911</v>
      </c>
      <c r="AH100">
        <v>210.79</v>
      </c>
      <c r="AI100">
        <v>1851.3900000000006</v>
      </c>
      <c r="AJ100">
        <v>0</v>
      </c>
      <c r="AK100">
        <v>-1851.3900000000006</v>
      </c>
      <c r="AL100">
        <v>7926.6600000000026</v>
      </c>
      <c r="AM100">
        <v>9988.8399999999911</v>
      </c>
      <c r="AN100">
        <v>2062.1800000000003</v>
      </c>
      <c r="AO100">
        <v>195</v>
      </c>
    </row>
    <row r="101" spans="1:41" x14ac:dyDescent="0.35">
      <c r="A101">
        <v>2024</v>
      </c>
      <c r="B101">
        <v>2</v>
      </c>
      <c r="C101">
        <v>7</v>
      </c>
      <c r="D101" s="14">
        <v>45334</v>
      </c>
      <c r="E101" t="s">
        <v>44</v>
      </c>
      <c r="F101" t="s">
        <v>47</v>
      </c>
      <c r="G101" t="s">
        <v>49</v>
      </c>
      <c r="H101">
        <v>946.05</v>
      </c>
      <c r="I101">
        <v>946.05</v>
      </c>
      <c r="J101">
        <v>0</v>
      </c>
      <c r="K101">
        <v>82.440000000000012</v>
      </c>
      <c r="L101">
        <v>82.440000000000012</v>
      </c>
      <c r="M101">
        <v>0</v>
      </c>
      <c r="N101">
        <v>95.94</v>
      </c>
      <c r="O101">
        <v>95.94</v>
      </c>
      <c r="P101">
        <v>0</v>
      </c>
      <c r="Q101">
        <v>-309</v>
      </c>
      <c r="R101">
        <v>-298</v>
      </c>
      <c r="S101">
        <v>11</v>
      </c>
      <c r="T101">
        <v>0</v>
      </c>
      <c r="U101">
        <v>0</v>
      </c>
      <c r="V101">
        <v>0</v>
      </c>
      <c r="W101">
        <v>-20</v>
      </c>
      <c r="X101">
        <v>-20</v>
      </c>
      <c r="Y101">
        <v>0</v>
      </c>
      <c r="Z101">
        <v>795.43000000000006</v>
      </c>
      <c r="AA101">
        <v>806.43000000000006</v>
      </c>
      <c r="AB101">
        <v>11</v>
      </c>
      <c r="AC101">
        <v>96.090000000000018</v>
      </c>
      <c r="AD101">
        <v>9.3000000000000007</v>
      </c>
      <c r="AE101">
        <v>-86.79000000000002</v>
      </c>
      <c r="AF101">
        <v>699.33999999999992</v>
      </c>
      <c r="AG101">
        <v>797.13000000000011</v>
      </c>
      <c r="AH101">
        <v>97.79000000000002</v>
      </c>
      <c r="AI101">
        <v>-0.57999999999999918</v>
      </c>
      <c r="AJ101">
        <v>0</v>
      </c>
      <c r="AK101">
        <v>0.57999999999999918</v>
      </c>
      <c r="AL101">
        <v>699.92</v>
      </c>
      <c r="AM101">
        <v>797.13000000000011</v>
      </c>
      <c r="AN101">
        <v>97.210000000000008</v>
      </c>
      <c r="AO101">
        <v>12</v>
      </c>
    </row>
    <row r="102" spans="1:41" x14ac:dyDescent="0.35">
      <c r="A102">
        <v>2024</v>
      </c>
      <c r="B102">
        <v>2</v>
      </c>
      <c r="C102">
        <v>7</v>
      </c>
      <c r="D102" s="14">
        <v>45335</v>
      </c>
      <c r="E102" t="s">
        <v>44</v>
      </c>
      <c r="F102" t="s">
        <v>47</v>
      </c>
      <c r="G102" t="s">
        <v>49</v>
      </c>
      <c r="H102">
        <v>3155.05</v>
      </c>
      <c r="I102">
        <v>3169.05</v>
      </c>
      <c r="J102">
        <v>14</v>
      </c>
      <c r="K102">
        <v>104.2</v>
      </c>
      <c r="L102">
        <v>104.2</v>
      </c>
      <c r="M102">
        <v>0</v>
      </c>
      <c r="N102">
        <v>114.93</v>
      </c>
      <c r="O102">
        <v>114.93</v>
      </c>
      <c r="P102">
        <v>0</v>
      </c>
      <c r="Q102">
        <v>-1252.7</v>
      </c>
      <c r="R102">
        <v>-1222.7</v>
      </c>
      <c r="S102">
        <v>30.000000000000004</v>
      </c>
      <c r="T102">
        <v>-10</v>
      </c>
      <c r="U102">
        <v>-10</v>
      </c>
      <c r="V102">
        <v>0</v>
      </c>
      <c r="W102">
        <v>-5</v>
      </c>
      <c r="X102">
        <v>-5</v>
      </c>
      <c r="Y102">
        <v>0</v>
      </c>
      <c r="Z102">
        <v>2106.4800000000005</v>
      </c>
      <c r="AA102">
        <v>2150.4800000000005</v>
      </c>
      <c r="AB102">
        <v>44</v>
      </c>
      <c r="AC102">
        <v>42.769999999999996</v>
      </c>
      <c r="AD102">
        <v>33.47</v>
      </c>
      <c r="AE102">
        <v>-9.3000000000000007</v>
      </c>
      <c r="AF102">
        <v>2063.71</v>
      </c>
      <c r="AG102">
        <v>2117.0100000000002</v>
      </c>
      <c r="AH102">
        <v>53.3</v>
      </c>
      <c r="AI102">
        <v>56.359999999999992</v>
      </c>
      <c r="AJ102">
        <v>0</v>
      </c>
      <c r="AK102">
        <v>-56.359999999999992</v>
      </c>
      <c r="AL102">
        <v>2007.3499999999997</v>
      </c>
      <c r="AM102">
        <v>2117.0100000000002</v>
      </c>
      <c r="AN102">
        <v>109.66000000000003</v>
      </c>
      <c r="AO102">
        <v>38</v>
      </c>
    </row>
    <row r="103" spans="1:41" x14ac:dyDescent="0.35">
      <c r="A103">
        <v>2024</v>
      </c>
      <c r="B103">
        <v>2</v>
      </c>
      <c r="C103">
        <v>7</v>
      </c>
      <c r="D103" s="14">
        <v>45336</v>
      </c>
      <c r="E103" t="s">
        <v>44</v>
      </c>
      <c r="F103" t="s">
        <v>47</v>
      </c>
      <c r="G103" t="s">
        <v>49</v>
      </c>
      <c r="H103">
        <v>7895.3000000000047</v>
      </c>
      <c r="I103">
        <v>7899.3000000000047</v>
      </c>
      <c r="J103">
        <v>4</v>
      </c>
      <c r="K103">
        <v>998.57000000000085</v>
      </c>
      <c r="L103">
        <v>998.57000000000085</v>
      </c>
      <c r="M103">
        <v>0</v>
      </c>
      <c r="N103">
        <v>152.91000000000003</v>
      </c>
      <c r="O103">
        <v>152.91000000000003</v>
      </c>
      <c r="P103">
        <v>0</v>
      </c>
      <c r="Q103">
        <v>-2415.0000000000009</v>
      </c>
      <c r="R103">
        <v>-2415.0000000000009</v>
      </c>
      <c r="S103">
        <v>0</v>
      </c>
      <c r="T103">
        <v>0</v>
      </c>
      <c r="U103">
        <v>0</v>
      </c>
      <c r="V103">
        <v>0</v>
      </c>
      <c r="W103">
        <v>-15</v>
      </c>
      <c r="X103">
        <v>-15</v>
      </c>
      <c r="Y103">
        <v>0</v>
      </c>
      <c r="Z103">
        <v>6616.7800000000079</v>
      </c>
      <c r="AA103">
        <v>6620.7800000000079</v>
      </c>
      <c r="AB103">
        <v>4</v>
      </c>
      <c r="AC103">
        <v>87.95</v>
      </c>
      <c r="AD103">
        <v>54.480000000000004</v>
      </c>
      <c r="AE103">
        <v>-33.47</v>
      </c>
      <c r="AF103">
        <v>6528.8300000000072</v>
      </c>
      <c r="AG103">
        <v>6566.3000000000075</v>
      </c>
      <c r="AH103">
        <v>37.47</v>
      </c>
      <c r="AI103">
        <v>1532.7900000000016</v>
      </c>
      <c r="AJ103">
        <v>0</v>
      </c>
      <c r="AK103">
        <v>-1532.7900000000016</v>
      </c>
      <c r="AL103">
        <v>4996.04</v>
      </c>
      <c r="AM103">
        <v>6566.3000000000075</v>
      </c>
      <c r="AN103">
        <v>1570.2600000000018</v>
      </c>
      <c r="AO103">
        <v>184</v>
      </c>
    </row>
    <row r="104" spans="1:41" x14ac:dyDescent="0.35">
      <c r="A104">
        <v>2024</v>
      </c>
      <c r="B104">
        <v>2</v>
      </c>
      <c r="C104">
        <v>7</v>
      </c>
      <c r="D104" s="14">
        <v>45337</v>
      </c>
      <c r="E104" t="s">
        <v>44</v>
      </c>
      <c r="F104" t="s">
        <v>47</v>
      </c>
      <c r="G104" t="s">
        <v>49</v>
      </c>
      <c r="H104">
        <v>10189.15</v>
      </c>
      <c r="I104">
        <v>10189.15</v>
      </c>
      <c r="J104">
        <v>0</v>
      </c>
      <c r="K104">
        <v>170.14000000000004</v>
      </c>
      <c r="L104">
        <v>170.14000000000004</v>
      </c>
      <c r="M104">
        <v>0</v>
      </c>
      <c r="N104">
        <v>158.89999999999998</v>
      </c>
      <c r="O104">
        <v>158.89999999999998</v>
      </c>
      <c r="P104">
        <v>0</v>
      </c>
      <c r="Q104">
        <v>-2792.9999999999982</v>
      </c>
      <c r="R104">
        <v>-2792.9999999999982</v>
      </c>
      <c r="S104">
        <v>0</v>
      </c>
      <c r="T104">
        <v>-20.5</v>
      </c>
      <c r="U104">
        <v>-20.5</v>
      </c>
      <c r="V104">
        <v>0</v>
      </c>
      <c r="W104">
        <v>-10</v>
      </c>
      <c r="X104">
        <v>-10</v>
      </c>
      <c r="Y104">
        <v>0</v>
      </c>
      <c r="Z104">
        <v>7694.6899999999951</v>
      </c>
      <c r="AA104">
        <v>7694.6899999999951</v>
      </c>
      <c r="AB104">
        <v>0</v>
      </c>
      <c r="AC104">
        <v>183.00999999999996</v>
      </c>
      <c r="AD104">
        <v>128.53</v>
      </c>
      <c r="AE104">
        <v>-54.480000000000004</v>
      </c>
      <c r="AF104">
        <v>7511.6799999999948</v>
      </c>
      <c r="AG104">
        <v>7566.1599999999944</v>
      </c>
      <c r="AH104">
        <v>54.480000000000018</v>
      </c>
      <c r="AI104">
        <v>1341.3599999999992</v>
      </c>
      <c r="AJ104">
        <v>0</v>
      </c>
      <c r="AK104">
        <v>-1341.3599999999992</v>
      </c>
      <c r="AL104">
        <v>6170.3200000000006</v>
      </c>
      <c r="AM104">
        <v>7566.1599999999944</v>
      </c>
      <c r="AN104">
        <v>1395.839999999999</v>
      </c>
      <c r="AO104">
        <v>126</v>
      </c>
    </row>
    <row r="105" spans="1:41" x14ac:dyDescent="0.35">
      <c r="A105">
        <v>2024</v>
      </c>
      <c r="B105">
        <v>2</v>
      </c>
      <c r="C105">
        <v>7</v>
      </c>
      <c r="D105" s="14">
        <v>45338</v>
      </c>
      <c r="E105" t="s">
        <v>44</v>
      </c>
      <c r="F105" t="s">
        <v>47</v>
      </c>
      <c r="G105" t="s">
        <v>49</v>
      </c>
      <c r="H105">
        <v>17079.25</v>
      </c>
      <c r="I105">
        <v>17083.25</v>
      </c>
      <c r="J105">
        <v>4</v>
      </c>
      <c r="K105">
        <v>120.78999999999999</v>
      </c>
      <c r="L105">
        <v>120.78999999999999</v>
      </c>
      <c r="M105">
        <v>0</v>
      </c>
      <c r="N105">
        <v>114.93999999999998</v>
      </c>
      <c r="O105">
        <v>114.93999999999998</v>
      </c>
      <c r="P105">
        <v>0</v>
      </c>
      <c r="Q105">
        <v>-5832.3999999999951</v>
      </c>
      <c r="R105">
        <v>-5832.3999999999951</v>
      </c>
      <c r="S105">
        <v>0</v>
      </c>
      <c r="T105">
        <v>-10</v>
      </c>
      <c r="U105">
        <v>-10</v>
      </c>
      <c r="V105">
        <v>0</v>
      </c>
      <c r="W105">
        <v>-10</v>
      </c>
      <c r="X105">
        <v>-10</v>
      </c>
      <c r="Y105">
        <v>0</v>
      </c>
      <c r="Z105">
        <v>11462.58</v>
      </c>
      <c r="AA105">
        <v>11466.58</v>
      </c>
      <c r="AB105">
        <v>4</v>
      </c>
      <c r="AC105">
        <v>164.79</v>
      </c>
      <c r="AD105">
        <v>36.26</v>
      </c>
      <c r="AE105">
        <v>-128.53</v>
      </c>
      <c r="AF105">
        <v>11297.789999999999</v>
      </c>
      <c r="AG105">
        <v>11430.32</v>
      </c>
      <c r="AH105">
        <v>132.53000000000003</v>
      </c>
      <c r="AI105">
        <v>2823.5200000000004</v>
      </c>
      <c r="AJ105">
        <v>0</v>
      </c>
      <c r="AK105">
        <v>-2823.5200000000004</v>
      </c>
      <c r="AL105">
        <v>8474.2700000000023</v>
      </c>
      <c r="AM105">
        <v>11430.32</v>
      </c>
      <c r="AN105">
        <v>2956.0499999999993</v>
      </c>
      <c r="AO105">
        <v>200</v>
      </c>
    </row>
    <row r="106" spans="1:41" x14ac:dyDescent="0.35">
      <c r="A106">
        <v>2024</v>
      </c>
      <c r="B106">
        <v>2</v>
      </c>
      <c r="C106">
        <v>7</v>
      </c>
      <c r="D106" s="14">
        <v>45339</v>
      </c>
      <c r="E106" t="s">
        <v>44</v>
      </c>
      <c r="F106" t="s">
        <v>47</v>
      </c>
      <c r="G106" t="s">
        <v>49</v>
      </c>
      <c r="H106">
        <v>10879.3</v>
      </c>
      <c r="I106">
        <v>10879.3</v>
      </c>
      <c r="J106">
        <v>0</v>
      </c>
      <c r="K106">
        <v>150.57999999999998</v>
      </c>
      <c r="L106">
        <v>150.57999999999998</v>
      </c>
      <c r="M106">
        <v>0</v>
      </c>
      <c r="N106">
        <v>119.92999999999999</v>
      </c>
      <c r="O106">
        <v>119.92999999999999</v>
      </c>
      <c r="P106">
        <v>0</v>
      </c>
      <c r="Q106">
        <v>-3562.7499999999995</v>
      </c>
      <c r="R106">
        <v>-3562.7499999999995</v>
      </c>
      <c r="S106">
        <v>0</v>
      </c>
      <c r="T106">
        <v>-15</v>
      </c>
      <c r="U106">
        <v>-15</v>
      </c>
      <c r="V106">
        <v>0</v>
      </c>
      <c r="W106">
        <v>0</v>
      </c>
      <c r="X106">
        <v>0</v>
      </c>
      <c r="Y106">
        <v>0</v>
      </c>
      <c r="Z106">
        <v>7572.0599999999986</v>
      </c>
      <c r="AA106">
        <v>7572.0599999999986</v>
      </c>
      <c r="AB106">
        <v>0</v>
      </c>
      <c r="AC106">
        <v>228.14000000000001</v>
      </c>
      <c r="AD106">
        <v>170.22</v>
      </c>
      <c r="AE106">
        <v>-57.92</v>
      </c>
      <c r="AF106">
        <v>7343.9199999999983</v>
      </c>
      <c r="AG106">
        <v>7401.8399999999983</v>
      </c>
      <c r="AH106">
        <v>57.920000000000009</v>
      </c>
      <c r="AI106">
        <v>1214.4800000000005</v>
      </c>
      <c r="AJ106">
        <v>10.18</v>
      </c>
      <c r="AK106">
        <v>-1204.3000000000004</v>
      </c>
      <c r="AL106">
        <v>6129.4400000000041</v>
      </c>
      <c r="AM106">
        <v>7391.6599999999989</v>
      </c>
      <c r="AN106">
        <v>1262.2200000000003</v>
      </c>
      <c r="AO106">
        <v>151</v>
      </c>
    </row>
    <row r="107" spans="1:41" x14ac:dyDescent="0.35">
      <c r="A107">
        <v>2024</v>
      </c>
      <c r="B107">
        <v>2</v>
      </c>
      <c r="C107">
        <v>7</v>
      </c>
      <c r="D107" s="14">
        <v>45333</v>
      </c>
      <c r="E107" t="s">
        <v>44</v>
      </c>
      <c r="F107" t="s">
        <v>47</v>
      </c>
      <c r="G107" t="s">
        <v>50</v>
      </c>
      <c r="H107">
        <v>24683.43</v>
      </c>
      <c r="I107">
        <v>24744.43</v>
      </c>
      <c r="J107">
        <v>61</v>
      </c>
      <c r="K107">
        <v>484.80999999999932</v>
      </c>
      <c r="L107">
        <v>484.80999999999932</v>
      </c>
      <c r="M107">
        <v>0</v>
      </c>
      <c r="N107">
        <v>1175.2300000000005</v>
      </c>
      <c r="O107">
        <v>1175.2300000000005</v>
      </c>
      <c r="P107">
        <v>0</v>
      </c>
      <c r="Q107">
        <v>-8305.85</v>
      </c>
      <c r="R107">
        <v>-8233.85</v>
      </c>
      <c r="S107">
        <v>72</v>
      </c>
      <c r="T107">
        <v>-30.46</v>
      </c>
      <c r="U107">
        <v>-30.46</v>
      </c>
      <c r="V107">
        <v>0</v>
      </c>
      <c r="W107">
        <v>-20</v>
      </c>
      <c r="X107">
        <v>-20</v>
      </c>
      <c r="Y107">
        <v>0</v>
      </c>
      <c r="Z107">
        <v>17987.16</v>
      </c>
      <c r="AA107">
        <v>18120.16</v>
      </c>
      <c r="AB107">
        <v>133</v>
      </c>
      <c r="AC107">
        <v>2258.0900000000011</v>
      </c>
      <c r="AD107">
        <v>1202.1899999999996</v>
      </c>
      <c r="AE107">
        <v>-1055.8999999999994</v>
      </c>
      <c r="AF107">
        <v>15729.070000000003</v>
      </c>
      <c r="AG107">
        <v>16917.97</v>
      </c>
      <c r="AH107">
        <v>1188.8999999999996</v>
      </c>
      <c r="AI107">
        <v>-800.15999999999929</v>
      </c>
      <c r="AJ107">
        <v>0</v>
      </c>
      <c r="AK107">
        <v>800.15999999999929</v>
      </c>
      <c r="AL107">
        <v>16529.230000000003</v>
      </c>
      <c r="AM107">
        <v>16917.97</v>
      </c>
      <c r="AN107">
        <v>388.7399999999999</v>
      </c>
      <c r="AO107">
        <v>286</v>
      </c>
    </row>
    <row r="108" spans="1:41" x14ac:dyDescent="0.35">
      <c r="A108">
        <v>2024</v>
      </c>
      <c r="B108">
        <v>2</v>
      </c>
      <c r="C108">
        <v>7</v>
      </c>
      <c r="D108" s="14">
        <v>45334</v>
      </c>
      <c r="E108" t="s">
        <v>44</v>
      </c>
      <c r="F108" t="s">
        <v>47</v>
      </c>
      <c r="G108" t="s">
        <v>50</v>
      </c>
      <c r="H108">
        <v>15630.43</v>
      </c>
      <c r="I108">
        <v>15644.43</v>
      </c>
      <c r="J108">
        <v>14</v>
      </c>
      <c r="K108">
        <v>192.74999999999989</v>
      </c>
      <c r="L108">
        <v>192.74999999999989</v>
      </c>
      <c r="M108">
        <v>0</v>
      </c>
      <c r="N108">
        <v>624.62000000000023</v>
      </c>
      <c r="O108">
        <v>624.62000000000023</v>
      </c>
      <c r="P108">
        <v>0</v>
      </c>
      <c r="Q108">
        <v>-5047.93</v>
      </c>
      <c r="R108">
        <v>-4930.93</v>
      </c>
      <c r="S108">
        <v>117</v>
      </c>
      <c r="T108">
        <v>-0.46</v>
      </c>
      <c r="U108">
        <v>-0.46</v>
      </c>
      <c r="V108">
        <v>0</v>
      </c>
      <c r="W108">
        <v>-5</v>
      </c>
      <c r="X108">
        <v>-5</v>
      </c>
      <c r="Y108">
        <v>0</v>
      </c>
      <c r="Z108">
        <v>11394.409999999996</v>
      </c>
      <c r="AA108">
        <v>11525.409999999996</v>
      </c>
      <c r="AB108">
        <v>131.00000000000003</v>
      </c>
      <c r="AC108">
        <v>1653.2299999999998</v>
      </c>
      <c r="AD108">
        <v>520.22</v>
      </c>
      <c r="AE108">
        <v>-1133.01</v>
      </c>
      <c r="AF108">
        <v>9741.1799999999967</v>
      </c>
      <c r="AG108">
        <v>11005.189999999995</v>
      </c>
      <c r="AH108">
        <v>1264.0099999999995</v>
      </c>
      <c r="AI108">
        <v>-354.00999999999988</v>
      </c>
      <c r="AJ108">
        <v>0</v>
      </c>
      <c r="AK108">
        <v>354.00999999999988</v>
      </c>
      <c r="AL108">
        <v>10095.189999999999</v>
      </c>
      <c r="AM108">
        <v>11005.189999999995</v>
      </c>
      <c r="AN108">
        <v>910.00000000000011</v>
      </c>
      <c r="AO108">
        <v>184</v>
      </c>
    </row>
    <row r="109" spans="1:41" x14ac:dyDescent="0.35">
      <c r="A109">
        <v>2024</v>
      </c>
      <c r="B109">
        <v>2</v>
      </c>
      <c r="C109">
        <v>7</v>
      </c>
      <c r="D109" s="14">
        <v>45335</v>
      </c>
      <c r="E109" t="s">
        <v>44</v>
      </c>
      <c r="F109" t="s">
        <v>47</v>
      </c>
      <c r="G109" t="s">
        <v>50</v>
      </c>
      <c r="H109">
        <v>17615.3</v>
      </c>
      <c r="I109">
        <v>17629.3</v>
      </c>
      <c r="J109">
        <v>14</v>
      </c>
      <c r="K109">
        <v>418.83999999999975</v>
      </c>
      <c r="L109">
        <v>418.83999999999975</v>
      </c>
      <c r="M109">
        <v>0</v>
      </c>
      <c r="N109">
        <v>741.56000000000029</v>
      </c>
      <c r="O109">
        <v>728.57000000000028</v>
      </c>
      <c r="P109">
        <v>-12.99</v>
      </c>
      <c r="Q109">
        <v>-4942.03</v>
      </c>
      <c r="R109">
        <v>-4841.03</v>
      </c>
      <c r="S109">
        <v>101</v>
      </c>
      <c r="T109">
        <v>-15</v>
      </c>
      <c r="U109">
        <v>-15</v>
      </c>
      <c r="V109">
        <v>0</v>
      </c>
      <c r="W109">
        <v>-30.990000000000002</v>
      </c>
      <c r="X109">
        <v>-30.990000000000002</v>
      </c>
      <c r="Y109">
        <v>0</v>
      </c>
      <c r="Z109">
        <v>13787.679999999986</v>
      </c>
      <c r="AA109">
        <v>13889.689999999988</v>
      </c>
      <c r="AB109">
        <v>102.01000000000002</v>
      </c>
      <c r="AC109">
        <v>1398.2399999999998</v>
      </c>
      <c r="AD109">
        <v>878.01999999999987</v>
      </c>
      <c r="AE109">
        <v>-520.21999999999991</v>
      </c>
      <c r="AF109">
        <v>12389.439999999997</v>
      </c>
      <c r="AG109">
        <v>13011.669999999996</v>
      </c>
      <c r="AH109">
        <v>622.23000000000036</v>
      </c>
      <c r="AI109">
        <v>-613.10999999999922</v>
      </c>
      <c r="AJ109">
        <v>0</v>
      </c>
      <c r="AK109">
        <v>613.10999999999922</v>
      </c>
      <c r="AL109">
        <v>13002.549999999997</v>
      </c>
      <c r="AM109">
        <v>13011.669999999996</v>
      </c>
      <c r="AN109">
        <v>9.1200000000000756</v>
      </c>
      <c r="AO109">
        <v>213</v>
      </c>
    </row>
    <row r="110" spans="1:41" x14ac:dyDescent="0.35">
      <c r="A110">
        <v>2024</v>
      </c>
      <c r="B110">
        <v>2</v>
      </c>
      <c r="C110">
        <v>7</v>
      </c>
      <c r="D110" s="14">
        <v>45336</v>
      </c>
      <c r="E110" t="s">
        <v>44</v>
      </c>
      <c r="F110" t="s">
        <v>47</v>
      </c>
      <c r="G110" t="s">
        <v>50</v>
      </c>
      <c r="H110">
        <v>20413.05</v>
      </c>
      <c r="I110">
        <v>20504.05</v>
      </c>
      <c r="J110">
        <v>91</v>
      </c>
      <c r="K110">
        <v>494.72999999999928</v>
      </c>
      <c r="L110">
        <v>494.72999999999928</v>
      </c>
      <c r="M110">
        <v>0</v>
      </c>
      <c r="N110">
        <v>770.53000000000031</v>
      </c>
      <c r="O110">
        <v>770.53000000000031</v>
      </c>
      <c r="P110">
        <v>0</v>
      </c>
      <c r="Q110">
        <v>-6310.12</v>
      </c>
      <c r="R110">
        <v>-6166.8200000000006</v>
      </c>
      <c r="S110">
        <v>143.30000000000001</v>
      </c>
      <c r="T110">
        <v>-15</v>
      </c>
      <c r="U110">
        <v>-15</v>
      </c>
      <c r="V110">
        <v>0</v>
      </c>
      <c r="W110">
        <v>-20</v>
      </c>
      <c r="X110">
        <v>-20</v>
      </c>
      <c r="Y110">
        <v>0</v>
      </c>
      <c r="Z110">
        <v>15333.189999999993</v>
      </c>
      <c r="AA110">
        <v>15567.489999999993</v>
      </c>
      <c r="AB110">
        <v>234.3</v>
      </c>
      <c r="AC110">
        <v>2104.7099999999991</v>
      </c>
      <c r="AD110">
        <v>1226.6899999999991</v>
      </c>
      <c r="AE110">
        <v>-878.0200000000001</v>
      </c>
      <c r="AF110">
        <v>13228.48</v>
      </c>
      <c r="AG110">
        <v>14340.799999999988</v>
      </c>
      <c r="AH110">
        <v>1112.3200000000004</v>
      </c>
      <c r="AI110">
        <v>-741.57999999999993</v>
      </c>
      <c r="AJ110">
        <v>0</v>
      </c>
      <c r="AK110">
        <v>741.57999999999993</v>
      </c>
      <c r="AL110">
        <v>13970.060000000007</v>
      </c>
      <c r="AM110">
        <v>14340.799999999988</v>
      </c>
      <c r="AN110">
        <v>370.73999999999938</v>
      </c>
      <c r="AO110">
        <v>247</v>
      </c>
    </row>
    <row r="111" spans="1:41" x14ac:dyDescent="0.35">
      <c r="A111">
        <v>2024</v>
      </c>
      <c r="B111">
        <v>2</v>
      </c>
      <c r="C111">
        <v>7</v>
      </c>
      <c r="D111" s="14">
        <v>45337</v>
      </c>
      <c r="E111" t="s">
        <v>44</v>
      </c>
      <c r="F111" t="s">
        <v>47</v>
      </c>
      <c r="G111" t="s">
        <v>50</v>
      </c>
      <c r="H111">
        <v>21115.68</v>
      </c>
      <c r="I111">
        <v>21186.68</v>
      </c>
      <c r="J111">
        <v>71</v>
      </c>
      <c r="K111">
        <v>468.23999999999972</v>
      </c>
      <c r="L111">
        <v>468.23999999999972</v>
      </c>
      <c r="M111">
        <v>0</v>
      </c>
      <c r="N111">
        <v>818.49000000000035</v>
      </c>
      <c r="O111">
        <v>818.49000000000035</v>
      </c>
      <c r="P111">
        <v>0</v>
      </c>
      <c r="Q111">
        <v>-5990.85</v>
      </c>
      <c r="R111">
        <v>-5915.85</v>
      </c>
      <c r="S111">
        <v>75</v>
      </c>
      <c r="T111">
        <v>-20</v>
      </c>
      <c r="U111">
        <v>-20</v>
      </c>
      <c r="V111">
        <v>0</v>
      </c>
      <c r="W111">
        <v>-15</v>
      </c>
      <c r="X111">
        <v>-15</v>
      </c>
      <c r="Y111">
        <v>0</v>
      </c>
      <c r="Z111">
        <v>16376.55999999999</v>
      </c>
      <c r="AA111">
        <v>16522.55999999999</v>
      </c>
      <c r="AB111">
        <v>146</v>
      </c>
      <c r="AC111">
        <v>2075.75</v>
      </c>
      <c r="AD111">
        <v>849.06</v>
      </c>
      <c r="AE111">
        <v>-1226.69</v>
      </c>
      <c r="AF111">
        <v>14300.810000000012</v>
      </c>
      <c r="AG111">
        <v>15673.499999999998</v>
      </c>
      <c r="AH111">
        <v>1372.69</v>
      </c>
      <c r="AI111">
        <v>-587.22000000000037</v>
      </c>
      <c r="AJ111">
        <v>0</v>
      </c>
      <c r="AK111">
        <v>587.22000000000037</v>
      </c>
      <c r="AL111">
        <v>14888.030000000015</v>
      </c>
      <c r="AM111">
        <v>15673.499999999998</v>
      </c>
      <c r="AN111">
        <v>785.46999999999957</v>
      </c>
      <c r="AO111">
        <v>247</v>
      </c>
    </row>
    <row r="112" spans="1:41" x14ac:dyDescent="0.35">
      <c r="A112">
        <v>2024</v>
      </c>
      <c r="B112">
        <v>2</v>
      </c>
      <c r="C112">
        <v>7</v>
      </c>
      <c r="D112" s="14">
        <v>45338</v>
      </c>
      <c r="E112" t="s">
        <v>44</v>
      </c>
      <c r="F112" t="s">
        <v>47</v>
      </c>
      <c r="G112" t="s">
        <v>50</v>
      </c>
      <c r="H112">
        <v>19780.93</v>
      </c>
      <c r="I112">
        <v>19819.93</v>
      </c>
      <c r="J112">
        <v>39</v>
      </c>
      <c r="K112">
        <v>425.47999999999951</v>
      </c>
      <c r="L112">
        <v>425.47999999999951</v>
      </c>
      <c r="M112">
        <v>0</v>
      </c>
      <c r="N112">
        <v>854.50000000000034</v>
      </c>
      <c r="O112">
        <v>854.50000000000034</v>
      </c>
      <c r="P112">
        <v>0</v>
      </c>
      <c r="Q112">
        <v>-5610.1</v>
      </c>
      <c r="R112">
        <v>-5574.1</v>
      </c>
      <c r="S112">
        <v>36</v>
      </c>
      <c r="T112">
        <v>-20</v>
      </c>
      <c r="U112">
        <v>-20</v>
      </c>
      <c r="V112">
        <v>0</v>
      </c>
      <c r="W112">
        <v>-59.980000000000004</v>
      </c>
      <c r="X112">
        <v>-59.980000000000004</v>
      </c>
      <c r="Y112">
        <v>0</v>
      </c>
      <c r="Z112">
        <v>15370.829999999982</v>
      </c>
      <c r="AA112">
        <v>15445.829999999982</v>
      </c>
      <c r="AB112">
        <v>75</v>
      </c>
      <c r="AC112">
        <v>1543.5899999999997</v>
      </c>
      <c r="AD112">
        <v>721.62000000000012</v>
      </c>
      <c r="AE112">
        <v>-821.96999999999991</v>
      </c>
      <c r="AF112">
        <v>13827.239999999998</v>
      </c>
      <c r="AG112">
        <v>14724.209999999985</v>
      </c>
      <c r="AH112">
        <v>896.9699999999998</v>
      </c>
      <c r="AI112">
        <v>-485.5299999999998</v>
      </c>
      <c r="AJ112">
        <v>0</v>
      </c>
      <c r="AK112">
        <v>485.5299999999998</v>
      </c>
      <c r="AL112">
        <v>14312.770000000002</v>
      </c>
      <c r="AM112">
        <v>14724.209999999985</v>
      </c>
      <c r="AN112">
        <v>411.44000000000005</v>
      </c>
      <c r="AO112">
        <v>227</v>
      </c>
    </row>
    <row r="113" spans="1:41" x14ac:dyDescent="0.35">
      <c r="A113">
        <v>2024</v>
      </c>
      <c r="B113">
        <v>2</v>
      </c>
      <c r="C113">
        <v>7</v>
      </c>
      <c r="D113" s="14">
        <v>45339</v>
      </c>
      <c r="E113" t="s">
        <v>44</v>
      </c>
      <c r="F113" t="s">
        <v>47</v>
      </c>
      <c r="G113" t="s">
        <v>50</v>
      </c>
      <c r="H113">
        <v>22003</v>
      </c>
      <c r="I113">
        <v>22031</v>
      </c>
      <c r="J113">
        <v>28</v>
      </c>
      <c r="K113">
        <v>501.37999999999948</v>
      </c>
      <c r="L113">
        <v>501.37999999999948</v>
      </c>
      <c r="M113">
        <v>0</v>
      </c>
      <c r="N113">
        <v>1065.3400000000004</v>
      </c>
      <c r="O113">
        <v>1065.3400000000004</v>
      </c>
      <c r="P113">
        <v>0</v>
      </c>
      <c r="Q113">
        <v>-6719.5</v>
      </c>
      <c r="R113">
        <v>-6674.5</v>
      </c>
      <c r="S113">
        <v>45</v>
      </c>
      <c r="T113">
        <v>-30</v>
      </c>
      <c r="U113">
        <v>-30</v>
      </c>
      <c r="V113">
        <v>0</v>
      </c>
      <c r="W113">
        <v>-44.980000000000004</v>
      </c>
      <c r="X113">
        <v>-44.980000000000004</v>
      </c>
      <c r="Y113">
        <v>0</v>
      </c>
      <c r="Z113">
        <v>16775.239999999987</v>
      </c>
      <c r="AA113">
        <v>16848.239999999987</v>
      </c>
      <c r="AB113">
        <v>73</v>
      </c>
      <c r="AC113">
        <v>2422.2100000000019</v>
      </c>
      <c r="AD113">
        <v>1700.5900000000001</v>
      </c>
      <c r="AE113">
        <v>-721.61999999999978</v>
      </c>
      <c r="AF113">
        <v>14353.030000000002</v>
      </c>
      <c r="AG113">
        <v>15147.650000000003</v>
      </c>
      <c r="AH113">
        <v>794.62000000000012</v>
      </c>
      <c r="AI113">
        <v>-1058.77</v>
      </c>
      <c r="AJ113">
        <v>0</v>
      </c>
      <c r="AK113">
        <v>1058.77</v>
      </c>
      <c r="AL113">
        <v>15411.799999999997</v>
      </c>
      <c r="AM113">
        <v>15147.650000000003</v>
      </c>
      <c r="AN113">
        <v>-264.14999999999998</v>
      </c>
      <c r="AO113">
        <v>250</v>
      </c>
    </row>
    <row r="114" spans="1:41" x14ac:dyDescent="0.35">
      <c r="A114">
        <v>2024</v>
      </c>
      <c r="B114">
        <v>2</v>
      </c>
      <c r="C114">
        <v>7</v>
      </c>
      <c r="D114" s="14">
        <v>45333</v>
      </c>
      <c r="E114" t="s">
        <v>44</v>
      </c>
      <c r="F114" t="s">
        <v>47</v>
      </c>
      <c r="G114" t="s">
        <v>51</v>
      </c>
      <c r="H114">
        <v>2854</v>
      </c>
      <c r="I114">
        <v>2854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-775.29999999999984</v>
      </c>
      <c r="R114">
        <v>-775.29999999999984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2078.6999999999998</v>
      </c>
      <c r="AA114">
        <v>2078.6999999999998</v>
      </c>
      <c r="AB114">
        <v>0</v>
      </c>
      <c r="AC114">
        <v>58.309999999999995</v>
      </c>
      <c r="AE114">
        <v>-58.309999999999995</v>
      </c>
      <c r="AF114">
        <v>2020.3899999999996</v>
      </c>
      <c r="AG114">
        <v>2078.6999999999998</v>
      </c>
      <c r="AH114">
        <v>58.309999999999988</v>
      </c>
      <c r="AI114">
        <v>425.56</v>
      </c>
      <c r="AJ114">
        <v>0</v>
      </c>
      <c r="AK114">
        <v>-425.56</v>
      </c>
      <c r="AL114">
        <v>1594.83</v>
      </c>
      <c r="AM114">
        <v>2078.6999999999998</v>
      </c>
      <c r="AN114">
        <v>483.87</v>
      </c>
      <c r="AO114">
        <v>44</v>
      </c>
    </row>
    <row r="115" spans="1:41" x14ac:dyDescent="0.35">
      <c r="A115">
        <v>2024</v>
      </c>
      <c r="B115">
        <v>2</v>
      </c>
      <c r="C115">
        <v>7</v>
      </c>
      <c r="D115" s="14">
        <v>45334</v>
      </c>
      <c r="E115" t="s">
        <v>44</v>
      </c>
      <c r="F115" t="s">
        <v>47</v>
      </c>
      <c r="G115" t="s">
        <v>51</v>
      </c>
      <c r="H115">
        <v>209</v>
      </c>
      <c r="I115">
        <v>209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-54</v>
      </c>
      <c r="R115">
        <v>-54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155</v>
      </c>
      <c r="AA115">
        <v>155</v>
      </c>
      <c r="AB115">
        <v>0</v>
      </c>
      <c r="AC115">
        <v>8.33</v>
      </c>
      <c r="AD115">
        <v>8.33</v>
      </c>
      <c r="AE115">
        <v>0</v>
      </c>
      <c r="AF115">
        <v>146.67000000000002</v>
      </c>
      <c r="AG115">
        <v>146.67000000000002</v>
      </c>
      <c r="AH115">
        <v>0</v>
      </c>
      <c r="AI115">
        <v>-10.120000000000001</v>
      </c>
      <c r="AJ115">
        <v>0</v>
      </c>
      <c r="AK115">
        <v>10.120000000000001</v>
      </c>
      <c r="AL115">
        <v>156.79</v>
      </c>
      <c r="AM115">
        <v>146.67000000000002</v>
      </c>
      <c r="AN115">
        <v>-10.120000000000005</v>
      </c>
      <c r="AO115">
        <v>3</v>
      </c>
    </row>
    <row r="116" spans="1:41" x14ac:dyDescent="0.35">
      <c r="A116">
        <v>2024</v>
      </c>
      <c r="B116">
        <v>2</v>
      </c>
      <c r="C116">
        <v>7</v>
      </c>
      <c r="D116" s="14">
        <v>45335</v>
      </c>
      <c r="E116" t="s">
        <v>44</v>
      </c>
      <c r="F116" t="s">
        <v>47</v>
      </c>
      <c r="G116" t="s">
        <v>51</v>
      </c>
      <c r="H116">
        <v>1372</v>
      </c>
      <c r="I116">
        <v>1372</v>
      </c>
      <c r="J116">
        <v>0</v>
      </c>
      <c r="K116">
        <v>30</v>
      </c>
      <c r="L116">
        <v>30</v>
      </c>
      <c r="M116">
        <v>0</v>
      </c>
      <c r="N116">
        <v>15.99</v>
      </c>
      <c r="O116">
        <v>15.99</v>
      </c>
      <c r="P116">
        <v>0</v>
      </c>
      <c r="Q116">
        <v>-293.55</v>
      </c>
      <c r="R116">
        <v>-283.55</v>
      </c>
      <c r="S116">
        <v>10</v>
      </c>
      <c r="T116">
        <v>-12</v>
      </c>
      <c r="U116">
        <v>-12</v>
      </c>
      <c r="V116">
        <v>0</v>
      </c>
      <c r="W116">
        <v>0</v>
      </c>
      <c r="X116">
        <v>0</v>
      </c>
      <c r="Y116">
        <v>0</v>
      </c>
      <c r="Z116">
        <v>1112.4399999999998</v>
      </c>
      <c r="AA116">
        <v>1122.4399999999998</v>
      </c>
      <c r="AB116">
        <v>10</v>
      </c>
      <c r="AC116">
        <v>33.33</v>
      </c>
      <c r="AD116">
        <v>25</v>
      </c>
      <c r="AE116">
        <v>-8.33</v>
      </c>
      <c r="AF116">
        <v>1079.1099999999999</v>
      </c>
      <c r="AG116">
        <v>1097.44</v>
      </c>
      <c r="AH116">
        <v>18.329999999999998</v>
      </c>
      <c r="AI116">
        <v>283.88</v>
      </c>
      <c r="AJ116">
        <v>0</v>
      </c>
      <c r="AK116">
        <v>-283.88</v>
      </c>
      <c r="AL116">
        <v>795.23000000000013</v>
      </c>
      <c r="AM116">
        <v>1097.44</v>
      </c>
      <c r="AN116">
        <v>302.20999999999998</v>
      </c>
      <c r="AO116">
        <v>23</v>
      </c>
    </row>
    <row r="117" spans="1:41" x14ac:dyDescent="0.35">
      <c r="A117">
        <v>2024</v>
      </c>
      <c r="B117">
        <v>2</v>
      </c>
      <c r="C117">
        <v>7</v>
      </c>
      <c r="D117" s="14">
        <v>45336</v>
      </c>
      <c r="E117" t="s">
        <v>44</v>
      </c>
      <c r="F117" t="s">
        <v>47</v>
      </c>
      <c r="G117" t="s">
        <v>51</v>
      </c>
      <c r="H117">
        <v>2941.5</v>
      </c>
      <c r="I117">
        <v>2941.5</v>
      </c>
      <c r="J117">
        <v>0</v>
      </c>
      <c r="K117">
        <v>40</v>
      </c>
      <c r="L117">
        <v>40</v>
      </c>
      <c r="M117">
        <v>0</v>
      </c>
      <c r="N117">
        <v>15.99</v>
      </c>
      <c r="O117">
        <v>15.99</v>
      </c>
      <c r="P117">
        <v>0</v>
      </c>
      <c r="Q117">
        <v>-872.45000000000016</v>
      </c>
      <c r="R117">
        <v>-872.45000000000016</v>
      </c>
      <c r="S117">
        <v>0</v>
      </c>
      <c r="T117">
        <v>-16</v>
      </c>
      <c r="U117">
        <v>-16</v>
      </c>
      <c r="V117">
        <v>0</v>
      </c>
      <c r="W117">
        <v>0</v>
      </c>
      <c r="X117">
        <v>0</v>
      </c>
      <c r="Y117">
        <v>0</v>
      </c>
      <c r="Z117">
        <v>2109.0399999999991</v>
      </c>
      <c r="AA117">
        <v>2109.0399999999991</v>
      </c>
      <c r="AB117">
        <v>0</v>
      </c>
      <c r="AC117">
        <v>25</v>
      </c>
      <c r="AE117">
        <v>-25</v>
      </c>
      <c r="AF117">
        <v>2084.0399999999991</v>
      </c>
      <c r="AG117">
        <v>2109.0399999999991</v>
      </c>
      <c r="AH117">
        <v>24.999999999999993</v>
      </c>
      <c r="AI117">
        <v>692.98</v>
      </c>
      <c r="AJ117">
        <v>0</v>
      </c>
      <c r="AK117">
        <v>-692.98</v>
      </c>
      <c r="AL117">
        <v>1391.0600000000002</v>
      </c>
      <c r="AM117">
        <v>2109.0399999999991</v>
      </c>
      <c r="AN117">
        <v>717.98000000000013</v>
      </c>
      <c r="AO117">
        <v>42</v>
      </c>
    </row>
    <row r="118" spans="1:41" x14ac:dyDescent="0.35">
      <c r="A118">
        <v>2024</v>
      </c>
      <c r="B118">
        <v>2</v>
      </c>
      <c r="C118">
        <v>7</v>
      </c>
      <c r="D118" s="14">
        <v>45337</v>
      </c>
      <c r="E118" t="s">
        <v>44</v>
      </c>
      <c r="F118" t="s">
        <v>47</v>
      </c>
      <c r="G118" t="s">
        <v>51</v>
      </c>
      <c r="H118">
        <v>4476.0000000000018</v>
      </c>
      <c r="I118">
        <v>4476.0000000000018</v>
      </c>
      <c r="J118">
        <v>0</v>
      </c>
      <c r="K118">
        <v>71</v>
      </c>
      <c r="L118">
        <v>71</v>
      </c>
      <c r="M118">
        <v>0</v>
      </c>
      <c r="N118">
        <v>0</v>
      </c>
      <c r="O118">
        <v>0</v>
      </c>
      <c r="P118">
        <v>0</v>
      </c>
      <c r="Q118">
        <v>-1130.3500000000001</v>
      </c>
      <c r="R118">
        <v>-1130.3500000000001</v>
      </c>
      <c r="S118">
        <v>0</v>
      </c>
      <c r="T118">
        <v>-28</v>
      </c>
      <c r="U118">
        <v>-28</v>
      </c>
      <c r="V118">
        <v>0</v>
      </c>
      <c r="W118">
        <v>0</v>
      </c>
      <c r="X118">
        <v>0</v>
      </c>
      <c r="Y118">
        <v>0</v>
      </c>
      <c r="Z118">
        <v>3388.65</v>
      </c>
      <c r="AA118">
        <v>3388.65</v>
      </c>
      <c r="AB118">
        <v>0</v>
      </c>
      <c r="AC118">
        <v>105</v>
      </c>
      <c r="AD118">
        <v>105</v>
      </c>
      <c r="AE118">
        <v>0</v>
      </c>
      <c r="AF118">
        <v>3283.65</v>
      </c>
      <c r="AG118">
        <v>3283.65</v>
      </c>
      <c r="AH118">
        <v>0</v>
      </c>
      <c r="AI118">
        <v>1096.8999999999999</v>
      </c>
      <c r="AJ118">
        <v>0</v>
      </c>
      <c r="AK118">
        <v>-1096.8999999999999</v>
      </c>
      <c r="AL118">
        <v>2186.7500000000005</v>
      </c>
      <c r="AM118">
        <v>3283.65</v>
      </c>
      <c r="AN118">
        <v>1096.9000000000001</v>
      </c>
      <c r="AO118">
        <v>84</v>
      </c>
    </row>
    <row r="119" spans="1:41" x14ac:dyDescent="0.35">
      <c r="A119">
        <v>2024</v>
      </c>
      <c r="B119">
        <v>2</v>
      </c>
      <c r="C119">
        <v>7</v>
      </c>
      <c r="D119" s="14">
        <v>45338</v>
      </c>
      <c r="E119" t="s">
        <v>44</v>
      </c>
      <c r="F119" t="s">
        <v>47</v>
      </c>
      <c r="G119" t="s">
        <v>51</v>
      </c>
      <c r="H119">
        <v>2657.5499999999997</v>
      </c>
      <c r="I119">
        <v>2657.5499999999997</v>
      </c>
      <c r="J119">
        <v>0</v>
      </c>
      <c r="K119">
        <v>10</v>
      </c>
      <c r="L119">
        <v>10</v>
      </c>
      <c r="M119">
        <v>0</v>
      </c>
      <c r="N119">
        <v>0</v>
      </c>
      <c r="O119">
        <v>0</v>
      </c>
      <c r="P119">
        <v>0</v>
      </c>
      <c r="Q119">
        <v>-460.15000000000009</v>
      </c>
      <c r="R119">
        <v>-460.15000000000009</v>
      </c>
      <c r="S119">
        <v>0</v>
      </c>
      <c r="T119">
        <v>-4</v>
      </c>
      <c r="U119">
        <v>-4</v>
      </c>
      <c r="V119">
        <v>0</v>
      </c>
      <c r="W119">
        <v>0</v>
      </c>
      <c r="X119">
        <v>0</v>
      </c>
      <c r="Y119">
        <v>0</v>
      </c>
      <c r="Z119">
        <v>2203.3999999999996</v>
      </c>
      <c r="AA119">
        <v>2203.3999999999996</v>
      </c>
      <c r="AB119">
        <v>0</v>
      </c>
      <c r="AC119">
        <v>105</v>
      </c>
      <c r="AE119">
        <v>-105</v>
      </c>
      <c r="AF119">
        <v>2098.3999999999996</v>
      </c>
      <c r="AG119">
        <v>2203.3999999999996</v>
      </c>
      <c r="AH119">
        <v>104.99999999999999</v>
      </c>
      <c r="AI119">
        <v>640.03000000000009</v>
      </c>
      <c r="AJ119">
        <v>0</v>
      </c>
      <c r="AK119">
        <v>-640.03000000000009</v>
      </c>
      <c r="AL119">
        <v>1458.3699999999997</v>
      </c>
      <c r="AM119">
        <v>2203.3999999999996</v>
      </c>
      <c r="AN119">
        <v>745.03000000000009</v>
      </c>
      <c r="AO119">
        <v>52</v>
      </c>
    </row>
    <row r="120" spans="1:41" x14ac:dyDescent="0.35">
      <c r="A120">
        <v>2024</v>
      </c>
      <c r="B120">
        <v>2</v>
      </c>
      <c r="C120">
        <v>7</v>
      </c>
      <c r="D120" s="14">
        <v>45339</v>
      </c>
      <c r="E120" t="s">
        <v>44</v>
      </c>
      <c r="F120" t="s">
        <v>47</v>
      </c>
      <c r="G120" t="s">
        <v>51</v>
      </c>
      <c r="H120">
        <v>3688.53</v>
      </c>
      <c r="I120">
        <v>3688.53</v>
      </c>
      <c r="J120">
        <v>0</v>
      </c>
      <c r="K120">
        <v>0</v>
      </c>
      <c r="L120">
        <v>0</v>
      </c>
      <c r="M120">
        <v>0</v>
      </c>
      <c r="N120">
        <v>8.99</v>
      </c>
      <c r="O120">
        <v>8.99</v>
      </c>
      <c r="P120">
        <v>0</v>
      </c>
      <c r="Q120">
        <v>-995.78</v>
      </c>
      <c r="R120">
        <v>-995.78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2701.7400000000007</v>
      </c>
      <c r="AA120">
        <v>2701.7400000000007</v>
      </c>
      <c r="AB120">
        <v>0</v>
      </c>
      <c r="AC120">
        <v>65.91</v>
      </c>
      <c r="AD120">
        <v>48.37</v>
      </c>
      <c r="AE120">
        <v>-17.54</v>
      </c>
      <c r="AF120">
        <v>2635.8300000000004</v>
      </c>
      <c r="AG120">
        <v>2653.3700000000008</v>
      </c>
      <c r="AH120">
        <v>17.54</v>
      </c>
      <c r="AI120">
        <v>501.96000000000004</v>
      </c>
      <c r="AJ120">
        <v>16.55</v>
      </c>
      <c r="AK120">
        <v>-485.41</v>
      </c>
      <c r="AL120">
        <v>2133.8700000000008</v>
      </c>
      <c r="AM120">
        <v>2636.8200000000006</v>
      </c>
      <c r="AN120">
        <v>502.95000000000005</v>
      </c>
      <c r="AO120">
        <v>60</v>
      </c>
    </row>
    <row r="121" spans="1:41" x14ac:dyDescent="0.35">
      <c r="A121">
        <v>2024</v>
      </c>
      <c r="B121">
        <v>2</v>
      </c>
      <c r="C121">
        <v>8</v>
      </c>
      <c r="D121" s="14">
        <v>45340</v>
      </c>
      <c r="E121" t="s">
        <v>41</v>
      </c>
      <c r="F121" t="s">
        <v>42</v>
      </c>
      <c r="G121" t="s">
        <v>43</v>
      </c>
      <c r="H121">
        <v>76510.5</v>
      </c>
      <c r="I121">
        <v>76510.5</v>
      </c>
      <c r="J121">
        <v>0</v>
      </c>
      <c r="K121">
        <v>1001.0900000000076</v>
      </c>
      <c r="L121">
        <v>1001.0900000000076</v>
      </c>
      <c r="M121">
        <v>0</v>
      </c>
      <c r="N121">
        <v>1925.660000000001</v>
      </c>
      <c r="O121">
        <v>1925.660000000001</v>
      </c>
      <c r="P121">
        <v>0</v>
      </c>
      <c r="Q121">
        <v>-7776.4</v>
      </c>
      <c r="R121">
        <v>-7126.4</v>
      </c>
      <c r="S121">
        <v>650</v>
      </c>
      <c r="T121">
        <v>-5.5500000000000007</v>
      </c>
      <c r="U121">
        <v>-5.5500000000000007</v>
      </c>
      <c r="V121">
        <v>0</v>
      </c>
      <c r="W121">
        <v>-64.8</v>
      </c>
      <c r="X121">
        <v>-64.8</v>
      </c>
      <c r="Y121">
        <v>0</v>
      </c>
      <c r="Z121">
        <v>71590.499999999869</v>
      </c>
      <c r="AA121">
        <v>72240.499999999913</v>
      </c>
      <c r="AB121">
        <v>650</v>
      </c>
      <c r="AC121">
        <v>18101.229999999934</v>
      </c>
      <c r="AD121">
        <v>7028.4300000000176</v>
      </c>
      <c r="AE121">
        <v>-11072.800000000005</v>
      </c>
      <c r="AF121">
        <v>53489.270000000331</v>
      </c>
      <c r="AG121">
        <v>65212.069999999898</v>
      </c>
      <c r="AH121">
        <v>11722.8</v>
      </c>
      <c r="AI121">
        <v>-3917.6200000000003</v>
      </c>
      <c r="AJ121">
        <v>0</v>
      </c>
      <c r="AK121">
        <v>3917.6200000000003</v>
      </c>
      <c r="AL121">
        <v>57406.890000000269</v>
      </c>
      <c r="AM121">
        <v>65212.069999999898</v>
      </c>
      <c r="AN121">
        <v>7805.1800000000267</v>
      </c>
      <c r="AO121">
        <v>1343</v>
      </c>
    </row>
    <row r="122" spans="1:41" x14ac:dyDescent="0.35">
      <c r="A122">
        <v>2024</v>
      </c>
      <c r="B122">
        <v>2</v>
      </c>
      <c r="C122">
        <v>8</v>
      </c>
      <c r="D122" s="14">
        <v>45341</v>
      </c>
      <c r="E122" t="s">
        <v>41</v>
      </c>
      <c r="F122" t="s">
        <v>42</v>
      </c>
      <c r="G122" t="s">
        <v>43</v>
      </c>
      <c r="H122">
        <v>72406</v>
      </c>
      <c r="I122">
        <v>72406</v>
      </c>
      <c r="J122">
        <v>0</v>
      </c>
      <c r="K122">
        <v>862.80000000000018</v>
      </c>
      <c r="L122">
        <v>862.80000000000018</v>
      </c>
      <c r="M122">
        <v>0</v>
      </c>
      <c r="N122">
        <v>1806.7500000000009</v>
      </c>
      <c r="O122">
        <v>1806.7500000000009</v>
      </c>
      <c r="P122">
        <v>0</v>
      </c>
      <c r="Q122">
        <v>-7482.9</v>
      </c>
      <c r="R122">
        <v>-7204.9</v>
      </c>
      <c r="S122">
        <v>278</v>
      </c>
      <c r="T122">
        <v>-2.5300000000000002</v>
      </c>
      <c r="U122">
        <v>-2.5300000000000002</v>
      </c>
      <c r="V122">
        <v>0</v>
      </c>
      <c r="W122">
        <v>-55</v>
      </c>
      <c r="X122">
        <v>-55</v>
      </c>
      <c r="Y122">
        <v>0</v>
      </c>
      <c r="Z122">
        <v>67535.119999999661</v>
      </c>
      <c r="AA122">
        <v>67813.119999999675</v>
      </c>
      <c r="AB122">
        <v>278</v>
      </c>
      <c r="AC122">
        <v>16665.519999999993</v>
      </c>
      <c r="AD122">
        <v>9671.510000000022</v>
      </c>
      <c r="AE122">
        <v>-6994.0100000000166</v>
      </c>
      <c r="AF122">
        <v>50869.600000000275</v>
      </c>
      <c r="AG122">
        <v>58141.609999999964</v>
      </c>
      <c r="AH122">
        <v>7272.0100000000166</v>
      </c>
      <c r="AI122">
        <v>-4962.9299999999976</v>
      </c>
      <c r="AJ122">
        <v>0</v>
      </c>
      <c r="AK122">
        <v>4962.9299999999976</v>
      </c>
      <c r="AL122">
        <v>55832.530000000137</v>
      </c>
      <c r="AM122">
        <v>58141.609999999964</v>
      </c>
      <c r="AN122">
        <v>2309.0800000000049</v>
      </c>
      <c r="AO122">
        <v>1275</v>
      </c>
    </row>
    <row r="123" spans="1:41" x14ac:dyDescent="0.35">
      <c r="A123">
        <v>2024</v>
      </c>
      <c r="B123">
        <v>2</v>
      </c>
      <c r="C123">
        <v>8</v>
      </c>
      <c r="D123" s="14">
        <v>45342</v>
      </c>
      <c r="E123" t="s">
        <v>41</v>
      </c>
      <c r="F123" t="s">
        <v>42</v>
      </c>
      <c r="G123" t="s">
        <v>43</v>
      </c>
      <c r="H123">
        <v>50576</v>
      </c>
      <c r="I123">
        <v>50576</v>
      </c>
      <c r="J123">
        <v>0</v>
      </c>
      <c r="K123">
        <v>619.11999999999989</v>
      </c>
      <c r="L123">
        <v>619.11999999999989</v>
      </c>
      <c r="M123">
        <v>0</v>
      </c>
      <c r="N123">
        <v>1375.0400000000006</v>
      </c>
      <c r="O123">
        <v>1375.0400000000006</v>
      </c>
      <c r="P123">
        <v>0</v>
      </c>
      <c r="Q123">
        <v>-5497.5</v>
      </c>
      <c r="R123">
        <v>-4902.5</v>
      </c>
      <c r="S123">
        <v>595</v>
      </c>
      <c r="T123">
        <v>-3.0200000000000005</v>
      </c>
      <c r="U123">
        <v>-3.0200000000000005</v>
      </c>
      <c r="V123">
        <v>0</v>
      </c>
      <c r="W123">
        <v>-47.99</v>
      </c>
      <c r="X123">
        <v>-47.99</v>
      </c>
      <c r="Y123">
        <v>0</v>
      </c>
      <c r="Z123">
        <v>47021.649999999761</v>
      </c>
      <c r="AA123">
        <v>47616.649999999761</v>
      </c>
      <c r="AB123">
        <v>595</v>
      </c>
      <c r="AC123">
        <v>12517.430000000018</v>
      </c>
      <c r="AD123">
        <v>2991.9500000000053</v>
      </c>
      <c r="AE123">
        <v>-9525.4800000000178</v>
      </c>
      <c r="AF123">
        <v>34504.220000000125</v>
      </c>
      <c r="AG123">
        <v>44624.699999999917</v>
      </c>
      <c r="AH123">
        <v>10120.480000000025</v>
      </c>
      <c r="AI123">
        <v>-1655.8799999999985</v>
      </c>
      <c r="AJ123">
        <v>0</v>
      </c>
      <c r="AK123">
        <v>1655.8799999999985</v>
      </c>
      <c r="AL123">
        <v>36160.100000000079</v>
      </c>
      <c r="AM123">
        <v>44624.699999999917</v>
      </c>
      <c r="AN123">
        <v>8464.6000000000222</v>
      </c>
      <c r="AO123">
        <v>903</v>
      </c>
    </row>
    <row r="124" spans="1:41" x14ac:dyDescent="0.35">
      <c r="A124">
        <v>2024</v>
      </c>
      <c r="B124">
        <v>2</v>
      </c>
      <c r="C124">
        <v>8</v>
      </c>
      <c r="D124" s="14">
        <v>45343</v>
      </c>
      <c r="E124" t="s">
        <v>41</v>
      </c>
      <c r="F124" t="s">
        <v>42</v>
      </c>
      <c r="G124" t="s">
        <v>43</v>
      </c>
      <c r="H124">
        <v>69901.25</v>
      </c>
      <c r="I124">
        <v>69901.25</v>
      </c>
      <c r="J124">
        <v>0</v>
      </c>
      <c r="K124">
        <v>1028.1700000000064</v>
      </c>
      <c r="L124">
        <v>1021.1700000000064</v>
      </c>
      <c r="M124">
        <v>-7</v>
      </c>
      <c r="N124">
        <v>1724.7800000000009</v>
      </c>
      <c r="O124">
        <v>1724.7800000000009</v>
      </c>
      <c r="P124">
        <v>0</v>
      </c>
      <c r="Q124">
        <v>-7082</v>
      </c>
      <c r="R124">
        <v>-6579</v>
      </c>
      <c r="S124">
        <v>503</v>
      </c>
      <c r="T124">
        <v>-10.250000000000004</v>
      </c>
      <c r="U124">
        <v>-10.250000000000004</v>
      </c>
      <c r="V124">
        <v>0</v>
      </c>
      <c r="W124">
        <v>-116.47</v>
      </c>
      <c r="X124">
        <v>-116.47</v>
      </c>
      <c r="Y124">
        <v>0</v>
      </c>
      <c r="Z124">
        <v>65445.479999999603</v>
      </c>
      <c r="AA124">
        <v>65941.479999999603</v>
      </c>
      <c r="AB124">
        <v>496</v>
      </c>
      <c r="AC124">
        <v>16165.54</v>
      </c>
      <c r="AD124">
        <v>13214.970000000003</v>
      </c>
      <c r="AE124">
        <v>-2950.5700000000052</v>
      </c>
      <c r="AF124">
        <v>49279.940000000235</v>
      </c>
      <c r="AG124">
        <v>52726.510000000089</v>
      </c>
      <c r="AH124">
        <v>3446.5700000000056</v>
      </c>
      <c r="AI124">
        <v>-6853.6499999999924</v>
      </c>
      <c r="AJ124">
        <v>0</v>
      </c>
      <c r="AK124">
        <v>6853.6499999999924</v>
      </c>
      <c r="AL124">
        <v>56133.590000000018</v>
      </c>
      <c r="AM124">
        <v>52726.510000000089</v>
      </c>
      <c r="AN124">
        <v>-3407.0799999999995</v>
      </c>
      <c r="AO124">
        <v>1248</v>
      </c>
    </row>
    <row r="125" spans="1:41" x14ac:dyDescent="0.35">
      <c r="A125">
        <v>2024</v>
      </c>
      <c r="B125">
        <v>2</v>
      </c>
      <c r="C125">
        <v>8</v>
      </c>
      <c r="D125" s="14">
        <v>45344</v>
      </c>
      <c r="E125" t="s">
        <v>41</v>
      </c>
      <c r="F125" t="s">
        <v>42</v>
      </c>
      <c r="G125" t="s">
        <v>43</v>
      </c>
      <c r="H125">
        <v>98738.5</v>
      </c>
      <c r="I125">
        <v>98738.5</v>
      </c>
      <c r="J125">
        <v>0</v>
      </c>
      <c r="K125">
        <v>1391.1300000000165</v>
      </c>
      <c r="L125">
        <v>1391.1300000000165</v>
      </c>
      <c r="M125">
        <v>0</v>
      </c>
      <c r="N125">
        <v>2187.4599999999991</v>
      </c>
      <c r="O125">
        <v>2187.4599999999991</v>
      </c>
      <c r="P125">
        <v>0</v>
      </c>
      <c r="Q125">
        <v>-10237.25</v>
      </c>
      <c r="R125">
        <v>-9659.25</v>
      </c>
      <c r="S125">
        <v>578</v>
      </c>
      <c r="T125">
        <v>-19.78</v>
      </c>
      <c r="U125">
        <v>-19.78</v>
      </c>
      <c r="V125">
        <v>0</v>
      </c>
      <c r="W125">
        <v>-132.88999999999999</v>
      </c>
      <c r="X125">
        <v>-132.88999999999999</v>
      </c>
      <c r="Y125">
        <v>0</v>
      </c>
      <c r="Z125">
        <v>91927.170000000522</v>
      </c>
      <c r="AA125">
        <v>92505.170000000551</v>
      </c>
      <c r="AB125">
        <v>578</v>
      </c>
      <c r="AC125">
        <v>25991.379999999634</v>
      </c>
      <c r="AD125">
        <v>12865.220000000032</v>
      </c>
      <c r="AE125">
        <v>-13126.160000000003</v>
      </c>
      <c r="AF125">
        <v>65935.79000000059</v>
      </c>
      <c r="AG125">
        <v>79639.950000000332</v>
      </c>
      <c r="AH125">
        <v>13704.160000000002</v>
      </c>
      <c r="AI125">
        <v>-6294.2799999999943</v>
      </c>
      <c r="AJ125">
        <v>0</v>
      </c>
      <c r="AK125">
        <v>6294.2799999999943</v>
      </c>
      <c r="AL125">
        <v>72230.070000000167</v>
      </c>
      <c r="AM125">
        <v>79639.950000000332</v>
      </c>
      <c r="AN125">
        <v>7409.8800000000401</v>
      </c>
      <c r="AO125">
        <v>1749</v>
      </c>
    </row>
    <row r="126" spans="1:41" x14ac:dyDescent="0.35">
      <c r="A126">
        <v>2024</v>
      </c>
      <c r="B126">
        <v>2</v>
      </c>
      <c r="C126">
        <v>8</v>
      </c>
      <c r="D126" s="14">
        <v>45345</v>
      </c>
      <c r="E126" t="s">
        <v>41</v>
      </c>
      <c r="F126" t="s">
        <v>42</v>
      </c>
      <c r="G126" t="s">
        <v>43</v>
      </c>
      <c r="H126">
        <v>86692.5</v>
      </c>
      <c r="I126">
        <v>86692.5</v>
      </c>
      <c r="J126">
        <v>0</v>
      </c>
      <c r="K126">
        <v>1206.5200000000082</v>
      </c>
      <c r="L126">
        <v>1192.5200000000082</v>
      </c>
      <c r="M126">
        <v>-14</v>
      </c>
      <c r="N126">
        <v>1997.5500000000011</v>
      </c>
      <c r="O126">
        <v>1997.5500000000011</v>
      </c>
      <c r="P126">
        <v>0</v>
      </c>
      <c r="Q126">
        <v>-8897.25</v>
      </c>
      <c r="R126">
        <v>-8205.25</v>
      </c>
      <c r="S126">
        <v>692</v>
      </c>
      <c r="T126">
        <v>-21.970000000000002</v>
      </c>
      <c r="U126">
        <v>-21.970000000000002</v>
      </c>
      <c r="V126">
        <v>0</v>
      </c>
      <c r="W126">
        <v>-111.4</v>
      </c>
      <c r="X126">
        <v>-111.4</v>
      </c>
      <c r="Y126">
        <v>0</v>
      </c>
      <c r="Z126">
        <v>80865.950000000157</v>
      </c>
      <c r="AA126">
        <v>81543.950000000186</v>
      </c>
      <c r="AB126">
        <v>678</v>
      </c>
      <c r="AC126">
        <v>23849.339999999644</v>
      </c>
      <c r="AD126">
        <v>11130.40000000002</v>
      </c>
      <c r="AE126">
        <v>-12718.94000000003</v>
      </c>
      <c r="AF126">
        <v>57016.610000000604</v>
      </c>
      <c r="AG126">
        <v>70413.550000000148</v>
      </c>
      <c r="AH126">
        <v>13396.940000000026</v>
      </c>
      <c r="AI126">
        <v>-5543.1399999999931</v>
      </c>
      <c r="AJ126">
        <v>0</v>
      </c>
      <c r="AK126">
        <v>5543.1399999999931</v>
      </c>
      <c r="AL126">
        <v>62559.750000000298</v>
      </c>
      <c r="AM126">
        <v>70413.550000000148</v>
      </c>
      <c r="AN126">
        <v>7853.8000000000484</v>
      </c>
      <c r="AO126">
        <v>1538</v>
      </c>
    </row>
    <row r="127" spans="1:41" x14ac:dyDescent="0.35">
      <c r="A127">
        <v>2024</v>
      </c>
      <c r="B127">
        <v>2</v>
      </c>
      <c r="C127">
        <v>8</v>
      </c>
      <c r="D127" s="14">
        <v>45346</v>
      </c>
      <c r="E127" t="s">
        <v>41</v>
      </c>
      <c r="F127" t="s">
        <v>42</v>
      </c>
      <c r="G127" t="s">
        <v>43</v>
      </c>
      <c r="H127">
        <v>74318.75</v>
      </c>
      <c r="I127">
        <v>74318.75</v>
      </c>
      <c r="J127">
        <v>0</v>
      </c>
      <c r="K127">
        <v>933.22000000000514</v>
      </c>
      <c r="L127">
        <v>933.22000000000514</v>
      </c>
      <c r="M127">
        <v>0</v>
      </c>
      <c r="N127">
        <v>1989.630000000001</v>
      </c>
      <c r="O127">
        <v>1976.640000000001</v>
      </c>
      <c r="P127">
        <v>-12.99</v>
      </c>
      <c r="Q127">
        <v>-7658.1</v>
      </c>
      <c r="R127">
        <v>-6976.1</v>
      </c>
      <c r="S127">
        <v>682</v>
      </c>
      <c r="T127">
        <v>-6.3800000000000008</v>
      </c>
      <c r="U127">
        <v>-6.3800000000000008</v>
      </c>
      <c r="V127">
        <v>0</v>
      </c>
      <c r="W127">
        <v>-85.49</v>
      </c>
      <c r="X127">
        <v>-85.49</v>
      </c>
      <c r="Y127">
        <v>0</v>
      </c>
      <c r="Z127">
        <v>69491.629999999714</v>
      </c>
      <c r="AA127">
        <v>70160.639999999737</v>
      </c>
      <c r="AB127">
        <v>669.01</v>
      </c>
      <c r="AC127">
        <v>19206.529999999893</v>
      </c>
      <c r="AD127">
        <v>8117.5100000000284</v>
      </c>
      <c r="AE127">
        <v>-11089.020000000022</v>
      </c>
      <c r="AF127">
        <v>50285.100000000348</v>
      </c>
      <c r="AG127">
        <v>62043.129999999852</v>
      </c>
      <c r="AH127">
        <v>11758.030000000019</v>
      </c>
      <c r="AI127">
        <v>-4206.5299999999961</v>
      </c>
      <c r="AJ127">
        <v>0</v>
      </c>
      <c r="AK127">
        <v>4206.5299999999961</v>
      </c>
      <c r="AL127">
        <v>54491.630000000288</v>
      </c>
      <c r="AM127">
        <v>62043.129999999852</v>
      </c>
      <c r="AN127">
        <v>7551.5000000000473</v>
      </c>
      <c r="AO127">
        <v>1303</v>
      </c>
    </row>
    <row r="128" spans="1:41" x14ac:dyDescent="0.35">
      <c r="A128">
        <v>2024</v>
      </c>
      <c r="B128">
        <v>2</v>
      </c>
      <c r="C128">
        <v>8</v>
      </c>
      <c r="D128" s="14">
        <v>45340</v>
      </c>
      <c r="E128" t="s">
        <v>44</v>
      </c>
      <c r="F128" t="s">
        <v>42</v>
      </c>
      <c r="G128" t="s">
        <v>45</v>
      </c>
      <c r="H128">
        <v>133391.67999999999</v>
      </c>
      <c r="I128">
        <v>133391.67999999999</v>
      </c>
      <c r="J128">
        <v>0</v>
      </c>
      <c r="K128">
        <v>1115.4200000000067</v>
      </c>
      <c r="L128">
        <v>1115.4200000000067</v>
      </c>
      <c r="M128">
        <v>0</v>
      </c>
      <c r="N128">
        <v>5877.3899999999494</v>
      </c>
      <c r="O128">
        <v>5842.4099999999498</v>
      </c>
      <c r="P128">
        <v>-34.980000000000004</v>
      </c>
      <c r="Q128">
        <v>-24259.05</v>
      </c>
      <c r="R128">
        <v>-23891.05</v>
      </c>
      <c r="S128">
        <v>368</v>
      </c>
      <c r="T128">
        <v>-12.280000000000001</v>
      </c>
      <c r="U128">
        <v>-12.280000000000001</v>
      </c>
      <c r="V128">
        <v>0</v>
      </c>
      <c r="W128">
        <v>-107.2</v>
      </c>
      <c r="X128">
        <v>-107.2</v>
      </c>
      <c r="Y128">
        <v>0</v>
      </c>
      <c r="Z128">
        <v>116005.96000000073</v>
      </c>
      <c r="AA128">
        <v>116338.98000000074</v>
      </c>
      <c r="AB128">
        <v>333.02</v>
      </c>
      <c r="AC128">
        <v>22134.829999999838</v>
      </c>
      <c r="AD128">
        <v>5968.6900000000205</v>
      </c>
      <c r="AE128">
        <v>-16166.139999999852</v>
      </c>
      <c r="AF128">
        <v>93871.130000000296</v>
      </c>
      <c r="AG128">
        <v>110370.29000000056</v>
      </c>
      <c r="AH128">
        <v>16499.159999999851</v>
      </c>
      <c r="AI128">
        <v>-3336.1200000000026</v>
      </c>
      <c r="AJ128">
        <v>0</v>
      </c>
      <c r="AK128">
        <v>3336.1200000000026</v>
      </c>
      <c r="AL128">
        <v>97207.250000000058</v>
      </c>
      <c r="AM128">
        <v>110370.29000000056</v>
      </c>
      <c r="AN128">
        <v>13163.039999999897</v>
      </c>
      <c r="AO128">
        <v>1683</v>
      </c>
    </row>
    <row r="129" spans="1:41" x14ac:dyDescent="0.35">
      <c r="A129">
        <v>2024</v>
      </c>
      <c r="B129">
        <v>2</v>
      </c>
      <c r="C129">
        <v>8</v>
      </c>
      <c r="D129" s="14">
        <v>45341</v>
      </c>
      <c r="E129" t="s">
        <v>44</v>
      </c>
      <c r="F129" t="s">
        <v>42</v>
      </c>
      <c r="G129" t="s">
        <v>45</v>
      </c>
      <c r="H129">
        <v>87963.75</v>
      </c>
      <c r="I129">
        <v>87963.75</v>
      </c>
      <c r="J129">
        <v>0</v>
      </c>
      <c r="K129">
        <v>712.55999999999949</v>
      </c>
      <c r="L129">
        <v>712.55999999999949</v>
      </c>
      <c r="M129">
        <v>0</v>
      </c>
      <c r="N129">
        <v>3568.6599999999798</v>
      </c>
      <c r="O129">
        <v>3568.6599999999798</v>
      </c>
      <c r="P129">
        <v>0</v>
      </c>
      <c r="Q129">
        <v>-16397.5</v>
      </c>
      <c r="R129">
        <v>-16329.5</v>
      </c>
      <c r="S129">
        <v>68</v>
      </c>
      <c r="T129">
        <v>-6.1700000000000008</v>
      </c>
      <c r="U129">
        <v>-6.1700000000000008</v>
      </c>
      <c r="V129">
        <v>0</v>
      </c>
      <c r="W129">
        <v>-106.3</v>
      </c>
      <c r="X129">
        <v>-106.3</v>
      </c>
      <c r="Y129">
        <v>0</v>
      </c>
      <c r="Z129">
        <v>75734.999999999869</v>
      </c>
      <c r="AA129">
        <v>75802.999999999869</v>
      </c>
      <c r="AB129">
        <v>68.000000000000014</v>
      </c>
      <c r="AC129">
        <v>11305.350000000004</v>
      </c>
      <c r="AD129">
        <v>5370.6300000000138</v>
      </c>
      <c r="AE129">
        <v>-5934.7200000000184</v>
      </c>
      <c r="AF129">
        <v>64429.650000000176</v>
      </c>
      <c r="AG129">
        <v>70432.369999999981</v>
      </c>
      <c r="AH129">
        <v>6002.7200000000184</v>
      </c>
      <c r="AI129">
        <v>-2931.8800000000042</v>
      </c>
      <c r="AJ129">
        <v>0</v>
      </c>
      <c r="AK129">
        <v>2931.8800000000042</v>
      </c>
      <c r="AL129">
        <v>67361.530000000115</v>
      </c>
      <c r="AM129">
        <v>70432.369999999981</v>
      </c>
      <c r="AN129">
        <v>3070.8400000000033</v>
      </c>
      <c r="AO129">
        <v>1145</v>
      </c>
    </row>
    <row r="130" spans="1:41" x14ac:dyDescent="0.35">
      <c r="A130">
        <v>2024</v>
      </c>
      <c r="B130">
        <v>2</v>
      </c>
      <c r="C130">
        <v>8</v>
      </c>
      <c r="D130" s="14">
        <v>45342</v>
      </c>
      <c r="E130" t="s">
        <v>44</v>
      </c>
      <c r="F130" t="s">
        <v>42</v>
      </c>
      <c r="G130" t="s">
        <v>45</v>
      </c>
      <c r="H130">
        <v>47407.75</v>
      </c>
      <c r="I130">
        <v>47411.75</v>
      </c>
      <c r="J130">
        <v>4</v>
      </c>
      <c r="K130">
        <v>383.9599999999993</v>
      </c>
      <c r="L130">
        <v>383.9599999999993</v>
      </c>
      <c r="M130">
        <v>0</v>
      </c>
      <c r="N130">
        <v>1792.8300000000008</v>
      </c>
      <c r="O130">
        <v>1792.8300000000008</v>
      </c>
      <c r="P130">
        <v>0</v>
      </c>
      <c r="Q130">
        <v>-9491.4</v>
      </c>
      <c r="R130">
        <v>-9090.4</v>
      </c>
      <c r="S130">
        <v>401</v>
      </c>
      <c r="T130">
        <v>-5</v>
      </c>
      <c r="U130">
        <v>-5</v>
      </c>
      <c r="V130">
        <v>0</v>
      </c>
      <c r="W130">
        <v>-56.5</v>
      </c>
      <c r="X130">
        <v>-56.5</v>
      </c>
      <c r="Y130">
        <v>0</v>
      </c>
      <c r="Z130">
        <v>40031.639999999934</v>
      </c>
      <c r="AA130">
        <v>40436.639999999927</v>
      </c>
      <c r="AB130">
        <v>405</v>
      </c>
      <c r="AC130">
        <v>6840.0400000000245</v>
      </c>
      <c r="AD130">
        <v>1547.03</v>
      </c>
      <c r="AE130">
        <v>-5293.0100000000148</v>
      </c>
      <c r="AF130">
        <v>33191.600000000122</v>
      </c>
      <c r="AG130">
        <v>38889.61</v>
      </c>
      <c r="AH130">
        <v>5698.0100000000157</v>
      </c>
      <c r="AI130">
        <v>-887.93999999999949</v>
      </c>
      <c r="AJ130">
        <v>0</v>
      </c>
      <c r="AK130">
        <v>887.93999999999949</v>
      </c>
      <c r="AL130">
        <v>34079.540000000081</v>
      </c>
      <c r="AM130">
        <v>38889.61</v>
      </c>
      <c r="AN130">
        <v>4810.0700000000134</v>
      </c>
      <c r="AO130">
        <v>609</v>
      </c>
    </row>
    <row r="131" spans="1:41" x14ac:dyDescent="0.35">
      <c r="A131">
        <v>2024</v>
      </c>
      <c r="B131">
        <v>2</v>
      </c>
      <c r="C131">
        <v>8</v>
      </c>
      <c r="D131" s="14">
        <v>45343</v>
      </c>
      <c r="E131" t="s">
        <v>44</v>
      </c>
      <c r="F131" t="s">
        <v>42</v>
      </c>
      <c r="G131" t="s">
        <v>45</v>
      </c>
      <c r="H131">
        <v>100393</v>
      </c>
      <c r="I131">
        <v>100393</v>
      </c>
      <c r="J131">
        <v>0</v>
      </c>
      <c r="K131">
        <v>982.72000000000526</v>
      </c>
      <c r="L131">
        <v>982.72000000000526</v>
      </c>
      <c r="M131">
        <v>0</v>
      </c>
      <c r="N131">
        <v>4078.3499999999722</v>
      </c>
      <c r="O131">
        <v>4062.3599999999724</v>
      </c>
      <c r="P131">
        <v>-15.99</v>
      </c>
      <c r="Q131">
        <v>-19166.82</v>
      </c>
      <c r="R131">
        <v>-19003.82</v>
      </c>
      <c r="S131">
        <v>163</v>
      </c>
      <c r="T131">
        <v>-2.6300000000000003</v>
      </c>
      <c r="U131">
        <v>-2.6300000000000003</v>
      </c>
      <c r="V131">
        <v>0</v>
      </c>
      <c r="W131">
        <v>-117.98000000000002</v>
      </c>
      <c r="X131">
        <v>-117.98000000000002</v>
      </c>
      <c r="Y131">
        <v>0</v>
      </c>
      <c r="Z131">
        <v>86166.640000000101</v>
      </c>
      <c r="AA131">
        <v>86313.650000000111</v>
      </c>
      <c r="AB131">
        <v>147.01000000000002</v>
      </c>
      <c r="AC131">
        <v>11934.219999999974</v>
      </c>
      <c r="AD131">
        <v>10396.230000000001</v>
      </c>
      <c r="AE131">
        <v>-1537.9899999999996</v>
      </c>
      <c r="AF131">
        <v>74232.420000000187</v>
      </c>
      <c r="AG131">
        <v>75917.420000000202</v>
      </c>
      <c r="AH131">
        <v>1684.9999999999995</v>
      </c>
      <c r="AI131">
        <v>-5249.2700000000032</v>
      </c>
      <c r="AJ131">
        <v>0</v>
      </c>
      <c r="AK131">
        <v>5249.2700000000032</v>
      </c>
      <c r="AL131">
        <v>79481.690000000031</v>
      </c>
      <c r="AM131">
        <v>75917.420000000202</v>
      </c>
      <c r="AN131">
        <v>-3564.2699999999991</v>
      </c>
      <c r="AO131">
        <v>1288</v>
      </c>
    </row>
    <row r="132" spans="1:41" x14ac:dyDescent="0.35">
      <c r="A132">
        <v>2024</v>
      </c>
      <c r="B132">
        <v>2</v>
      </c>
      <c r="C132">
        <v>8</v>
      </c>
      <c r="D132" s="14">
        <v>45344</v>
      </c>
      <c r="E132" t="s">
        <v>44</v>
      </c>
      <c r="F132" t="s">
        <v>42</v>
      </c>
      <c r="G132" t="s">
        <v>45</v>
      </c>
      <c r="H132">
        <v>126876.25</v>
      </c>
      <c r="I132">
        <v>126876.25</v>
      </c>
      <c r="J132">
        <v>0</v>
      </c>
      <c r="K132">
        <v>1217.0800000000063</v>
      </c>
      <c r="L132">
        <v>1217.0800000000063</v>
      </c>
      <c r="M132">
        <v>0</v>
      </c>
      <c r="N132">
        <v>5541.3799999999519</v>
      </c>
      <c r="O132">
        <v>5541.3799999999519</v>
      </c>
      <c r="P132">
        <v>0</v>
      </c>
      <c r="Q132">
        <v>-23377.17</v>
      </c>
      <c r="R132">
        <v>-23033.17</v>
      </c>
      <c r="S132">
        <v>344</v>
      </c>
      <c r="T132">
        <v>-15.75</v>
      </c>
      <c r="U132">
        <v>-15.75</v>
      </c>
      <c r="V132">
        <v>0</v>
      </c>
      <c r="W132">
        <v>-141.79</v>
      </c>
      <c r="X132">
        <v>-141.79</v>
      </c>
      <c r="Y132">
        <v>0</v>
      </c>
      <c r="Z132">
        <v>110100.00000000039</v>
      </c>
      <c r="AA132">
        <v>110444.00000000039</v>
      </c>
      <c r="AB132">
        <v>344</v>
      </c>
      <c r="AC132">
        <v>17533.019999999855</v>
      </c>
      <c r="AD132">
        <v>7324.960000000031</v>
      </c>
      <c r="AE132">
        <v>-10208.05999999999</v>
      </c>
      <c r="AF132">
        <v>92566.980000000287</v>
      </c>
      <c r="AG132">
        <v>103119.04000000034</v>
      </c>
      <c r="AH132">
        <v>10552.059999999985</v>
      </c>
      <c r="AI132">
        <v>-3868.790000000005</v>
      </c>
      <c r="AJ132">
        <v>0</v>
      </c>
      <c r="AK132">
        <v>3868.790000000005</v>
      </c>
      <c r="AL132">
        <v>96435.770000000106</v>
      </c>
      <c r="AM132">
        <v>103119.04000000034</v>
      </c>
      <c r="AN132">
        <v>6683.270000000035</v>
      </c>
      <c r="AO132">
        <v>1656</v>
      </c>
    </row>
    <row r="133" spans="1:41" x14ac:dyDescent="0.35">
      <c r="A133">
        <v>2024</v>
      </c>
      <c r="B133">
        <v>2</v>
      </c>
      <c r="C133">
        <v>8</v>
      </c>
      <c r="D133" s="14">
        <v>45345</v>
      </c>
      <c r="E133" t="s">
        <v>44</v>
      </c>
      <c r="F133" t="s">
        <v>42</v>
      </c>
      <c r="G133" t="s">
        <v>45</v>
      </c>
      <c r="H133">
        <v>110168.25</v>
      </c>
      <c r="I133">
        <v>110168.25</v>
      </c>
      <c r="J133">
        <v>0</v>
      </c>
      <c r="K133">
        <v>1021.5800000000091</v>
      </c>
      <c r="L133">
        <v>1021.5800000000091</v>
      </c>
      <c r="M133">
        <v>0</v>
      </c>
      <c r="N133">
        <v>5070.7299999999577</v>
      </c>
      <c r="O133">
        <v>5070.7299999999577</v>
      </c>
      <c r="P133">
        <v>0</v>
      </c>
      <c r="Q133">
        <v>-20568.5</v>
      </c>
      <c r="R133">
        <v>-20244.5</v>
      </c>
      <c r="S133">
        <v>324</v>
      </c>
      <c r="T133">
        <v>-4.91</v>
      </c>
      <c r="U133">
        <v>-4.91</v>
      </c>
      <c r="V133">
        <v>0</v>
      </c>
      <c r="W133">
        <v>-96.99</v>
      </c>
      <c r="X133">
        <v>-96.99</v>
      </c>
      <c r="Y133">
        <v>0</v>
      </c>
      <c r="Z133">
        <v>95590.16000000044</v>
      </c>
      <c r="AA133">
        <v>95914.16000000044</v>
      </c>
      <c r="AB133">
        <v>324</v>
      </c>
      <c r="AC133">
        <v>14121.11999999995</v>
      </c>
      <c r="AD133">
        <v>6871.4600000000282</v>
      </c>
      <c r="AE133">
        <v>-7249.6600000000308</v>
      </c>
      <c r="AF133">
        <v>81469.040000000416</v>
      </c>
      <c r="AG133">
        <v>89042.700000000303</v>
      </c>
      <c r="AH133">
        <v>7573.6600000000326</v>
      </c>
      <c r="AI133">
        <v>-3727.8500000000049</v>
      </c>
      <c r="AJ133">
        <v>0</v>
      </c>
      <c r="AK133">
        <v>3727.8500000000049</v>
      </c>
      <c r="AL133">
        <v>85196.89000000029</v>
      </c>
      <c r="AM133">
        <v>89042.700000000303</v>
      </c>
      <c r="AN133">
        <v>3845.8100000000131</v>
      </c>
      <c r="AO133">
        <v>1448</v>
      </c>
    </row>
    <row r="134" spans="1:41" x14ac:dyDescent="0.35">
      <c r="A134">
        <v>2024</v>
      </c>
      <c r="B134">
        <v>2</v>
      </c>
      <c r="C134">
        <v>8</v>
      </c>
      <c r="D134" s="14">
        <v>45346</v>
      </c>
      <c r="E134" t="s">
        <v>44</v>
      </c>
      <c r="F134" t="s">
        <v>42</v>
      </c>
      <c r="G134" t="s">
        <v>45</v>
      </c>
      <c r="H134">
        <v>117838.75</v>
      </c>
      <c r="I134">
        <v>117838.75</v>
      </c>
      <c r="J134">
        <v>0</v>
      </c>
      <c r="K134">
        <v>973.13000000000295</v>
      </c>
      <c r="L134">
        <v>973.13000000000295</v>
      </c>
      <c r="M134">
        <v>0</v>
      </c>
      <c r="N134">
        <v>5559.4499999999525</v>
      </c>
      <c r="O134">
        <v>5559.4499999999525</v>
      </c>
      <c r="P134">
        <v>0</v>
      </c>
      <c r="Q134">
        <v>-22312.5</v>
      </c>
      <c r="R134">
        <v>-21974.5</v>
      </c>
      <c r="S134">
        <v>338</v>
      </c>
      <c r="T134">
        <v>-5.61</v>
      </c>
      <c r="U134">
        <v>-5.61</v>
      </c>
      <c r="V134">
        <v>0</v>
      </c>
      <c r="W134">
        <v>-95.160000000000011</v>
      </c>
      <c r="X134">
        <v>-95.160000000000011</v>
      </c>
      <c r="Y134">
        <v>0</v>
      </c>
      <c r="Z134">
        <v>101958.06000000042</v>
      </c>
      <c r="AA134">
        <v>102296.06000000043</v>
      </c>
      <c r="AB134">
        <v>338</v>
      </c>
      <c r="AC134">
        <v>15679.289999999879</v>
      </c>
      <c r="AD134">
        <v>8904.3800000000283</v>
      </c>
      <c r="AE134">
        <v>-6774.910000000029</v>
      </c>
      <c r="AF134">
        <v>86278.770000000382</v>
      </c>
      <c r="AG134">
        <v>93391.680000000357</v>
      </c>
      <c r="AH134">
        <v>7112.910000000029</v>
      </c>
      <c r="AI134">
        <v>-4868.1000000000022</v>
      </c>
      <c r="AJ134">
        <v>0</v>
      </c>
      <c r="AK134">
        <v>4868.1000000000022</v>
      </c>
      <c r="AL134">
        <v>91146.870000000228</v>
      </c>
      <c r="AM134">
        <v>93391.680000000357</v>
      </c>
      <c r="AN134">
        <v>2244.8100000000059</v>
      </c>
      <c r="AO134">
        <v>1527</v>
      </c>
    </row>
    <row r="135" spans="1:41" x14ac:dyDescent="0.35">
      <c r="A135">
        <v>2024</v>
      </c>
      <c r="B135">
        <v>2</v>
      </c>
      <c r="C135">
        <v>8</v>
      </c>
      <c r="D135" s="14">
        <v>45340</v>
      </c>
      <c r="E135" t="s">
        <v>44</v>
      </c>
      <c r="F135" t="s">
        <v>42</v>
      </c>
      <c r="G135" t="s">
        <v>46</v>
      </c>
      <c r="H135">
        <v>48671.020000000033</v>
      </c>
      <c r="I135">
        <v>48671.020000000033</v>
      </c>
      <c r="J135">
        <v>0</v>
      </c>
      <c r="K135">
        <v>230.3100000000002</v>
      </c>
      <c r="L135">
        <v>230.3100000000002</v>
      </c>
      <c r="M135">
        <v>0</v>
      </c>
      <c r="N135">
        <v>1596.0200000000007</v>
      </c>
      <c r="O135">
        <v>1577.0300000000007</v>
      </c>
      <c r="P135">
        <v>-18.990000000000002</v>
      </c>
      <c r="Q135">
        <v>-17736.330000000016</v>
      </c>
      <c r="R135">
        <v>-17367.33000000002</v>
      </c>
      <c r="S135">
        <v>369</v>
      </c>
      <c r="T135">
        <v>0</v>
      </c>
      <c r="U135">
        <v>0</v>
      </c>
      <c r="V135">
        <v>0</v>
      </c>
      <c r="W135">
        <v>-15</v>
      </c>
      <c r="X135">
        <v>-15</v>
      </c>
      <c r="Y135">
        <v>0</v>
      </c>
      <c r="Z135">
        <v>32746.019999999997</v>
      </c>
      <c r="AA135">
        <v>33096.029999999992</v>
      </c>
      <c r="AB135">
        <v>350.01000000000005</v>
      </c>
      <c r="AC135">
        <v>7368.7800000000216</v>
      </c>
      <c r="AD135">
        <v>2130.16</v>
      </c>
      <c r="AE135">
        <v>-5238.6200000000126</v>
      </c>
      <c r="AF135">
        <v>25377.240000000031</v>
      </c>
      <c r="AG135">
        <v>30965.870000000006</v>
      </c>
      <c r="AH135">
        <v>5588.6300000000119</v>
      </c>
      <c r="AI135">
        <v>-1051.4899999999998</v>
      </c>
      <c r="AJ135">
        <v>0</v>
      </c>
      <c r="AK135">
        <v>1051.4899999999998</v>
      </c>
      <c r="AL135">
        <v>26428.730000000021</v>
      </c>
      <c r="AM135">
        <v>30965.870000000006</v>
      </c>
      <c r="AN135">
        <v>4537.1400000000094</v>
      </c>
      <c r="AO135">
        <v>564</v>
      </c>
    </row>
    <row r="136" spans="1:41" x14ac:dyDescent="0.35">
      <c r="A136">
        <v>2024</v>
      </c>
      <c r="B136">
        <v>2</v>
      </c>
      <c r="C136">
        <v>8</v>
      </c>
      <c r="D136" s="14">
        <v>45341</v>
      </c>
      <c r="E136" t="s">
        <v>44</v>
      </c>
      <c r="F136" t="s">
        <v>42</v>
      </c>
      <c r="G136" t="s">
        <v>46</v>
      </c>
      <c r="H136">
        <v>34167.720000000023</v>
      </c>
      <c r="I136">
        <v>34167.720000000023</v>
      </c>
      <c r="J136">
        <v>0</v>
      </c>
      <c r="K136">
        <v>150.23000000000002</v>
      </c>
      <c r="L136">
        <v>150.23000000000002</v>
      </c>
      <c r="M136">
        <v>0</v>
      </c>
      <c r="N136">
        <v>1036.3400000000004</v>
      </c>
      <c r="O136">
        <v>1036.3400000000004</v>
      </c>
      <c r="P136">
        <v>0</v>
      </c>
      <c r="Q136">
        <v>-12824.81000000001</v>
      </c>
      <c r="R136">
        <v>-12816.31000000001</v>
      </c>
      <c r="S136">
        <v>8.5</v>
      </c>
      <c r="T136">
        <v>0</v>
      </c>
      <c r="U136">
        <v>0</v>
      </c>
      <c r="V136">
        <v>0</v>
      </c>
      <c r="W136">
        <v>-10</v>
      </c>
      <c r="X136">
        <v>-10</v>
      </c>
      <c r="Y136">
        <v>0</v>
      </c>
      <c r="Z136">
        <v>22519.48000000001</v>
      </c>
      <c r="AA136">
        <v>22527.98000000001</v>
      </c>
      <c r="AB136">
        <v>8.5</v>
      </c>
      <c r="AC136">
        <v>4526.580000000009</v>
      </c>
      <c r="AD136">
        <v>2420.1000000000008</v>
      </c>
      <c r="AE136">
        <v>-2106.4800000000005</v>
      </c>
      <c r="AF136">
        <v>17992.900000000005</v>
      </c>
      <c r="AG136">
        <v>20107.880000000026</v>
      </c>
      <c r="AH136">
        <v>2114.9800000000005</v>
      </c>
      <c r="AI136">
        <v>-1262.3199999999995</v>
      </c>
      <c r="AJ136">
        <v>0</v>
      </c>
      <c r="AK136">
        <v>1262.3199999999995</v>
      </c>
      <c r="AL136">
        <v>19255.220000000016</v>
      </c>
      <c r="AM136">
        <v>20107.880000000026</v>
      </c>
      <c r="AN136">
        <v>852.65999999999951</v>
      </c>
      <c r="AO136">
        <v>393</v>
      </c>
    </row>
    <row r="137" spans="1:41" x14ac:dyDescent="0.35">
      <c r="A137">
        <v>2024</v>
      </c>
      <c r="B137">
        <v>2</v>
      </c>
      <c r="C137">
        <v>8</v>
      </c>
      <c r="D137" s="14">
        <v>45342</v>
      </c>
      <c r="E137" t="s">
        <v>44</v>
      </c>
      <c r="F137" t="s">
        <v>42</v>
      </c>
      <c r="G137" t="s">
        <v>46</v>
      </c>
      <c r="H137">
        <v>24170.71000000001</v>
      </c>
      <c r="I137">
        <v>24170.71000000001</v>
      </c>
      <c r="J137">
        <v>0</v>
      </c>
      <c r="K137">
        <v>121.38999999999977</v>
      </c>
      <c r="L137">
        <v>121.38999999999977</v>
      </c>
      <c r="M137">
        <v>0</v>
      </c>
      <c r="N137">
        <v>553.64000000000021</v>
      </c>
      <c r="O137">
        <v>553.64000000000021</v>
      </c>
      <c r="P137">
        <v>0</v>
      </c>
      <c r="Q137">
        <v>-8986.0300000000116</v>
      </c>
      <c r="R137">
        <v>-8683.0300000000097</v>
      </c>
      <c r="S137">
        <v>303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15859.709999999979</v>
      </c>
      <c r="AA137">
        <v>16162.709999999981</v>
      </c>
      <c r="AB137">
        <v>303</v>
      </c>
      <c r="AC137">
        <v>3158.9800000000046</v>
      </c>
      <c r="AD137">
        <v>939.20999999999981</v>
      </c>
      <c r="AE137">
        <v>-2219.7700000000013</v>
      </c>
      <c r="AF137">
        <v>12700.730000000001</v>
      </c>
      <c r="AG137">
        <v>15223.499999999995</v>
      </c>
      <c r="AH137">
        <v>2522.7700000000023</v>
      </c>
      <c r="AI137">
        <v>-367.49999999999989</v>
      </c>
      <c r="AJ137">
        <v>0</v>
      </c>
      <c r="AK137">
        <v>367.49999999999989</v>
      </c>
      <c r="AL137">
        <v>13068.229999999996</v>
      </c>
      <c r="AM137">
        <v>15223.499999999995</v>
      </c>
      <c r="AN137">
        <v>2155.2700000000013</v>
      </c>
      <c r="AO137">
        <v>284</v>
      </c>
    </row>
    <row r="138" spans="1:41" x14ac:dyDescent="0.35">
      <c r="A138">
        <v>2024</v>
      </c>
      <c r="B138">
        <v>2</v>
      </c>
      <c r="C138">
        <v>8</v>
      </c>
      <c r="D138" s="14">
        <v>45343</v>
      </c>
      <c r="E138" t="s">
        <v>44</v>
      </c>
      <c r="F138" t="s">
        <v>42</v>
      </c>
      <c r="G138" t="s">
        <v>46</v>
      </c>
      <c r="H138">
        <v>36725.640000000021</v>
      </c>
      <c r="I138">
        <v>36732.640000000021</v>
      </c>
      <c r="J138">
        <v>7</v>
      </c>
      <c r="K138">
        <v>251.4500000000001</v>
      </c>
      <c r="L138">
        <v>251.4500000000001</v>
      </c>
      <c r="M138">
        <v>0</v>
      </c>
      <c r="N138">
        <v>825.47000000000037</v>
      </c>
      <c r="O138">
        <v>809.48000000000036</v>
      </c>
      <c r="P138">
        <v>-15.99</v>
      </c>
      <c r="Q138">
        <v>-12741.420000000011</v>
      </c>
      <c r="R138">
        <v>-12549.420000000011</v>
      </c>
      <c r="S138">
        <v>192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25061.140000000003</v>
      </c>
      <c r="AA138">
        <v>25244.15</v>
      </c>
      <c r="AB138">
        <v>183.01</v>
      </c>
      <c r="AC138">
        <v>4979.2800000000125</v>
      </c>
      <c r="AD138">
        <v>4040.0700000000093</v>
      </c>
      <c r="AE138">
        <v>-939.21000000000026</v>
      </c>
      <c r="AF138">
        <v>20081.860000000008</v>
      </c>
      <c r="AG138">
        <v>21204.080000000005</v>
      </c>
      <c r="AH138">
        <v>1122.22</v>
      </c>
      <c r="AI138">
        <v>-1510.69</v>
      </c>
      <c r="AJ138">
        <v>0</v>
      </c>
      <c r="AK138">
        <v>1510.69</v>
      </c>
      <c r="AL138">
        <v>21592.55000000001</v>
      </c>
      <c r="AM138">
        <v>21204.080000000005</v>
      </c>
      <c r="AN138">
        <v>-388.4700000000006</v>
      </c>
      <c r="AO138">
        <v>455</v>
      </c>
    </row>
    <row r="139" spans="1:41" x14ac:dyDescent="0.35">
      <c r="A139">
        <v>2024</v>
      </c>
      <c r="B139">
        <v>2</v>
      </c>
      <c r="C139">
        <v>8</v>
      </c>
      <c r="D139" s="14">
        <v>45344</v>
      </c>
      <c r="E139" t="s">
        <v>44</v>
      </c>
      <c r="F139" t="s">
        <v>42</v>
      </c>
      <c r="G139" t="s">
        <v>46</v>
      </c>
      <c r="H139">
        <v>52519.23000000004</v>
      </c>
      <c r="I139">
        <v>52519.23000000004</v>
      </c>
      <c r="J139">
        <v>0</v>
      </c>
      <c r="K139">
        <v>398.2199999999994</v>
      </c>
      <c r="L139">
        <v>398.2199999999994</v>
      </c>
      <c r="M139">
        <v>0</v>
      </c>
      <c r="N139">
        <v>1354.1400000000006</v>
      </c>
      <c r="O139">
        <v>1354.1400000000006</v>
      </c>
      <c r="P139">
        <v>0</v>
      </c>
      <c r="Q139">
        <v>-18377.150000000023</v>
      </c>
      <c r="R139">
        <v>-18109.150000000023</v>
      </c>
      <c r="S139">
        <v>268</v>
      </c>
      <c r="T139">
        <v>0</v>
      </c>
      <c r="U139">
        <v>0</v>
      </c>
      <c r="V139">
        <v>0</v>
      </c>
      <c r="W139">
        <v>-33.99</v>
      </c>
      <c r="X139">
        <v>-33.99</v>
      </c>
      <c r="Y139">
        <v>0</v>
      </c>
      <c r="Z139">
        <v>35860.449999999968</v>
      </c>
      <c r="AA139">
        <v>36128.449999999968</v>
      </c>
      <c r="AB139">
        <v>268</v>
      </c>
      <c r="AC139">
        <v>7743.280000000027</v>
      </c>
      <c r="AD139">
        <v>3783.7800000000084</v>
      </c>
      <c r="AE139">
        <v>-3959.5000000000068</v>
      </c>
      <c r="AF139">
        <v>28117.170000000042</v>
      </c>
      <c r="AG139">
        <v>32344.670000000042</v>
      </c>
      <c r="AH139">
        <v>4227.5000000000064</v>
      </c>
      <c r="AI139">
        <v>-1387.53</v>
      </c>
      <c r="AJ139">
        <v>0</v>
      </c>
      <c r="AK139">
        <v>1387.53</v>
      </c>
      <c r="AL139">
        <v>29504.700000000019</v>
      </c>
      <c r="AM139">
        <v>32344.670000000042</v>
      </c>
      <c r="AN139">
        <v>2839.9700000000075</v>
      </c>
      <c r="AO139">
        <v>636</v>
      </c>
    </row>
    <row r="140" spans="1:41" x14ac:dyDescent="0.35">
      <c r="A140">
        <v>2024</v>
      </c>
      <c r="B140">
        <v>2</v>
      </c>
      <c r="C140">
        <v>8</v>
      </c>
      <c r="D140" s="14">
        <v>45345</v>
      </c>
      <c r="E140" t="s">
        <v>44</v>
      </c>
      <c r="F140" t="s">
        <v>42</v>
      </c>
      <c r="G140" t="s">
        <v>46</v>
      </c>
      <c r="H140">
        <v>46258.110000000037</v>
      </c>
      <c r="I140">
        <v>46272.110000000037</v>
      </c>
      <c r="J140">
        <v>14</v>
      </c>
      <c r="K140">
        <v>459.07999999999942</v>
      </c>
      <c r="L140">
        <v>459.07999999999942</v>
      </c>
      <c r="M140">
        <v>0</v>
      </c>
      <c r="N140">
        <v>1104.3100000000004</v>
      </c>
      <c r="O140">
        <v>1104.3100000000004</v>
      </c>
      <c r="P140">
        <v>0</v>
      </c>
      <c r="Q140">
        <v>-16079.820000000023</v>
      </c>
      <c r="R140">
        <v>-15711.820000000025</v>
      </c>
      <c r="S140">
        <v>368</v>
      </c>
      <c r="T140">
        <v>0</v>
      </c>
      <c r="U140">
        <v>0</v>
      </c>
      <c r="V140">
        <v>0</v>
      </c>
      <c r="W140">
        <v>-25</v>
      </c>
      <c r="X140">
        <v>-25</v>
      </c>
      <c r="Y140">
        <v>0</v>
      </c>
      <c r="Z140">
        <v>31716.680000000026</v>
      </c>
      <c r="AA140">
        <v>32098.680000000026</v>
      </c>
      <c r="AB140">
        <v>382</v>
      </c>
      <c r="AC140">
        <v>6605.5000000000236</v>
      </c>
      <c r="AD140">
        <v>2972.0800000000031</v>
      </c>
      <c r="AE140">
        <v>-3633.4200000000078</v>
      </c>
      <c r="AF140">
        <v>25111.180000000058</v>
      </c>
      <c r="AG140">
        <v>29126.600000000042</v>
      </c>
      <c r="AH140">
        <v>4015.4200000000087</v>
      </c>
      <c r="AI140">
        <v>-982.58000000000027</v>
      </c>
      <c r="AJ140">
        <v>0</v>
      </c>
      <c r="AK140">
        <v>982.58000000000027</v>
      </c>
      <c r="AL140">
        <v>26093.760000000057</v>
      </c>
      <c r="AM140">
        <v>29126.600000000042</v>
      </c>
      <c r="AN140">
        <v>3032.8400000000088</v>
      </c>
      <c r="AO140">
        <v>562</v>
      </c>
    </row>
    <row r="141" spans="1:41" x14ac:dyDescent="0.35">
      <c r="A141">
        <v>2024</v>
      </c>
      <c r="B141">
        <v>2</v>
      </c>
      <c r="C141">
        <v>8</v>
      </c>
      <c r="D141" s="14">
        <v>45346</v>
      </c>
      <c r="E141" t="s">
        <v>44</v>
      </c>
      <c r="F141" t="s">
        <v>42</v>
      </c>
      <c r="G141" t="s">
        <v>46</v>
      </c>
      <c r="H141">
        <v>53046.990000000042</v>
      </c>
      <c r="I141">
        <v>53046.990000000042</v>
      </c>
      <c r="J141">
        <v>0</v>
      </c>
      <c r="K141">
        <v>301.16999999999962</v>
      </c>
      <c r="L141">
        <v>301.16999999999962</v>
      </c>
      <c r="M141">
        <v>0</v>
      </c>
      <c r="N141">
        <v>1438.1200000000006</v>
      </c>
      <c r="O141">
        <v>1438.1200000000006</v>
      </c>
      <c r="P141">
        <v>0</v>
      </c>
      <c r="Q141">
        <v>-18865.300000000032</v>
      </c>
      <c r="R141">
        <v>-18645.300000000028</v>
      </c>
      <c r="S141">
        <v>220</v>
      </c>
      <c r="T141">
        <v>0</v>
      </c>
      <c r="U141">
        <v>0</v>
      </c>
      <c r="V141">
        <v>0</v>
      </c>
      <c r="W141">
        <v>-20.7</v>
      </c>
      <c r="X141">
        <v>-20.7</v>
      </c>
      <c r="Y141">
        <v>0</v>
      </c>
      <c r="Z141">
        <v>35900.279999999992</v>
      </c>
      <c r="AA141">
        <v>36120.279999999992</v>
      </c>
      <c r="AB141">
        <v>220</v>
      </c>
      <c r="AC141">
        <v>7638.0700000000279</v>
      </c>
      <c r="AD141">
        <v>4756.8900000000131</v>
      </c>
      <c r="AE141">
        <v>-2881.1800000000026</v>
      </c>
      <c r="AF141">
        <v>28262.210000000076</v>
      </c>
      <c r="AG141">
        <v>31363.39000000005</v>
      </c>
      <c r="AH141">
        <v>3101.180000000003</v>
      </c>
      <c r="AI141">
        <v>-1968.5899999999995</v>
      </c>
      <c r="AJ141">
        <v>0</v>
      </c>
      <c r="AK141">
        <v>1968.5899999999995</v>
      </c>
      <c r="AL141">
        <v>30230.800000000061</v>
      </c>
      <c r="AM141">
        <v>31363.39000000005</v>
      </c>
      <c r="AN141">
        <v>1132.5899999999997</v>
      </c>
      <c r="AO141">
        <v>636</v>
      </c>
    </row>
    <row r="142" spans="1:41" x14ac:dyDescent="0.35">
      <c r="A142">
        <v>2024</v>
      </c>
      <c r="B142">
        <v>2</v>
      </c>
      <c r="C142">
        <v>8</v>
      </c>
      <c r="D142" s="14">
        <v>45340</v>
      </c>
      <c r="E142" t="s">
        <v>44</v>
      </c>
      <c r="F142" t="s">
        <v>47</v>
      </c>
      <c r="G142" t="s">
        <v>48</v>
      </c>
      <c r="H142">
        <v>9320.2999999999993</v>
      </c>
      <c r="I142">
        <v>9320.2999999999993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-2279.649999999996</v>
      </c>
      <c r="R142">
        <v>-2279.649999999996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7040.6499999999878</v>
      </c>
      <c r="AA142">
        <v>7040.6499999999878</v>
      </c>
      <c r="AB142">
        <v>0</v>
      </c>
      <c r="AC142">
        <v>24.75</v>
      </c>
      <c r="AE142">
        <v>-24.75</v>
      </c>
      <c r="AF142">
        <v>7015.8999999999878</v>
      </c>
      <c r="AG142">
        <v>7040.6499999999878</v>
      </c>
      <c r="AH142">
        <v>24.75</v>
      </c>
      <c r="AI142">
        <v>2923.9099999999994</v>
      </c>
      <c r="AJ142">
        <v>0</v>
      </c>
      <c r="AK142">
        <v>-2923.9099999999994</v>
      </c>
      <c r="AL142">
        <v>4091.9899999999984</v>
      </c>
      <c r="AM142">
        <v>7040.6499999999878</v>
      </c>
      <c r="AN142">
        <v>2948.66</v>
      </c>
      <c r="AO142">
        <v>154</v>
      </c>
    </row>
    <row r="143" spans="1:41" x14ac:dyDescent="0.35">
      <c r="A143">
        <v>2024</v>
      </c>
      <c r="B143">
        <v>2</v>
      </c>
      <c r="C143">
        <v>8</v>
      </c>
      <c r="D143" s="14">
        <v>45341</v>
      </c>
      <c r="E143" t="s">
        <v>44</v>
      </c>
      <c r="F143" t="s">
        <v>47</v>
      </c>
      <c r="G143" t="s">
        <v>48</v>
      </c>
      <c r="H143">
        <v>151</v>
      </c>
      <c r="I143">
        <v>151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-17.600000000000001</v>
      </c>
      <c r="R143">
        <v>-17.600000000000001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133.4</v>
      </c>
      <c r="AA143">
        <v>133.4</v>
      </c>
      <c r="AB143">
        <v>0</v>
      </c>
      <c r="AE143">
        <v>0</v>
      </c>
      <c r="AF143">
        <v>133.4</v>
      </c>
      <c r="AG143">
        <v>133.4</v>
      </c>
      <c r="AH143">
        <v>0</v>
      </c>
      <c r="AI143">
        <v>14.26</v>
      </c>
      <c r="AJ143">
        <v>0</v>
      </c>
      <c r="AK143">
        <v>-14.26</v>
      </c>
      <c r="AL143">
        <v>119.14</v>
      </c>
      <c r="AM143">
        <v>133.4</v>
      </c>
      <c r="AN143">
        <v>14.259999999999998</v>
      </c>
      <c r="AO143">
        <v>2</v>
      </c>
    </row>
    <row r="144" spans="1:41" x14ac:dyDescent="0.35">
      <c r="A144">
        <v>2024</v>
      </c>
      <c r="B144">
        <v>2</v>
      </c>
      <c r="C144">
        <v>8</v>
      </c>
      <c r="D144" s="14">
        <v>45342</v>
      </c>
      <c r="E144" t="s">
        <v>44</v>
      </c>
      <c r="F144" t="s">
        <v>47</v>
      </c>
      <c r="G144" t="s">
        <v>48</v>
      </c>
      <c r="H144">
        <v>2105</v>
      </c>
      <c r="I144">
        <v>2105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-471.65000000000009</v>
      </c>
      <c r="R144">
        <v>-471.65000000000009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1633.35</v>
      </c>
      <c r="AA144">
        <v>1633.35</v>
      </c>
      <c r="AB144">
        <v>0</v>
      </c>
      <c r="AE144">
        <v>0</v>
      </c>
      <c r="AF144">
        <v>1633.35</v>
      </c>
      <c r="AG144">
        <v>1633.35</v>
      </c>
      <c r="AH144">
        <v>0</v>
      </c>
      <c r="AI144">
        <v>713.11000000000013</v>
      </c>
      <c r="AJ144">
        <v>0</v>
      </c>
      <c r="AK144">
        <v>-713.11000000000013</v>
      </c>
      <c r="AL144">
        <v>920.24000000000012</v>
      </c>
      <c r="AM144">
        <v>1633.35</v>
      </c>
      <c r="AN144">
        <v>713.11</v>
      </c>
      <c r="AO144">
        <v>34</v>
      </c>
    </row>
    <row r="145" spans="1:41" x14ac:dyDescent="0.35">
      <c r="A145">
        <v>2024</v>
      </c>
      <c r="B145">
        <v>2</v>
      </c>
      <c r="C145">
        <v>8</v>
      </c>
      <c r="D145" s="14">
        <v>45343</v>
      </c>
      <c r="E145" t="s">
        <v>44</v>
      </c>
      <c r="F145" t="s">
        <v>47</v>
      </c>
      <c r="G145" t="s">
        <v>48</v>
      </c>
      <c r="H145">
        <v>8445.7500000000018</v>
      </c>
      <c r="I145">
        <v>8445.7500000000018</v>
      </c>
      <c r="J145">
        <v>0</v>
      </c>
      <c r="K145">
        <v>616.85</v>
      </c>
      <c r="L145">
        <v>616.85</v>
      </c>
      <c r="M145">
        <v>0</v>
      </c>
      <c r="N145">
        <v>15.99</v>
      </c>
      <c r="O145">
        <v>15.99</v>
      </c>
      <c r="P145">
        <v>0</v>
      </c>
      <c r="Q145">
        <v>-1291.0500000000002</v>
      </c>
      <c r="R145">
        <v>-1291.0500000000002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7787.5400000000027</v>
      </c>
      <c r="AA145">
        <v>7787.5400000000027</v>
      </c>
      <c r="AB145">
        <v>0</v>
      </c>
      <c r="AE145">
        <v>0</v>
      </c>
      <c r="AF145">
        <v>7787.5400000000027</v>
      </c>
      <c r="AG145">
        <v>7787.5400000000027</v>
      </c>
      <c r="AH145">
        <v>0</v>
      </c>
      <c r="AI145">
        <v>3169.309999999999</v>
      </c>
      <c r="AJ145">
        <v>0</v>
      </c>
      <c r="AK145">
        <v>-3169.309999999999</v>
      </c>
      <c r="AL145">
        <v>4618.2300000000005</v>
      </c>
      <c r="AM145">
        <v>7787.5400000000027</v>
      </c>
      <c r="AN145">
        <v>3169.309999999999</v>
      </c>
      <c r="AO145">
        <v>225</v>
      </c>
    </row>
    <row r="146" spans="1:41" x14ac:dyDescent="0.35">
      <c r="A146">
        <v>2024</v>
      </c>
      <c r="B146">
        <v>2</v>
      </c>
      <c r="C146">
        <v>8</v>
      </c>
      <c r="D146" s="14">
        <v>45344</v>
      </c>
      <c r="E146" t="s">
        <v>44</v>
      </c>
      <c r="F146" t="s">
        <v>47</v>
      </c>
      <c r="G146" t="s">
        <v>48</v>
      </c>
      <c r="H146">
        <v>7381.3300000000172</v>
      </c>
      <c r="I146">
        <v>7381.3300000000172</v>
      </c>
      <c r="J146">
        <v>0</v>
      </c>
      <c r="K146">
        <v>711.30000000000018</v>
      </c>
      <c r="L146">
        <v>711.30000000000018</v>
      </c>
      <c r="M146">
        <v>0</v>
      </c>
      <c r="N146">
        <v>31.98</v>
      </c>
      <c r="O146">
        <v>31.98</v>
      </c>
      <c r="P146">
        <v>0</v>
      </c>
      <c r="Q146">
        <v>-1178.08</v>
      </c>
      <c r="R146">
        <v>-1178.08</v>
      </c>
      <c r="S146">
        <v>0</v>
      </c>
      <c r="T146">
        <v>-86</v>
      </c>
      <c r="U146">
        <v>-86</v>
      </c>
      <c r="V146">
        <v>0</v>
      </c>
      <c r="W146">
        <v>0</v>
      </c>
      <c r="X146">
        <v>0</v>
      </c>
      <c r="Y146">
        <v>0</v>
      </c>
      <c r="Z146">
        <v>6860.5300000000125</v>
      </c>
      <c r="AA146">
        <v>6860.5300000000125</v>
      </c>
      <c r="AB146">
        <v>0</v>
      </c>
      <c r="AC146">
        <v>19.34</v>
      </c>
      <c r="AD146">
        <v>19.34</v>
      </c>
      <c r="AE146">
        <v>0</v>
      </c>
      <c r="AF146">
        <v>6841.1900000000123</v>
      </c>
      <c r="AG146">
        <v>6841.1900000000123</v>
      </c>
      <c r="AH146">
        <v>0</v>
      </c>
      <c r="AI146">
        <v>2301.2199999999998</v>
      </c>
      <c r="AJ146">
        <v>0</v>
      </c>
      <c r="AK146">
        <v>-2301.2199999999998</v>
      </c>
      <c r="AL146">
        <v>4539.9699999999984</v>
      </c>
      <c r="AM146">
        <v>6841.1900000000123</v>
      </c>
      <c r="AN146">
        <v>2301.2199999999993</v>
      </c>
      <c r="AO146">
        <v>197</v>
      </c>
    </row>
    <row r="147" spans="1:41" x14ac:dyDescent="0.35">
      <c r="A147">
        <v>2024</v>
      </c>
      <c r="B147">
        <v>2</v>
      </c>
      <c r="C147">
        <v>8</v>
      </c>
      <c r="D147" s="14">
        <v>45345</v>
      </c>
      <c r="E147" t="s">
        <v>44</v>
      </c>
      <c r="F147" t="s">
        <v>47</v>
      </c>
      <c r="G147" t="s">
        <v>48</v>
      </c>
      <c r="H147">
        <v>5955.8800000000138</v>
      </c>
      <c r="I147">
        <v>5955.8800000000138</v>
      </c>
      <c r="J147">
        <v>0</v>
      </c>
      <c r="K147">
        <v>769.50000000000023</v>
      </c>
      <c r="L147">
        <v>769.50000000000023</v>
      </c>
      <c r="M147">
        <v>0</v>
      </c>
      <c r="N147">
        <v>15.99</v>
      </c>
      <c r="O147">
        <v>15.99</v>
      </c>
      <c r="P147">
        <v>0</v>
      </c>
      <c r="Q147">
        <v>-821.53000000000043</v>
      </c>
      <c r="R147">
        <v>-821.53000000000043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5919.8400000000147</v>
      </c>
      <c r="AA147">
        <v>5919.8400000000147</v>
      </c>
      <c r="AB147">
        <v>0</v>
      </c>
      <c r="AC147">
        <v>28.64</v>
      </c>
      <c r="AD147">
        <v>9.3000000000000007</v>
      </c>
      <c r="AE147">
        <v>-19.34</v>
      </c>
      <c r="AF147">
        <v>5891.2000000000144</v>
      </c>
      <c r="AG147">
        <v>5910.5400000000145</v>
      </c>
      <c r="AH147">
        <v>19.339999999999996</v>
      </c>
      <c r="AI147">
        <v>1998.8100000000024</v>
      </c>
      <c r="AJ147">
        <v>0</v>
      </c>
      <c r="AK147">
        <v>-1998.8100000000024</v>
      </c>
      <c r="AL147">
        <v>3892.3900000000008</v>
      </c>
      <c r="AM147">
        <v>5910.5400000000145</v>
      </c>
      <c r="AN147">
        <v>2018.1500000000024</v>
      </c>
      <c r="AO147">
        <v>204</v>
      </c>
    </row>
    <row r="148" spans="1:41" x14ac:dyDescent="0.35">
      <c r="A148">
        <v>2024</v>
      </c>
      <c r="B148">
        <v>2</v>
      </c>
      <c r="C148">
        <v>8</v>
      </c>
      <c r="D148" s="14">
        <v>45346</v>
      </c>
      <c r="E148" t="s">
        <v>44</v>
      </c>
      <c r="F148" t="s">
        <v>47</v>
      </c>
      <c r="G148" t="s">
        <v>48</v>
      </c>
      <c r="H148">
        <v>15369.54999999993</v>
      </c>
      <c r="I148">
        <v>15369.54999999993</v>
      </c>
      <c r="J148">
        <v>0</v>
      </c>
      <c r="K148">
        <v>876.70000000000039</v>
      </c>
      <c r="L148">
        <v>876.70000000000039</v>
      </c>
      <c r="M148">
        <v>0</v>
      </c>
      <c r="N148">
        <v>8.99</v>
      </c>
      <c r="O148">
        <v>8.99</v>
      </c>
      <c r="P148">
        <v>0</v>
      </c>
      <c r="Q148">
        <v>-3342.9999999999936</v>
      </c>
      <c r="R148">
        <v>-3331.9999999999936</v>
      </c>
      <c r="S148">
        <v>11</v>
      </c>
      <c r="T148">
        <v>-27.2</v>
      </c>
      <c r="U148">
        <v>-27.2</v>
      </c>
      <c r="V148">
        <v>0</v>
      </c>
      <c r="W148">
        <v>0</v>
      </c>
      <c r="X148">
        <v>0</v>
      </c>
      <c r="Y148">
        <v>0</v>
      </c>
      <c r="Z148">
        <v>12885.039999999952</v>
      </c>
      <c r="AA148">
        <v>12896.039999999952</v>
      </c>
      <c r="AB148">
        <v>11</v>
      </c>
      <c r="AC148">
        <v>25.470000000000002</v>
      </c>
      <c r="AD148">
        <v>16.170000000000002</v>
      </c>
      <c r="AE148">
        <v>-9.3000000000000007</v>
      </c>
      <c r="AF148">
        <v>12859.569999999952</v>
      </c>
      <c r="AG148">
        <v>12879.869999999952</v>
      </c>
      <c r="AH148">
        <v>20.299999999999997</v>
      </c>
      <c r="AI148">
        <v>3706.9900000000007</v>
      </c>
      <c r="AJ148">
        <v>0</v>
      </c>
      <c r="AK148">
        <v>-3706.9900000000007</v>
      </c>
      <c r="AL148">
        <v>9152.5800000000145</v>
      </c>
      <c r="AM148">
        <v>12879.869999999952</v>
      </c>
      <c r="AN148">
        <v>3727.2900000000004</v>
      </c>
      <c r="AO148">
        <v>313</v>
      </c>
    </row>
    <row r="149" spans="1:41" x14ac:dyDescent="0.35">
      <c r="A149">
        <v>2024</v>
      </c>
      <c r="B149">
        <v>2</v>
      </c>
      <c r="C149">
        <v>8</v>
      </c>
      <c r="D149" s="14">
        <v>45340</v>
      </c>
      <c r="E149" t="s">
        <v>44</v>
      </c>
      <c r="F149" t="s">
        <v>47</v>
      </c>
      <c r="G149" t="s">
        <v>49</v>
      </c>
      <c r="H149">
        <v>5882.8</v>
      </c>
      <c r="I149">
        <v>5882.8</v>
      </c>
      <c r="J149">
        <v>0</v>
      </c>
      <c r="K149">
        <v>55.660000000000004</v>
      </c>
      <c r="L149">
        <v>55.660000000000004</v>
      </c>
      <c r="M149">
        <v>0</v>
      </c>
      <c r="N149">
        <v>66.960000000000008</v>
      </c>
      <c r="O149">
        <v>66.960000000000008</v>
      </c>
      <c r="P149">
        <v>0</v>
      </c>
      <c r="Q149">
        <v>-2039.7000000000003</v>
      </c>
      <c r="R149">
        <v>-2039.7000000000003</v>
      </c>
      <c r="S149">
        <v>0</v>
      </c>
      <c r="T149">
        <v>-5</v>
      </c>
      <c r="U149">
        <v>-5</v>
      </c>
      <c r="V149">
        <v>0</v>
      </c>
      <c r="W149">
        <v>0</v>
      </c>
      <c r="X149">
        <v>0</v>
      </c>
      <c r="Y149">
        <v>0</v>
      </c>
      <c r="Z149">
        <v>3960.72</v>
      </c>
      <c r="AA149">
        <v>3960.72</v>
      </c>
      <c r="AB149">
        <v>0</v>
      </c>
      <c r="AC149">
        <v>177.52000000000004</v>
      </c>
      <c r="AD149">
        <v>14.38</v>
      </c>
      <c r="AE149">
        <v>-163.14000000000004</v>
      </c>
      <c r="AF149">
        <v>3783.2</v>
      </c>
      <c r="AG149">
        <v>3946.3399999999997</v>
      </c>
      <c r="AH149">
        <v>163.14000000000004</v>
      </c>
      <c r="AI149">
        <v>668.79000000000019</v>
      </c>
      <c r="AJ149">
        <v>3.74</v>
      </c>
      <c r="AK149">
        <v>-665.05000000000018</v>
      </c>
      <c r="AL149">
        <v>3114.4100000000012</v>
      </c>
      <c r="AM149">
        <v>3942.5999999999995</v>
      </c>
      <c r="AN149">
        <v>828.19000000000028</v>
      </c>
      <c r="AO149">
        <v>84</v>
      </c>
    </row>
    <row r="150" spans="1:41" x14ac:dyDescent="0.35">
      <c r="A150">
        <v>2024</v>
      </c>
      <c r="B150">
        <v>2</v>
      </c>
      <c r="C150">
        <v>8</v>
      </c>
      <c r="D150" s="14">
        <v>45341</v>
      </c>
      <c r="E150" t="s">
        <v>44</v>
      </c>
      <c r="F150" t="s">
        <v>47</v>
      </c>
      <c r="G150" t="s">
        <v>49</v>
      </c>
      <c r="H150">
        <v>594</v>
      </c>
      <c r="I150">
        <v>594</v>
      </c>
      <c r="J150">
        <v>0</v>
      </c>
      <c r="K150">
        <v>16.990000000000002</v>
      </c>
      <c r="L150">
        <v>16.990000000000002</v>
      </c>
      <c r="M150">
        <v>0</v>
      </c>
      <c r="N150">
        <v>15.99</v>
      </c>
      <c r="O150">
        <v>15.99</v>
      </c>
      <c r="P150">
        <v>0</v>
      </c>
      <c r="Q150">
        <v>-188.6</v>
      </c>
      <c r="R150">
        <v>-188.6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438.38</v>
      </c>
      <c r="AA150">
        <v>438.38</v>
      </c>
      <c r="AB150">
        <v>0</v>
      </c>
      <c r="AC150">
        <v>78.399999999999991</v>
      </c>
      <c r="AD150">
        <v>44.85</v>
      </c>
      <c r="AE150">
        <v>-33.550000000000004</v>
      </c>
      <c r="AF150">
        <v>359.98000000000008</v>
      </c>
      <c r="AG150">
        <v>393.53000000000003</v>
      </c>
      <c r="AH150">
        <v>33.549999999999997</v>
      </c>
      <c r="AI150">
        <v>-10.029999999999999</v>
      </c>
      <c r="AJ150">
        <v>0</v>
      </c>
      <c r="AK150">
        <v>10.029999999999999</v>
      </c>
      <c r="AL150">
        <v>370.01</v>
      </c>
      <c r="AM150">
        <v>393.53000000000003</v>
      </c>
      <c r="AN150">
        <v>23.519999999999996</v>
      </c>
      <c r="AO150">
        <v>7</v>
      </c>
    </row>
    <row r="151" spans="1:41" x14ac:dyDescent="0.35">
      <c r="A151">
        <v>2024</v>
      </c>
      <c r="B151">
        <v>2</v>
      </c>
      <c r="C151">
        <v>8</v>
      </c>
      <c r="D151" s="14">
        <v>45342</v>
      </c>
      <c r="E151" t="s">
        <v>44</v>
      </c>
      <c r="F151" t="s">
        <v>47</v>
      </c>
      <c r="G151" t="s">
        <v>49</v>
      </c>
      <c r="H151">
        <v>1119</v>
      </c>
      <c r="I151">
        <v>1119</v>
      </c>
      <c r="J151">
        <v>0</v>
      </c>
      <c r="K151">
        <v>40.910000000000004</v>
      </c>
      <c r="L151">
        <v>40.910000000000004</v>
      </c>
      <c r="M151">
        <v>0</v>
      </c>
      <c r="N151">
        <v>15.99</v>
      </c>
      <c r="O151">
        <v>15.99</v>
      </c>
      <c r="P151">
        <v>0</v>
      </c>
      <c r="Q151">
        <v>-439.9</v>
      </c>
      <c r="R151">
        <v>-439.9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736</v>
      </c>
      <c r="AA151">
        <v>736</v>
      </c>
      <c r="AB151">
        <v>0</v>
      </c>
      <c r="AC151">
        <v>54.73</v>
      </c>
      <c r="AD151">
        <v>9.879999999999999</v>
      </c>
      <c r="AE151">
        <v>-44.849999999999994</v>
      </c>
      <c r="AF151">
        <v>681.27</v>
      </c>
      <c r="AG151">
        <v>726.11999999999989</v>
      </c>
      <c r="AH151">
        <v>44.849999999999987</v>
      </c>
      <c r="AI151">
        <v>121.13999999999999</v>
      </c>
      <c r="AJ151">
        <v>0</v>
      </c>
      <c r="AK151">
        <v>-121.13999999999999</v>
      </c>
      <c r="AL151">
        <v>560.13</v>
      </c>
      <c r="AM151">
        <v>726.11999999999989</v>
      </c>
      <c r="AN151">
        <v>165.98999999999998</v>
      </c>
      <c r="AO151">
        <v>13</v>
      </c>
    </row>
    <row r="152" spans="1:41" x14ac:dyDescent="0.35">
      <c r="A152">
        <v>2024</v>
      </c>
      <c r="B152">
        <v>2</v>
      </c>
      <c r="C152">
        <v>8</v>
      </c>
      <c r="D152" s="14">
        <v>45343</v>
      </c>
      <c r="E152" t="s">
        <v>44</v>
      </c>
      <c r="F152" t="s">
        <v>47</v>
      </c>
      <c r="G152" t="s">
        <v>49</v>
      </c>
      <c r="H152">
        <v>11988.599999999977</v>
      </c>
      <c r="I152">
        <v>11988.599999999977</v>
      </c>
      <c r="J152">
        <v>0</v>
      </c>
      <c r="K152">
        <v>264.27999999999997</v>
      </c>
      <c r="L152">
        <v>264.27999999999997</v>
      </c>
      <c r="M152">
        <v>0</v>
      </c>
      <c r="N152">
        <v>284.85000000000002</v>
      </c>
      <c r="O152">
        <v>287.85000000000002</v>
      </c>
      <c r="P152">
        <v>3.0000000000000018</v>
      </c>
      <c r="Q152">
        <v>-3759.8500000000004</v>
      </c>
      <c r="R152">
        <v>-3741.1500000000005</v>
      </c>
      <c r="S152">
        <v>18.7</v>
      </c>
      <c r="T152">
        <v>-32.1</v>
      </c>
      <c r="U152">
        <v>-32.1</v>
      </c>
      <c r="V152">
        <v>0</v>
      </c>
      <c r="W152">
        <v>0</v>
      </c>
      <c r="X152">
        <v>0</v>
      </c>
      <c r="Y152">
        <v>0</v>
      </c>
      <c r="Z152">
        <v>8745.7800000000025</v>
      </c>
      <c r="AA152">
        <v>8767.48</v>
      </c>
      <c r="AB152">
        <v>21.699999999999989</v>
      </c>
      <c r="AC152">
        <v>145.76</v>
      </c>
      <c r="AD152">
        <v>135.88</v>
      </c>
      <c r="AE152">
        <v>-9.879999999999999</v>
      </c>
      <c r="AF152">
        <v>8600.0200000000077</v>
      </c>
      <c r="AG152">
        <v>8631.6000000000058</v>
      </c>
      <c r="AH152">
        <v>31.58</v>
      </c>
      <c r="AI152">
        <v>2068.6300000000006</v>
      </c>
      <c r="AJ152">
        <v>0</v>
      </c>
      <c r="AK152">
        <v>-2068.6300000000006</v>
      </c>
      <c r="AL152">
        <v>6531.3899999999976</v>
      </c>
      <c r="AM152">
        <v>8631.6000000000058</v>
      </c>
      <c r="AN152">
        <v>2100.2100000000005</v>
      </c>
      <c r="AO152">
        <v>173</v>
      </c>
    </row>
    <row r="153" spans="1:41" x14ac:dyDescent="0.35">
      <c r="A153">
        <v>2024</v>
      </c>
      <c r="B153">
        <v>2</v>
      </c>
      <c r="C153">
        <v>8</v>
      </c>
      <c r="D153" s="14">
        <v>45344</v>
      </c>
      <c r="E153" t="s">
        <v>44</v>
      </c>
      <c r="F153" t="s">
        <v>47</v>
      </c>
      <c r="G153" t="s">
        <v>49</v>
      </c>
      <c r="H153">
        <v>13280.35</v>
      </c>
      <c r="I153">
        <v>13280.35</v>
      </c>
      <c r="J153">
        <v>0</v>
      </c>
      <c r="K153">
        <v>244.3</v>
      </c>
      <c r="L153">
        <v>244.3</v>
      </c>
      <c r="M153">
        <v>0</v>
      </c>
      <c r="N153">
        <v>82.94</v>
      </c>
      <c r="O153">
        <v>82.94</v>
      </c>
      <c r="P153">
        <v>0</v>
      </c>
      <c r="Q153">
        <v>-4174.5</v>
      </c>
      <c r="R153">
        <v>-4174.5</v>
      </c>
      <c r="S153">
        <v>0</v>
      </c>
      <c r="T153">
        <v>-25</v>
      </c>
      <c r="U153">
        <v>-25</v>
      </c>
      <c r="V153">
        <v>0</v>
      </c>
      <c r="W153">
        <v>-15.99</v>
      </c>
      <c r="X153">
        <v>-15.99</v>
      </c>
      <c r="Y153">
        <v>0</v>
      </c>
      <c r="Z153">
        <v>9392.0999999999949</v>
      </c>
      <c r="AA153">
        <v>9392.0999999999949</v>
      </c>
      <c r="AB153">
        <v>0</v>
      </c>
      <c r="AC153">
        <v>452.35999999999996</v>
      </c>
      <c r="AD153">
        <v>316.48</v>
      </c>
      <c r="AE153">
        <v>-135.88</v>
      </c>
      <c r="AF153">
        <v>8939.7399999999943</v>
      </c>
      <c r="AG153">
        <v>9075.6199999999935</v>
      </c>
      <c r="AH153">
        <v>135.88</v>
      </c>
      <c r="AI153">
        <v>1949.6900000000012</v>
      </c>
      <c r="AJ153">
        <v>0</v>
      </c>
      <c r="AK153">
        <v>-1949.6900000000012</v>
      </c>
      <c r="AL153">
        <v>6990.049999999992</v>
      </c>
      <c r="AM153">
        <v>9075.6199999999935</v>
      </c>
      <c r="AN153">
        <v>2085.5700000000011</v>
      </c>
      <c r="AO153">
        <v>177</v>
      </c>
    </row>
    <row r="154" spans="1:41" x14ac:dyDescent="0.35">
      <c r="A154">
        <v>2024</v>
      </c>
      <c r="B154">
        <v>2</v>
      </c>
      <c r="C154">
        <v>8</v>
      </c>
      <c r="D154" s="14">
        <v>45345</v>
      </c>
      <c r="E154" t="s">
        <v>44</v>
      </c>
      <c r="F154" t="s">
        <v>47</v>
      </c>
      <c r="G154" t="s">
        <v>49</v>
      </c>
      <c r="H154">
        <v>18802.699999999917</v>
      </c>
      <c r="I154">
        <v>18802.699999999917</v>
      </c>
      <c r="J154">
        <v>0</v>
      </c>
      <c r="K154">
        <v>442.19999999999987</v>
      </c>
      <c r="L154">
        <v>442.19999999999987</v>
      </c>
      <c r="M154">
        <v>0</v>
      </c>
      <c r="N154">
        <v>91.929999999999993</v>
      </c>
      <c r="O154">
        <v>91.929999999999993</v>
      </c>
      <c r="P154">
        <v>0</v>
      </c>
      <c r="Q154">
        <v>-6419.4499999999916</v>
      </c>
      <c r="R154">
        <v>-6419.4499999999916</v>
      </c>
      <c r="S154">
        <v>0</v>
      </c>
      <c r="T154">
        <v>-20.399999999999999</v>
      </c>
      <c r="U154">
        <v>-20.399999999999999</v>
      </c>
      <c r="V154">
        <v>0</v>
      </c>
      <c r="W154">
        <v>-15.99</v>
      </c>
      <c r="X154">
        <v>-15.99</v>
      </c>
      <c r="Y154">
        <v>0</v>
      </c>
      <c r="Z154">
        <v>12880.989999999925</v>
      </c>
      <c r="AA154">
        <v>12880.989999999925</v>
      </c>
      <c r="AB154">
        <v>0</v>
      </c>
      <c r="AC154">
        <v>456.93999999999994</v>
      </c>
      <c r="AD154">
        <v>140.45999999999998</v>
      </c>
      <c r="AE154">
        <v>-316.47999999999996</v>
      </c>
      <c r="AF154">
        <v>12424.049999999928</v>
      </c>
      <c r="AG154">
        <v>12740.529999999926</v>
      </c>
      <c r="AH154">
        <v>316.4799999999999</v>
      </c>
      <c r="AI154">
        <v>3099.0199999999923</v>
      </c>
      <c r="AJ154">
        <v>0</v>
      </c>
      <c r="AK154">
        <v>-3099.0199999999923</v>
      </c>
      <c r="AL154">
        <v>9325.0300000000407</v>
      </c>
      <c r="AM154">
        <v>12740.529999999926</v>
      </c>
      <c r="AN154">
        <v>3415.4999999999945</v>
      </c>
      <c r="AO154">
        <v>308</v>
      </c>
    </row>
    <row r="155" spans="1:41" x14ac:dyDescent="0.35">
      <c r="A155">
        <v>2024</v>
      </c>
      <c r="B155">
        <v>2</v>
      </c>
      <c r="C155">
        <v>8</v>
      </c>
      <c r="D155" s="14">
        <v>45346</v>
      </c>
      <c r="E155" t="s">
        <v>44</v>
      </c>
      <c r="F155" t="s">
        <v>47</v>
      </c>
      <c r="G155" t="s">
        <v>49</v>
      </c>
      <c r="H155">
        <v>12763.5</v>
      </c>
      <c r="I155">
        <v>12763.5</v>
      </c>
      <c r="J155">
        <v>0</v>
      </c>
      <c r="K155">
        <v>195.08000000000007</v>
      </c>
      <c r="L155">
        <v>195.08000000000007</v>
      </c>
      <c r="M155">
        <v>0</v>
      </c>
      <c r="N155">
        <v>89.94</v>
      </c>
      <c r="O155">
        <v>89.94</v>
      </c>
      <c r="P155">
        <v>0</v>
      </c>
      <c r="Q155">
        <v>-3726.3499999999976</v>
      </c>
      <c r="R155">
        <v>-3726.3499999999976</v>
      </c>
      <c r="S155">
        <v>0</v>
      </c>
      <c r="T155">
        <v>-5</v>
      </c>
      <c r="U155">
        <v>-5</v>
      </c>
      <c r="V155">
        <v>0</v>
      </c>
      <c r="W155">
        <v>0</v>
      </c>
      <c r="X155">
        <v>0</v>
      </c>
      <c r="Y155">
        <v>0</v>
      </c>
      <c r="Z155">
        <v>9317.1699999999928</v>
      </c>
      <c r="AA155">
        <v>9317.1699999999928</v>
      </c>
      <c r="AB155">
        <v>0</v>
      </c>
      <c r="AC155">
        <v>341.97999999999996</v>
      </c>
      <c r="AD155">
        <v>198.33999999999997</v>
      </c>
      <c r="AE155">
        <v>-143.64000000000001</v>
      </c>
      <c r="AF155">
        <v>8975.1899999999951</v>
      </c>
      <c r="AG155">
        <v>9118.8299999999927</v>
      </c>
      <c r="AH155">
        <v>143.64000000000004</v>
      </c>
      <c r="AI155">
        <v>1699.3099999999997</v>
      </c>
      <c r="AJ155">
        <v>0</v>
      </c>
      <c r="AK155">
        <v>-1699.3099999999997</v>
      </c>
      <c r="AL155">
        <v>7275.8800000000019</v>
      </c>
      <c r="AM155">
        <v>9118.8299999999927</v>
      </c>
      <c r="AN155">
        <v>1842.9499999999998</v>
      </c>
      <c r="AO155">
        <v>159</v>
      </c>
    </row>
    <row r="156" spans="1:41" x14ac:dyDescent="0.35">
      <c r="A156">
        <v>2024</v>
      </c>
      <c r="B156">
        <v>2</v>
      </c>
      <c r="C156">
        <v>8</v>
      </c>
      <c r="D156" s="14">
        <v>45340</v>
      </c>
      <c r="E156" t="s">
        <v>44</v>
      </c>
      <c r="F156" t="s">
        <v>47</v>
      </c>
      <c r="G156" t="s">
        <v>50</v>
      </c>
      <c r="H156">
        <v>20111</v>
      </c>
      <c r="I156">
        <v>20120</v>
      </c>
      <c r="J156">
        <v>9</v>
      </c>
      <c r="K156">
        <v>328.6799999999995</v>
      </c>
      <c r="L156">
        <v>328.6799999999995</v>
      </c>
      <c r="M156">
        <v>0</v>
      </c>
      <c r="N156">
        <v>973.39000000000044</v>
      </c>
      <c r="O156">
        <v>973.39000000000044</v>
      </c>
      <c r="P156">
        <v>0</v>
      </c>
      <c r="Q156">
        <v>-5868.25</v>
      </c>
      <c r="R156">
        <v>-5722.25</v>
      </c>
      <c r="S156">
        <v>146</v>
      </c>
      <c r="T156">
        <v>-15</v>
      </c>
      <c r="U156">
        <v>-15</v>
      </c>
      <c r="V156">
        <v>0</v>
      </c>
      <c r="W156">
        <v>-25.990000000000002</v>
      </c>
      <c r="X156">
        <v>-25.990000000000002</v>
      </c>
      <c r="Y156">
        <v>0</v>
      </c>
      <c r="Z156">
        <v>15503.82999999998</v>
      </c>
      <c r="AA156">
        <v>15658.82999999998</v>
      </c>
      <c r="AB156">
        <v>155</v>
      </c>
      <c r="AC156">
        <v>2244.400000000001</v>
      </c>
      <c r="AD156">
        <v>543.81000000000006</v>
      </c>
      <c r="AE156">
        <v>-1700.5900000000001</v>
      </c>
      <c r="AF156">
        <v>13259.43</v>
      </c>
      <c r="AG156">
        <v>15115.019999999986</v>
      </c>
      <c r="AH156">
        <v>1855.5900000000001</v>
      </c>
      <c r="AI156">
        <v>-433.55000000000024</v>
      </c>
      <c r="AJ156">
        <v>0</v>
      </c>
      <c r="AK156">
        <v>433.55000000000024</v>
      </c>
      <c r="AL156">
        <v>13692.980000000005</v>
      </c>
      <c r="AM156">
        <v>15115.019999999986</v>
      </c>
      <c r="AN156">
        <v>1422.0399999999997</v>
      </c>
      <c r="AO156">
        <v>229</v>
      </c>
    </row>
    <row r="157" spans="1:41" x14ac:dyDescent="0.35">
      <c r="A157">
        <v>2024</v>
      </c>
      <c r="B157">
        <v>2</v>
      </c>
      <c r="C157">
        <v>8</v>
      </c>
      <c r="D157" s="14">
        <v>45341</v>
      </c>
      <c r="E157" t="s">
        <v>44</v>
      </c>
      <c r="F157" t="s">
        <v>47</v>
      </c>
      <c r="G157" t="s">
        <v>50</v>
      </c>
      <c r="H157">
        <v>14461</v>
      </c>
      <c r="I157">
        <v>14461</v>
      </c>
      <c r="J157">
        <v>0</v>
      </c>
      <c r="K157">
        <v>191.91999999999996</v>
      </c>
      <c r="L157">
        <v>191.91999999999996</v>
      </c>
      <c r="M157">
        <v>0</v>
      </c>
      <c r="N157">
        <v>555.6500000000002</v>
      </c>
      <c r="O157">
        <v>555.6500000000002</v>
      </c>
      <c r="P157">
        <v>0</v>
      </c>
      <c r="Q157">
        <v>-4121</v>
      </c>
      <c r="R157">
        <v>-4121</v>
      </c>
      <c r="S157">
        <v>0</v>
      </c>
      <c r="T157">
        <v>-10</v>
      </c>
      <c r="U157">
        <v>-10</v>
      </c>
      <c r="V157">
        <v>0</v>
      </c>
      <c r="W157">
        <v>-10</v>
      </c>
      <c r="X157">
        <v>-10</v>
      </c>
      <c r="Y157">
        <v>0</v>
      </c>
      <c r="Z157">
        <v>11067.569999999992</v>
      </c>
      <c r="AA157">
        <v>11067.569999999992</v>
      </c>
      <c r="AB157">
        <v>0</v>
      </c>
      <c r="AC157">
        <v>1309.7899999999997</v>
      </c>
      <c r="AD157">
        <v>776.4</v>
      </c>
      <c r="AE157">
        <v>-533.3900000000001</v>
      </c>
      <c r="AF157">
        <v>9757.7799999999934</v>
      </c>
      <c r="AG157">
        <v>10291.169999999995</v>
      </c>
      <c r="AH157">
        <v>533.39000000000021</v>
      </c>
      <c r="AI157">
        <v>-521.12999999999977</v>
      </c>
      <c r="AJ157">
        <v>0</v>
      </c>
      <c r="AK157">
        <v>521.12999999999977</v>
      </c>
      <c r="AL157">
        <v>10278.909999999996</v>
      </c>
      <c r="AM157">
        <v>10291.169999999995</v>
      </c>
      <c r="AN157">
        <v>12.26000000000003</v>
      </c>
      <c r="AO157">
        <v>167</v>
      </c>
    </row>
    <row r="158" spans="1:41" x14ac:dyDescent="0.35">
      <c r="A158">
        <v>2024</v>
      </c>
      <c r="B158">
        <v>2</v>
      </c>
      <c r="C158">
        <v>8</v>
      </c>
      <c r="D158" s="14">
        <v>45342</v>
      </c>
      <c r="E158" t="s">
        <v>44</v>
      </c>
      <c r="F158" t="s">
        <v>47</v>
      </c>
      <c r="G158" t="s">
        <v>50</v>
      </c>
      <c r="H158">
        <v>10064</v>
      </c>
      <c r="I158">
        <v>10064</v>
      </c>
      <c r="J158">
        <v>0</v>
      </c>
      <c r="K158">
        <v>161.6</v>
      </c>
      <c r="L158">
        <v>161.6</v>
      </c>
      <c r="M158">
        <v>0</v>
      </c>
      <c r="N158">
        <v>551.6600000000002</v>
      </c>
      <c r="O158">
        <v>551.6600000000002</v>
      </c>
      <c r="P158">
        <v>0</v>
      </c>
      <c r="Q158">
        <v>-2889.5</v>
      </c>
      <c r="R158">
        <v>-2861.5</v>
      </c>
      <c r="S158">
        <v>28</v>
      </c>
      <c r="T158">
        <v>0</v>
      </c>
      <c r="U158">
        <v>0</v>
      </c>
      <c r="V158">
        <v>0</v>
      </c>
      <c r="W158">
        <v>-5</v>
      </c>
      <c r="X158">
        <v>-5</v>
      </c>
      <c r="Y158">
        <v>0</v>
      </c>
      <c r="Z158">
        <v>7882.7599999999929</v>
      </c>
      <c r="AA158">
        <v>7910.7599999999929</v>
      </c>
      <c r="AB158">
        <v>28</v>
      </c>
      <c r="AC158">
        <v>1203.8499999999999</v>
      </c>
      <c r="AD158">
        <v>474.73</v>
      </c>
      <c r="AE158">
        <v>-729.11999999999978</v>
      </c>
      <c r="AF158">
        <v>6678.9099999999917</v>
      </c>
      <c r="AG158">
        <v>7436.0299999999925</v>
      </c>
      <c r="AH158">
        <v>757.11999999999978</v>
      </c>
      <c r="AI158">
        <v>-305.60999999999996</v>
      </c>
      <c r="AJ158">
        <v>0</v>
      </c>
      <c r="AK158">
        <v>305.60999999999996</v>
      </c>
      <c r="AL158">
        <v>6984.5199999999941</v>
      </c>
      <c r="AM158">
        <v>7436.0299999999925</v>
      </c>
      <c r="AN158">
        <v>451.50999999999982</v>
      </c>
      <c r="AO158">
        <v>113</v>
      </c>
    </row>
    <row r="159" spans="1:41" x14ac:dyDescent="0.35">
      <c r="A159">
        <v>2024</v>
      </c>
      <c r="B159">
        <v>2</v>
      </c>
      <c r="C159">
        <v>8</v>
      </c>
      <c r="D159" s="14">
        <v>45343</v>
      </c>
      <c r="E159" t="s">
        <v>44</v>
      </c>
      <c r="F159" t="s">
        <v>47</v>
      </c>
      <c r="G159" t="s">
        <v>50</v>
      </c>
      <c r="H159">
        <v>23835.73</v>
      </c>
      <c r="I159">
        <v>23835.73</v>
      </c>
      <c r="J159">
        <v>0</v>
      </c>
      <c r="K159">
        <v>561.28999999999951</v>
      </c>
      <c r="L159">
        <v>573.78999999999951</v>
      </c>
      <c r="M159">
        <v>12.5</v>
      </c>
      <c r="N159">
        <v>1013.3800000000005</v>
      </c>
      <c r="O159">
        <v>1013.3800000000005</v>
      </c>
      <c r="P159">
        <v>0</v>
      </c>
      <c r="Q159">
        <v>-7124.93</v>
      </c>
      <c r="R159">
        <v>-7121.93</v>
      </c>
      <c r="S159">
        <v>3</v>
      </c>
      <c r="T159">
        <v>-30.46</v>
      </c>
      <c r="U159">
        <v>-30.46</v>
      </c>
      <c r="V159">
        <v>0</v>
      </c>
      <c r="W159">
        <v>-43.99</v>
      </c>
      <c r="X159">
        <v>-43.99</v>
      </c>
      <c r="Y159">
        <v>0</v>
      </c>
      <c r="Z159">
        <v>18211.019999999986</v>
      </c>
      <c r="AA159">
        <v>18226.519999999986</v>
      </c>
      <c r="AB159">
        <v>15.500000000000028</v>
      </c>
      <c r="AC159">
        <v>1815.2800000000009</v>
      </c>
      <c r="AD159">
        <v>1340.5499999999997</v>
      </c>
      <c r="AE159">
        <v>-474.73000000000008</v>
      </c>
      <c r="AF159">
        <v>16395.740000000005</v>
      </c>
      <c r="AG159">
        <v>16885.969999999998</v>
      </c>
      <c r="AH159">
        <v>490.23</v>
      </c>
      <c r="AI159">
        <v>-877.17999999999961</v>
      </c>
      <c r="AJ159">
        <v>0</v>
      </c>
      <c r="AK159">
        <v>877.17999999999961</v>
      </c>
      <c r="AL159">
        <v>17272.920000000013</v>
      </c>
      <c r="AM159">
        <v>16885.969999999998</v>
      </c>
      <c r="AN159">
        <v>-386.95000000000039</v>
      </c>
      <c r="AO159">
        <v>279</v>
      </c>
    </row>
    <row r="160" spans="1:41" x14ac:dyDescent="0.35">
      <c r="A160">
        <v>2024</v>
      </c>
      <c r="B160">
        <v>2</v>
      </c>
      <c r="C160">
        <v>8</v>
      </c>
      <c r="D160" s="14">
        <v>45344</v>
      </c>
      <c r="E160" t="s">
        <v>44</v>
      </c>
      <c r="F160" t="s">
        <v>47</v>
      </c>
      <c r="G160" t="s">
        <v>50</v>
      </c>
      <c r="H160">
        <v>25748.079999999998</v>
      </c>
      <c r="I160">
        <v>25748.079999999998</v>
      </c>
      <c r="J160">
        <v>0</v>
      </c>
      <c r="K160">
        <v>693.0700000000005</v>
      </c>
      <c r="L160">
        <v>693.0700000000005</v>
      </c>
      <c r="M160">
        <v>0</v>
      </c>
      <c r="N160">
        <v>1331.1700000000005</v>
      </c>
      <c r="O160">
        <v>1331.1700000000005</v>
      </c>
      <c r="P160">
        <v>0</v>
      </c>
      <c r="Q160">
        <v>-8203.33</v>
      </c>
      <c r="R160">
        <v>-8102.33</v>
      </c>
      <c r="S160">
        <v>101</v>
      </c>
      <c r="T160">
        <v>-80</v>
      </c>
      <c r="U160">
        <v>-80</v>
      </c>
      <c r="V160">
        <v>0</v>
      </c>
      <c r="W160">
        <v>-40</v>
      </c>
      <c r="X160">
        <v>-40</v>
      </c>
      <c r="Y160">
        <v>0</v>
      </c>
      <c r="Z160">
        <v>19448.989999999994</v>
      </c>
      <c r="AA160">
        <v>19549.989999999994</v>
      </c>
      <c r="AB160">
        <v>101</v>
      </c>
      <c r="AC160">
        <v>2754.9300000000044</v>
      </c>
      <c r="AD160">
        <v>1414.38</v>
      </c>
      <c r="AE160">
        <v>-1340.5500000000006</v>
      </c>
      <c r="AF160">
        <v>16694.060000000012</v>
      </c>
      <c r="AG160">
        <v>18135.61</v>
      </c>
      <c r="AH160">
        <v>1441.5500000000006</v>
      </c>
      <c r="AI160">
        <v>-825.90000000000009</v>
      </c>
      <c r="AJ160">
        <v>0</v>
      </c>
      <c r="AK160">
        <v>825.90000000000009</v>
      </c>
      <c r="AL160">
        <v>17519.96</v>
      </c>
      <c r="AM160">
        <v>18135.61</v>
      </c>
      <c r="AN160">
        <v>615.65</v>
      </c>
      <c r="AO160">
        <v>289</v>
      </c>
    </row>
    <row r="161" spans="1:41" x14ac:dyDescent="0.35">
      <c r="A161">
        <v>2024</v>
      </c>
      <c r="B161">
        <v>2</v>
      </c>
      <c r="C161">
        <v>8</v>
      </c>
      <c r="D161" s="14">
        <v>45345</v>
      </c>
      <c r="E161" t="s">
        <v>44</v>
      </c>
      <c r="F161" t="s">
        <v>47</v>
      </c>
      <c r="G161" t="s">
        <v>50</v>
      </c>
      <c r="H161">
        <v>21519</v>
      </c>
      <c r="I161">
        <v>21519</v>
      </c>
      <c r="J161">
        <v>0</v>
      </c>
      <c r="K161">
        <v>490.15999999999934</v>
      </c>
      <c r="L161">
        <v>490.15999999999934</v>
      </c>
      <c r="M161">
        <v>0</v>
      </c>
      <c r="N161">
        <v>1012.3600000000005</v>
      </c>
      <c r="O161">
        <v>993.37000000000046</v>
      </c>
      <c r="P161">
        <v>-18.990000000000002</v>
      </c>
      <c r="Q161">
        <v>-6442.52</v>
      </c>
      <c r="R161">
        <v>-6311.52</v>
      </c>
      <c r="S161">
        <v>131</v>
      </c>
      <c r="T161">
        <v>-40</v>
      </c>
      <c r="U161">
        <v>-40</v>
      </c>
      <c r="V161">
        <v>0</v>
      </c>
      <c r="W161">
        <v>-60.99</v>
      </c>
      <c r="X161">
        <v>-60.99</v>
      </c>
      <c r="Y161">
        <v>0</v>
      </c>
      <c r="Z161">
        <v>16478.009999999984</v>
      </c>
      <c r="AA161">
        <v>16590.019999999982</v>
      </c>
      <c r="AB161">
        <v>112.00999999999999</v>
      </c>
      <c r="AC161">
        <v>2508.2100000000023</v>
      </c>
      <c r="AD161">
        <v>1079.45</v>
      </c>
      <c r="AE161">
        <v>-1428.7600000000004</v>
      </c>
      <c r="AF161">
        <v>13969.800000000001</v>
      </c>
      <c r="AG161">
        <v>15510.57</v>
      </c>
      <c r="AH161">
        <v>1540.7700000000007</v>
      </c>
      <c r="AI161">
        <v>-715.68999999999971</v>
      </c>
      <c r="AJ161">
        <v>0</v>
      </c>
      <c r="AK161">
        <v>715.68999999999971</v>
      </c>
      <c r="AL161">
        <v>14685.49</v>
      </c>
      <c r="AM161">
        <v>15510.57</v>
      </c>
      <c r="AN161">
        <v>825.08000000000015</v>
      </c>
      <c r="AO161">
        <v>245</v>
      </c>
    </row>
    <row r="162" spans="1:41" x14ac:dyDescent="0.35">
      <c r="A162">
        <v>2024</v>
      </c>
      <c r="B162">
        <v>2</v>
      </c>
      <c r="C162">
        <v>8</v>
      </c>
      <c r="D162" s="14">
        <v>45346</v>
      </c>
      <c r="E162" t="s">
        <v>44</v>
      </c>
      <c r="F162" t="s">
        <v>47</v>
      </c>
      <c r="G162" t="s">
        <v>50</v>
      </c>
      <c r="H162">
        <v>25039.55</v>
      </c>
      <c r="I162">
        <v>25039.55</v>
      </c>
      <c r="J162">
        <v>0</v>
      </c>
      <c r="K162">
        <v>545.88</v>
      </c>
      <c r="L162">
        <v>545.88</v>
      </c>
      <c r="M162">
        <v>0</v>
      </c>
      <c r="N162">
        <v>1104.3300000000004</v>
      </c>
      <c r="O162">
        <v>1104.3300000000004</v>
      </c>
      <c r="P162">
        <v>0</v>
      </c>
      <c r="Q162">
        <v>-7439.2999999999993</v>
      </c>
      <c r="R162">
        <v>-7371.2999999999993</v>
      </c>
      <c r="S162">
        <v>68</v>
      </c>
      <c r="T162">
        <v>-30</v>
      </c>
      <c r="U162">
        <v>-30</v>
      </c>
      <c r="V162">
        <v>0</v>
      </c>
      <c r="W162">
        <v>-74.98</v>
      </c>
      <c r="X162">
        <v>-74.98</v>
      </c>
      <c r="Y162">
        <v>0</v>
      </c>
      <c r="Z162">
        <v>19145.479999999985</v>
      </c>
      <c r="AA162">
        <v>19213.479999999985</v>
      </c>
      <c r="AB162">
        <v>68</v>
      </c>
      <c r="AC162">
        <v>2871.9400000000051</v>
      </c>
      <c r="AD162">
        <v>1792.4900000000009</v>
      </c>
      <c r="AE162">
        <v>-1079.45</v>
      </c>
      <c r="AF162">
        <v>16273.540000000006</v>
      </c>
      <c r="AG162">
        <v>17420.989999999998</v>
      </c>
      <c r="AH162">
        <v>1147.4500000000003</v>
      </c>
      <c r="AI162">
        <v>-993.6099999999991</v>
      </c>
      <c r="AJ162">
        <v>0</v>
      </c>
      <c r="AK162">
        <v>993.6099999999991</v>
      </c>
      <c r="AL162">
        <v>17267.150000000001</v>
      </c>
      <c r="AM162">
        <v>17420.989999999998</v>
      </c>
      <c r="AN162">
        <v>153.84000000000003</v>
      </c>
      <c r="AO162">
        <v>289</v>
      </c>
    </row>
    <row r="163" spans="1:41" x14ac:dyDescent="0.35">
      <c r="A163">
        <v>2024</v>
      </c>
      <c r="B163">
        <v>2</v>
      </c>
      <c r="C163">
        <v>8</v>
      </c>
      <c r="D163" s="14">
        <v>45340</v>
      </c>
      <c r="E163" t="s">
        <v>44</v>
      </c>
      <c r="F163" t="s">
        <v>47</v>
      </c>
      <c r="G163" t="s">
        <v>51</v>
      </c>
      <c r="H163">
        <v>2958.829999999999</v>
      </c>
      <c r="I163">
        <v>2958.829999999999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-831.78</v>
      </c>
      <c r="R163">
        <v>-831.78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2127.0499999999993</v>
      </c>
      <c r="AA163">
        <v>2127.0499999999993</v>
      </c>
      <c r="AB163">
        <v>0</v>
      </c>
      <c r="AC163">
        <v>48.37</v>
      </c>
      <c r="AE163">
        <v>-48.37</v>
      </c>
      <c r="AF163">
        <v>2078.6799999999994</v>
      </c>
      <c r="AG163">
        <v>2127.0499999999993</v>
      </c>
      <c r="AH163">
        <v>48.36999999999999</v>
      </c>
      <c r="AI163">
        <v>532.84</v>
      </c>
      <c r="AJ163">
        <v>0</v>
      </c>
      <c r="AK163">
        <v>-532.84</v>
      </c>
      <c r="AL163">
        <v>1545.8400000000008</v>
      </c>
      <c r="AM163">
        <v>2127.0499999999993</v>
      </c>
      <c r="AN163">
        <v>581.21000000000015</v>
      </c>
      <c r="AO163">
        <v>49</v>
      </c>
    </row>
    <row r="164" spans="1:41" x14ac:dyDescent="0.35">
      <c r="A164">
        <v>2024</v>
      </c>
      <c r="B164">
        <v>2</v>
      </c>
      <c r="C164">
        <v>8</v>
      </c>
      <c r="D164" s="14">
        <v>45341</v>
      </c>
      <c r="E164" t="s">
        <v>44</v>
      </c>
      <c r="F164" t="s">
        <v>47</v>
      </c>
      <c r="G164" t="s">
        <v>51</v>
      </c>
      <c r="H164">
        <v>396</v>
      </c>
      <c r="I164">
        <v>396</v>
      </c>
      <c r="J164">
        <v>0</v>
      </c>
      <c r="K164">
        <v>0</v>
      </c>
      <c r="L164">
        <v>0</v>
      </c>
      <c r="M164">
        <v>0</v>
      </c>
      <c r="N164">
        <v>15.99</v>
      </c>
      <c r="O164">
        <v>15.99</v>
      </c>
      <c r="P164">
        <v>0</v>
      </c>
      <c r="Q164">
        <v>-127.8</v>
      </c>
      <c r="R164">
        <v>-127.8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284.19</v>
      </c>
      <c r="AA164">
        <v>284.19</v>
      </c>
      <c r="AB164">
        <v>0</v>
      </c>
      <c r="AE164">
        <v>0</v>
      </c>
      <c r="AF164">
        <v>284.19</v>
      </c>
      <c r="AG164">
        <v>284.19</v>
      </c>
      <c r="AH164">
        <v>0</v>
      </c>
      <c r="AI164">
        <v>7.3200000000000012</v>
      </c>
      <c r="AJ164">
        <v>0</v>
      </c>
      <c r="AK164">
        <v>-7.3200000000000012</v>
      </c>
      <c r="AL164">
        <v>276.87</v>
      </c>
      <c r="AM164">
        <v>284.19</v>
      </c>
      <c r="AN164">
        <v>7.32</v>
      </c>
      <c r="AO164">
        <v>5</v>
      </c>
    </row>
    <row r="165" spans="1:41" x14ac:dyDescent="0.35">
      <c r="A165">
        <v>2024</v>
      </c>
      <c r="B165">
        <v>2</v>
      </c>
      <c r="C165">
        <v>8</v>
      </c>
      <c r="D165" s="14">
        <v>45342</v>
      </c>
      <c r="E165" t="s">
        <v>44</v>
      </c>
      <c r="F165" t="s">
        <v>47</v>
      </c>
      <c r="G165" t="s">
        <v>51</v>
      </c>
      <c r="H165">
        <v>572</v>
      </c>
      <c r="I165">
        <v>572</v>
      </c>
      <c r="J165">
        <v>0</v>
      </c>
      <c r="K165">
        <v>0.95000000000000007</v>
      </c>
      <c r="L165">
        <v>0.95000000000000007</v>
      </c>
      <c r="M165">
        <v>0</v>
      </c>
      <c r="N165">
        <v>15.99</v>
      </c>
      <c r="O165">
        <v>15.99</v>
      </c>
      <c r="P165">
        <v>0</v>
      </c>
      <c r="Q165">
        <v>-142.4</v>
      </c>
      <c r="R165">
        <v>-142.4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446.54</v>
      </c>
      <c r="AA165">
        <v>446.54</v>
      </c>
      <c r="AB165">
        <v>0</v>
      </c>
      <c r="AE165">
        <v>0</v>
      </c>
      <c r="AF165">
        <v>446.54</v>
      </c>
      <c r="AG165">
        <v>446.54</v>
      </c>
      <c r="AH165">
        <v>0</v>
      </c>
      <c r="AI165">
        <v>51.47</v>
      </c>
      <c r="AJ165">
        <v>0</v>
      </c>
      <c r="AK165">
        <v>-51.47</v>
      </c>
      <c r="AL165">
        <v>395.07000000000005</v>
      </c>
      <c r="AM165">
        <v>446.54</v>
      </c>
      <c r="AN165">
        <v>51.469999999999978</v>
      </c>
      <c r="AO165">
        <v>9</v>
      </c>
    </row>
    <row r="166" spans="1:41" x14ac:dyDescent="0.35">
      <c r="A166">
        <v>2024</v>
      </c>
      <c r="B166">
        <v>2</v>
      </c>
      <c r="C166">
        <v>8</v>
      </c>
      <c r="D166" s="14">
        <v>45343</v>
      </c>
      <c r="E166" t="s">
        <v>44</v>
      </c>
      <c r="F166" t="s">
        <v>47</v>
      </c>
      <c r="G166" t="s">
        <v>51</v>
      </c>
      <c r="H166">
        <v>2166.0500000000002</v>
      </c>
      <c r="I166">
        <v>2166.0500000000002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-538.1</v>
      </c>
      <c r="R166">
        <v>-538.1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1627.95</v>
      </c>
      <c r="AA166">
        <v>1627.95</v>
      </c>
      <c r="AB166">
        <v>0</v>
      </c>
      <c r="AC166">
        <v>8.33</v>
      </c>
      <c r="AD166">
        <v>8.33</v>
      </c>
      <c r="AE166">
        <v>0</v>
      </c>
      <c r="AF166">
        <v>1619.62</v>
      </c>
      <c r="AG166">
        <v>1619.62</v>
      </c>
      <c r="AH166">
        <v>0</v>
      </c>
      <c r="AI166">
        <v>657.88999999999976</v>
      </c>
      <c r="AJ166">
        <v>0</v>
      </c>
      <c r="AK166">
        <v>-657.88999999999976</v>
      </c>
      <c r="AL166">
        <v>961.73000000000013</v>
      </c>
      <c r="AM166">
        <v>1619.62</v>
      </c>
      <c r="AN166">
        <v>657.88999999999987</v>
      </c>
      <c r="AO166">
        <v>41</v>
      </c>
    </row>
    <row r="167" spans="1:41" x14ac:dyDescent="0.35">
      <c r="A167">
        <v>2024</v>
      </c>
      <c r="B167">
        <v>2</v>
      </c>
      <c r="C167">
        <v>8</v>
      </c>
      <c r="D167" s="14">
        <v>45344</v>
      </c>
      <c r="E167" t="s">
        <v>44</v>
      </c>
      <c r="F167" t="s">
        <v>47</v>
      </c>
      <c r="G167" t="s">
        <v>51</v>
      </c>
      <c r="H167">
        <v>3632.7</v>
      </c>
      <c r="I167">
        <v>3632.7</v>
      </c>
      <c r="J167">
        <v>0</v>
      </c>
      <c r="K167">
        <v>20.46</v>
      </c>
      <c r="L167">
        <v>20.46</v>
      </c>
      <c r="M167">
        <v>0</v>
      </c>
      <c r="N167">
        <v>0</v>
      </c>
      <c r="O167">
        <v>0</v>
      </c>
      <c r="P167">
        <v>0</v>
      </c>
      <c r="Q167">
        <v>-1064.9999999999998</v>
      </c>
      <c r="R167">
        <v>-1064.9999999999998</v>
      </c>
      <c r="S167">
        <v>0</v>
      </c>
      <c r="T167">
        <v>-8</v>
      </c>
      <c r="U167">
        <v>-8</v>
      </c>
      <c r="V167">
        <v>0</v>
      </c>
      <c r="W167">
        <v>0</v>
      </c>
      <c r="X167">
        <v>0</v>
      </c>
      <c r="Y167">
        <v>0</v>
      </c>
      <c r="Z167">
        <v>2580.16</v>
      </c>
      <c r="AA167">
        <v>2580.16</v>
      </c>
      <c r="AB167">
        <v>0</v>
      </c>
      <c r="AC167">
        <v>114.64999999999999</v>
      </c>
      <c r="AD167">
        <v>106.32</v>
      </c>
      <c r="AE167">
        <v>-8.33</v>
      </c>
      <c r="AF167">
        <v>2465.5099999999993</v>
      </c>
      <c r="AG167">
        <v>2473.8399999999992</v>
      </c>
      <c r="AH167">
        <v>8.3299999999999983</v>
      </c>
      <c r="AI167">
        <v>671.33000000000027</v>
      </c>
      <c r="AJ167">
        <v>0</v>
      </c>
      <c r="AK167">
        <v>-671.33000000000027</v>
      </c>
      <c r="AL167">
        <v>1794.180000000001</v>
      </c>
      <c r="AM167">
        <v>2473.8399999999992</v>
      </c>
      <c r="AN167">
        <v>679.66000000000031</v>
      </c>
      <c r="AO167">
        <v>56</v>
      </c>
    </row>
    <row r="168" spans="1:41" x14ac:dyDescent="0.35">
      <c r="A168">
        <v>2024</v>
      </c>
      <c r="B168">
        <v>2</v>
      </c>
      <c r="C168">
        <v>8</v>
      </c>
      <c r="D168" s="14">
        <v>45345</v>
      </c>
      <c r="E168" t="s">
        <v>44</v>
      </c>
      <c r="F168" t="s">
        <v>47</v>
      </c>
      <c r="G168" t="s">
        <v>51</v>
      </c>
      <c r="H168">
        <v>4979.8</v>
      </c>
      <c r="I168">
        <v>4979.8</v>
      </c>
      <c r="J168">
        <v>0</v>
      </c>
      <c r="K168">
        <v>28.87</v>
      </c>
      <c r="L168">
        <v>28.87</v>
      </c>
      <c r="M168">
        <v>0</v>
      </c>
      <c r="N168">
        <v>0</v>
      </c>
      <c r="O168">
        <v>0</v>
      </c>
      <c r="P168">
        <v>0</v>
      </c>
      <c r="Q168">
        <v>-1115.6999999999998</v>
      </c>
      <c r="R168">
        <v>-1115.6999999999998</v>
      </c>
      <c r="S168">
        <v>0</v>
      </c>
      <c r="T168">
        <v>-4</v>
      </c>
      <c r="U168">
        <v>-4</v>
      </c>
      <c r="V168">
        <v>0</v>
      </c>
      <c r="W168">
        <v>0</v>
      </c>
      <c r="X168">
        <v>0</v>
      </c>
      <c r="Y168">
        <v>0</v>
      </c>
      <c r="Z168">
        <v>3888.9699999999984</v>
      </c>
      <c r="AA168">
        <v>3888.9699999999984</v>
      </c>
      <c r="AB168">
        <v>0</v>
      </c>
      <c r="AC168">
        <v>164.63000000000002</v>
      </c>
      <c r="AD168">
        <v>58.309999999999995</v>
      </c>
      <c r="AE168">
        <v>-106.32</v>
      </c>
      <c r="AF168">
        <v>3724.3399999999988</v>
      </c>
      <c r="AG168">
        <v>3830.6599999999985</v>
      </c>
      <c r="AH168">
        <v>106.32</v>
      </c>
      <c r="AI168">
        <v>708.49000000000012</v>
      </c>
      <c r="AJ168">
        <v>0</v>
      </c>
      <c r="AK168">
        <v>-708.49000000000012</v>
      </c>
      <c r="AL168">
        <v>3015.8500000000013</v>
      </c>
      <c r="AM168">
        <v>3830.6599999999985</v>
      </c>
      <c r="AN168">
        <v>814.81000000000017</v>
      </c>
      <c r="AO168">
        <v>84</v>
      </c>
    </row>
    <row r="169" spans="1:41" x14ac:dyDescent="0.35">
      <c r="A169">
        <v>2024</v>
      </c>
      <c r="B169">
        <v>2</v>
      </c>
      <c r="C169">
        <v>8</v>
      </c>
      <c r="D169" s="14">
        <v>45346</v>
      </c>
      <c r="E169" t="s">
        <v>44</v>
      </c>
      <c r="F169" t="s">
        <v>47</v>
      </c>
      <c r="G169" t="s">
        <v>51</v>
      </c>
      <c r="H169">
        <v>6574.9500000000007</v>
      </c>
      <c r="I169">
        <v>6574.9500000000007</v>
      </c>
      <c r="J169">
        <v>0</v>
      </c>
      <c r="K169">
        <v>11.41</v>
      </c>
      <c r="L169">
        <v>11.41</v>
      </c>
      <c r="M169">
        <v>0</v>
      </c>
      <c r="N169">
        <v>15.99</v>
      </c>
      <c r="O169">
        <v>15.99</v>
      </c>
      <c r="P169">
        <v>0</v>
      </c>
      <c r="Q169">
        <v>-1599.55</v>
      </c>
      <c r="R169">
        <v>-1599.55</v>
      </c>
      <c r="S169">
        <v>0</v>
      </c>
      <c r="T169">
        <v>-4</v>
      </c>
      <c r="U169">
        <v>-4</v>
      </c>
      <c r="V169">
        <v>0</v>
      </c>
      <c r="W169">
        <v>0</v>
      </c>
      <c r="X169">
        <v>0</v>
      </c>
      <c r="Y169">
        <v>0</v>
      </c>
      <c r="Z169">
        <v>4998.7999999999993</v>
      </c>
      <c r="AA169">
        <v>4998.7999999999993</v>
      </c>
      <c r="AB169">
        <v>0</v>
      </c>
      <c r="AC169">
        <v>153.54999999999998</v>
      </c>
      <c r="AD169">
        <v>95.24</v>
      </c>
      <c r="AE169">
        <v>-58.309999999999995</v>
      </c>
      <c r="AF169">
        <v>4845.25</v>
      </c>
      <c r="AG169">
        <v>4903.5599999999995</v>
      </c>
      <c r="AH169">
        <v>58.309999999999988</v>
      </c>
      <c r="AI169">
        <v>1224.8699999999997</v>
      </c>
      <c r="AJ169">
        <v>0</v>
      </c>
      <c r="AK169">
        <v>-1224.8699999999997</v>
      </c>
      <c r="AL169">
        <v>3620.38</v>
      </c>
      <c r="AM169">
        <v>4903.5599999999995</v>
      </c>
      <c r="AN169">
        <v>1283.1799999999996</v>
      </c>
      <c r="AO169">
        <v>111</v>
      </c>
    </row>
    <row r="170" spans="1:41" x14ac:dyDescent="0.35">
      <c r="A170">
        <v>2024</v>
      </c>
      <c r="B170">
        <v>2</v>
      </c>
      <c r="C170">
        <v>9</v>
      </c>
      <c r="D170" s="14">
        <v>45347</v>
      </c>
      <c r="E170" t="s">
        <v>41</v>
      </c>
      <c r="F170" t="s">
        <v>42</v>
      </c>
      <c r="G170" t="s">
        <v>43</v>
      </c>
      <c r="H170">
        <v>74978.75</v>
      </c>
      <c r="I170">
        <v>74978.75</v>
      </c>
      <c r="J170">
        <v>0</v>
      </c>
      <c r="K170">
        <v>759.91999999999939</v>
      </c>
      <c r="L170">
        <v>759.91999999999939</v>
      </c>
      <c r="M170">
        <v>0</v>
      </c>
      <c r="N170">
        <v>2036.5900000000011</v>
      </c>
      <c r="O170">
        <v>2036.5900000000011</v>
      </c>
      <c r="P170">
        <v>0</v>
      </c>
      <c r="Q170">
        <v>-7549.1</v>
      </c>
      <c r="R170">
        <v>-6896.1</v>
      </c>
      <c r="S170">
        <v>653</v>
      </c>
      <c r="T170">
        <v>-4.79</v>
      </c>
      <c r="U170">
        <v>-4.79</v>
      </c>
      <c r="V170">
        <v>0</v>
      </c>
      <c r="W170">
        <v>-68.990000000000009</v>
      </c>
      <c r="X170">
        <v>-68.990000000000009</v>
      </c>
      <c r="Y170">
        <v>0</v>
      </c>
      <c r="Z170">
        <v>70152.379999999728</v>
      </c>
      <c r="AA170">
        <v>70805.379999999743</v>
      </c>
      <c r="AB170">
        <v>653</v>
      </c>
      <c r="AC170">
        <v>16306.899999999985</v>
      </c>
      <c r="AD170">
        <v>8234.6900000000278</v>
      </c>
      <c r="AE170">
        <v>-8072.2100000000328</v>
      </c>
      <c r="AF170">
        <v>53845.480000000258</v>
      </c>
      <c r="AG170">
        <v>62570.689999999908</v>
      </c>
      <c r="AH170">
        <v>8725.2100000000282</v>
      </c>
      <c r="AI170">
        <v>-4353.7699999999913</v>
      </c>
      <c r="AJ170">
        <v>0</v>
      </c>
      <c r="AK170">
        <v>4353.7699999999913</v>
      </c>
      <c r="AL170">
        <v>58199.250000000124</v>
      </c>
      <c r="AM170">
        <v>62570.689999999908</v>
      </c>
      <c r="AN170">
        <v>4371.4400000000251</v>
      </c>
      <c r="AO170">
        <v>1312</v>
      </c>
    </row>
    <row r="171" spans="1:41" x14ac:dyDescent="0.35">
      <c r="A171">
        <v>2024</v>
      </c>
      <c r="B171">
        <v>2</v>
      </c>
      <c r="C171">
        <v>9</v>
      </c>
      <c r="D171" s="14">
        <v>45348</v>
      </c>
      <c r="E171" t="s">
        <v>41</v>
      </c>
      <c r="F171" t="s">
        <v>42</v>
      </c>
      <c r="G171" t="s">
        <v>43</v>
      </c>
      <c r="H171">
        <v>68027.75</v>
      </c>
      <c r="I171">
        <v>68027.75</v>
      </c>
      <c r="J171">
        <v>0</v>
      </c>
      <c r="K171">
        <v>787.63000000000181</v>
      </c>
      <c r="L171">
        <v>787.63000000000181</v>
      </c>
      <c r="M171">
        <v>0</v>
      </c>
      <c r="N171">
        <v>1753.7700000000009</v>
      </c>
      <c r="O171">
        <v>1753.7700000000009</v>
      </c>
      <c r="P171">
        <v>0</v>
      </c>
      <c r="Q171">
        <v>-6441.5</v>
      </c>
      <c r="R171">
        <v>-5794.5</v>
      </c>
      <c r="S171">
        <v>647</v>
      </c>
      <c r="T171">
        <v>-1.1500000000000001</v>
      </c>
      <c r="U171">
        <v>-1.1500000000000001</v>
      </c>
      <c r="V171">
        <v>0</v>
      </c>
      <c r="W171">
        <v>-75</v>
      </c>
      <c r="X171">
        <v>-75</v>
      </c>
      <c r="Y171">
        <v>0</v>
      </c>
      <c r="Z171">
        <v>64051.499999999607</v>
      </c>
      <c r="AA171">
        <v>64698.499999999607</v>
      </c>
      <c r="AB171">
        <v>647</v>
      </c>
      <c r="AC171">
        <v>14510.419999999989</v>
      </c>
      <c r="AD171">
        <v>6340.25000000002</v>
      </c>
      <c r="AE171">
        <v>-8170.1700000000283</v>
      </c>
      <c r="AF171">
        <v>49541.080000000256</v>
      </c>
      <c r="AG171">
        <v>58358.249999999927</v>
      </c>
      <c r="AH171">
        <v>8817.1700000000274</v>
      </c>
      <c r="AI171">
        <v>-3554.3199999999961</v>
      </c>
      <c r="AJ171">
        <v>0</v>
      </c>
      <c r="AK171">
        <v>3554.3199999999961</v>
      </c>
      <c r="AL171">
        <v>53095.400000000205</v>
      </c>
      <c r="AM171">
        <v>58358.249999999927</v>
      </c>
      <c r="AN171">
        <v>5262.8500000000222</v>
      </c>
      <c r="AO171">
        <v>1203</v>
      </c>
    </row>
    <row r="172" spans="1:41" x14ac:dyDescent="0.35">
      <c r="A172">
        <v>2024</v>
      </c>
      <c r="B172">
        <v>2</v>
      </c>
      <c r="C172">
        <v>9</v>
      </c>
      <c r="D172" s="14">
        <v>45349</v>
      </c>
      <c r="E172" t="s">
        <v>41</v>
      </c>
      <c r="F172" t="s">
        <v>42</v>
      </c>
      <c r="G172" t="s">
        <v>43</v>
      </c>
      <c r="H172">
        <v>67641.25</v>
      </c>
      <c r="I172">
        <v>67641.25</v>
      </c>
      <c r="J172">
        <v>0</v>
      </c>
      <c r="K172">
        <v>891.50000000000227</v>
      </c>
      <c r="L172">
        <v>891.50000000000227</v>
      </c>
      <c r="M172">
        <v>0</v>
      </c>
      <c r="N172">
        <v>1582.8700000000008</v>
      </c>
      <c r="O172">
        <v>1582.8700000000008</v>
      </c>
      <c r="P172">
        <v>0</v>
      </c>
      <c r="Q172">
        <v>-6588</v>
      </c>
      <c r="R172">
        <v>-6240</v>
      </c>
      <c r="S172">
        <v>348</v>
      </c>
      <c r="T172">
        <v>-1.0900000000000001</v>
      </c>
      <c r="U172">
        <v>-1.0900000000000001</v>
      </c>
      <c r="V172">
        <v>0</v>
      </c>
      <c r="W172">
        <v>-55</v>
      </c>
      <c r="X172">
        <v>-55</v>
      </c>
      <c r="Y172">
        <v>0</v>
      </c>
      <c r="Z172">
        <v>63471.529999999599</v>
      </c>
      <c r="AA172">
        <v>63819.529999999599</v>
      </c>
      <c r="AB172">
        <v>348</v>
      </c>
      <c r="AC172">
        <v>14853.490000000007</v>
      </c>
      <c r="AD172">
        <v>8566.5000000000273</v>
      </c>
      <c r="AE172">
        <v>-6286.990000000018</v>
      </c>
      <c r="AF172">
        <v>48618.040000000285</v>
      </c>
      <c r="AG172">
        <v>55253.030000000072</v>
      </c>
      <c r="AH172">
        <v>6634.990000000018</v>
      </c>
      <c r="AI172">
        <v>-4412.5099999999911</v>
      </c>
      <c r="AJ172">
        <v>0</v>
      </c>
      <c r="AK172">
        <v>4412.5099999999911</v>
      </c>
      <c r="AL172">
        <v>53030.550000000076</v>
      </c>
      <c r="AM172">
        <v>55253.030000000072</v>
      </c>
      <c r="AN172">
        <v>2222.4800000000055</v>
      </c>
      <c r="AO172">
        <v>1189</v>
      </c>
    </row>
    <row r="173" spans="1:41" x14ac:dyDescent="0.35">
      <c r="A173">
        <v>2024</v>
      </c>
      <c r="B173">
        <v>2</v>
      </c>
      <c r="C173">
        <v>9</v>
      </c>
      <c r="D173" s="14">
        <v>45350</v>
      </c>
      <c r="E173" t="s">
        <v>41</v>
      </c>
      <c r="F173" t="s">
        <v>42</v>
      </c>
      <c r="G173" t="s">
        <v>43</v>
      </c>
      <c r="H173">
        <v>33635.75</v>
      </c>
      <c r="I173">
        <v>33635.75</v>
      </c>
      <c r="J173">
        <v>0</v>
      </c>
      <c r="K173">
        <v>430.39999999999878</v>
      </c>
      <c r="L173">
        <v>430.39999999999878</v>
      </c>
      <c r="M173">
        <v>0</v>
      </c>
      <c r="N173">
        <v>748.46000000000038</v>
      </c>
      <c r="O173">
        <v>735.47000000000037</v>
      </c>
      <c r="P173">
        <v>-12.99</v>
      </c>
      <c r="Q173">
        <v>-3438</v>
      </c>
      <c r="R173">
        <v>-2795</v>
      </c>
      <c r="S173">
        <v>643</v>
      </c>
      <c r="T173">
        <v>-0.14000000000000001</v>
      </c>
      <c r="U173">
        <v>-0.14000000000000001</v>
      </c>
      <c r="V173">
        <v>0</v>
      </c>
      <c r="W173">
        <v>-15</v>
      </c>
      <c r="X173">
        <v>-15</v>
      </c>
      <c r="Y173">
        <v>0</v>
      </c>
      <c r="Z173">
        <v>31361.469999999907</v>
      </c>
      <c r="AA173">
        <v>31991.479999999905</v>
      </c>
      <c r="AB173">
        <v>630.01</v>
      </c>
      <c r="AC173">
        <v>8910.9600000000228</v>
      </c>
      <c r="AD173">
        <v>445.73</v>
      </c>
      <c r="AE173">
        <v>-8465.230000000025</v>
      </c>
      <c r="AF173">
        <v>22450.510000000097</v>
      </c>
      <c r="AG173">
        <v>31545.749999999913</v>
      </c>
      <c r="AH173">
        <v>9095.2400000000198</v>
      </c>
      <c r="AI173">
        <v>-187.7</v>
      </c>
      <c r="AJ173">
        <v>0</v>
      </c>
      <c r="AK173">
        <v>187.7</v>
      </c>
      <c r="AL173">
        <v>22638.210000000097</v>
      </c>
      <c r="AM173">
        <v>31545.749999999913</v>
      </c>
      <c r="AN173">
        <v>8907.5400000000209</v>
      </c>
      <c r="AO173">
        <v>596</v>
      </c>
    </row>
    <row r="174" spans="1:41" x14ac:dyDescent="0.35">
      <c r="A174">
        <v>2024</v>
      </c>
      <c r="B174">
        <v>2</v>
      </c>
      <c r="C174">
        <v>9</v>
      </c>
      <c r="D174" s="14">
        <v>45351</v>
      </c>
      <c r="E174" t="s">
        <v>41</v>
      </c>
      <c r="F174" t="s">
        <v>42</v>
      </c>
      <c r="G174" t="s">
        <v>43</v>
      </c>
      <c r="H174">
        <v>41607.75</v>
      </c>
      <c r="I174">
        <v>41607.75</v>
      </c>
      <c r="J174">
        <v>0</v>
      </c>
      <c r="K174">
        <v>547.31999999999857</v>
      </c>
      <c r="L174">
        <v>547.31999999999857</v>
      </c>
      <c r="M174">
        <v>0</v>
      </c>
      <c r="N174">
        <v>1117.1700000000005</v>
      </c>
      <c r="O174">
        <v>1117.1700000000005</v>
      </c>
      <c r="P174">
        <v>0</v>
      </c>
      <c r="Q174">
        <v>-3987.88</v>
      </c>
      <c r="R174">
        <v>-3767.88</v>
      </c>
      <c r="S174">
        <v>220</v>
      </c>
      <c r="T174">
        <v>0</v>
      </c>
      <c r="U174">
        <v>0</v>
      </c>
      <c r="V174">
        <v>0</v>
      </c>
      <c r="W174">
        <v>-40</v>
      </c>
      <c r="X174">
        <v>-40</v>
      </c>
      <c r="Y174">
        <v>0</v>
      </c>
      <c r="Z174">
        <v>39244.359999999884</v>
      </c>
      <c r="AA174">
        <v>39464.359999999877</v>
      </c>
      <c r="AB174">
        <v>220</v>
      </c>
      <c r="AC174">
        <v>10026.640000000016</v>
      </c>
      <c r="AD174">
        <v>9580.910000000018</v>
      </c>
      <c r="AE174">
        <v>-445.72999999999996</v>
      </c>
      <c r="AF174">
        <v>29217.720000000081</v>
      </c>
      <c r="AG174">
        <v>29883.450000000077</v>
      </c>
      <c r="AH174">
        <v>665.73</v>
      </c>
      <c r="AI174">
        <v>-4907.51</v>
      </c>
      <c r="AJ174">
        <v>0</v>
      </c>
      <c r="AK174">
        <v>4907.51</v>
      </c>
      <c r="AL174">
        <v>34125.230000000032</v>
      </c>
      <c r="AM174">
        <v>29883.450000000077</v>
      </c>
      <c r="AN174">
        <v>-4241.7800000000016</v>
      </c>
      <c r="AO174">
        <v>726</v>
      </c>
    </row>
    <row r="175" spans="1:41" x14ac:dyDescent="0.35">
      <c r="A175">
        <v>2024</v>
      </c>
      <c r="B175">
        <v>2</v>
      </c>
      <c r="C175">
        <v>9</v>
      </c>
      <c r="D175" s="14">
        <v>45347</v>
      </c>
      <c r="E175" t="s">
        <v>44</v>
      </c>
      <c r="F175" t="s">
        <v>42</v>
      </c>
      <c r="G175" t="s">
        <v>45</v>
      </c>
      <c r="H175">
        <v>129275.5</v>
      </c>
      <c r="I175">
        <v>129275.5</v>
      </c>
      <c r="J175">
        <v>0</v>
      </c>
      <c r="K175">
        <v>1061.0100000000068</v>
      </c>
      <c r="L175">
        <v>1061.0100000000068</v>
      </c>
      <c r="M175">
        <v>0</v>
      </c>
      <c r="N175">
        <v>6480.9099999999398</v>
      </c>
      <c r="O175">
        <v>6480.9099999999398</v>
      </c>
      <c r="P175">
        <v>0</v>
      </c>
      <c r="Q175">
        <v>-24755.42</v>
      </c>
      <c r="R175">
        <v>-24315.42</v>
      </c>
      <c r="S175">
        <v>440</v>
      </c>
      <c r="T175">
        <v>-5.5200000000000005</v>
      </c>
      <c r="U175">
        <v>-5.5200000000000005</v>
      </c>
      <c r="V175">
        <v>0</v>
      </c>
      <c r="W175">
        <v>-117.26999999999998</v>
      </c>
      <c r="X175">
        <v>-117.26999999999998</v>
      </c>
      <c r="Y175">
        <v>0</v>
      </c>
      <c r="Z175">
        <v>111939.2100000007</v>
      </c>
      <c r="AA175">
        <v>112379.21000000072</v>
      </c>
      <c r="AB175">
        <v>440</v>
      </c>
      <c r="AC175">
        <v>16508.489999999874</v>
      </c>
      <c r="AD175">
        <v>7680.7800000000361</v>
      </c>
      <c r="AE175">
        <v>-8827.7100000000264</v>
      </c>
      <c r="AF175">
        <v>95430.720000000612</v>
      </c>
      <c r="AG175">
        <v>104698.43000000059</v>
      </c>
      <c r="AH175">
        <v>9267.7100000000137</v>
      </c>
      <c r="AI175">
        <v>-4366.670000000001</v>
      </c>
      <c r="AJ175">
        <v>0</v>
      </c>
      <c r="AK175">
        <v>4366.670000000001</v>
      </c>
      <c r="AL175">
        <v>99797.390000000116</v>
      </c>
      <c r="AM175">
        <v>104698.43000000059</v>
      </c>
      <c r="AN175">
        <v>4901.0400000000236</v>
      </c>
      <c r="AO175">
        <v>1634</v>
      </c>
    </row>
    <row r="176" spans="1:41" x14ac:dyDescent="0.35">
      <c r="A176">
        <v>2024</v>
      </c>
      <c r="B176">
        <v>2</v>
      </c>
      <c r="C176">
        <v>9</v>
      </c>
      <c r="D176" s="14">
        <v>45348</v>
      </c>
      <c r="E176" t="s">
        <v>44</v>
      </c>
      <c r="F176" t="s">
        <v>42</v>
      </c>
      <c r="G176" t="s">
        <v>45</v>
      </c>
      <c r="H176">
        <v>98115.43</v>
      </c>
      <c r="I176">
        <v>98115.43</v>
      </c>
      <c r="J176">
        <v>0</v>
      </c>
      <c r="K176">
        <v>690.0900000000006</v>
      </c>
      <c r="L176">
        <v>690.0900000000006</v>
      </c>
      <c r="M176">
        <v>0</v>
      </c>
      <c r="N176">
        <v>4452.1799999999675</v>
      </c>
      <c r="O176">
        <v>4452.1799999999675</v>
      </c>
      <c r="P176">
        <v>0</v>
      </c>
      <c r="Q176">
        <v>-18690.349999999999</v>
      </c>
      <c r="R176">
        <v>-18291.349999999999</v>
      </c>
      <c r="S176">
        <v>399</v>
      </c>
      <c r="T176">
        <v>-4.28</v>
      </c>
      <c r="U176">
        <v>-4.28</v>
      </c>
      <c r="V176">
        <v>0</v>
      </c>
      <c r="W176">
        <v>-77.599999999999994</v>
      </c>
      <c r="X176">
        <v>-77.599999999999994</v>
      </c>
      <c r="Y176">
        <v>0</v>
      </c>
      <c r="Z176">
        <v>84485.470000000118</v>
      </c>
      <c r="AA176">
        <v>84884.470000000132</v>
      </c>
      <c r="AB176">
        <v>399</v>
      </c>
      <c r="AC176">
        <v>12777.879999999945</v>
      </c>
      <c r="AD176">
        <v>5197.0900000000192</v>
      </c>
      <c r="AE176">
        <v>-7580.7900000000345</v>
      </c>
      <c r="AF176">
        <v>71707.590000000506</v>
      </c>
      <c r="AG176">
        <v>79687.38000000015</v>
      </c>
      <c r="AH176">
        <v>7979.7900000000354</v>
      </c>
      <c r="AI176">
        <v>-3034.8500000000013</v>
      </c>
      <c r="AJ176">
        <v>-8.0500000000000007</v>
      </c>
      <c r="AK176">
        <v>3026.8000000000015</v>
      </c>
      <c r="AL176">
        <v>74742.440000000192</v>
      </c>
      <c r="AM176">
        <v>79695.430000000153</v>
      </c>
      <c r="AN176">
        <v>4952.9900000000252</v>
      </c>
      <c r="AO176">
        <v>1240</v>
      </c>
    </row>
    <row r="177" spans="1:41" x14ac:dyDescent="0.35">
      <c r="A177">
        <v>2024</v>
      </c>
      <c r="B177">
        <v>2</v>
      </c>
      <c r="C177">
        <v>9</v>
      </c>
      <c r="D177" s="14">
        <v>45349</v>
      </c>
      <c r="E177" t="s">
        <v>44</v>
      </c>
      <c r="F177" t="s">
        <v>42</v>
      </c>
      <c r="G177" t="s">
        <v>45</v>
      </c>
      <c r="H177">
        <v>96775.680000000008</v>
      </c>
      <c r="I177">
        <v>96775.680000000008</v>
      </c>
      <c r="J177">
        <v>0</v>
      </c>
      <c r="K177">
        <v>774.72000000000071</v>
      </c>
      <c r="L177">
        <v>774.72000000000071</v>
      </c>
      <c r="M177">
        <v>0</v>
      </c>
      <c r="N177">
        <v>4251.2599999999702</v>
      </c>
      <c r="O177">
        <v>4251.2599999999702</v>
      </c>
      <c r="P177">
        <v>0</v>
      </c>
      <c r="Q177">
        <v>-17756.78</v>
      </c>
      <c r="R177">
        <v>-17509.78</v>
      </c>
      <c r="S177">
        <v>247</v>
      </c>
      <c r="T177">
        <v>-6.1500000000000012</v>
      </c>
      <c r="U177">
        <v>-6.1500000000000012</v>
      </c>
      <c r="V177">
        <v>0</v>
      </c>
      <c r="W177">
        <v>-93.5</v>
      </c>
      <c r="X177">
        <v>-93.5</v>
      </c>
      <c r="Y177">
        <v>0</v>
      </c>
      <c r="Z177">
        <v>83945.230000000025</v>
      </c>
      <c r="AA177">
        <v>84192.23000000004</v>
      </c>
      <c r="AB177">
        <v>247</v>
      </c>
      <c r="AC177">
        <v>11828.559999999978</v>
      </c>
      <c r="AD177">
        <v>6784.9800000000278</v>
      </c>
      <c r="AE177">
        <v>-5043.5800000000172</v>
      </c>
      <c r="AF177">
        <v>72116.670000000347</v>
      </c>
      <c r="AG177">
        <v>77407.250000000015</v>
      </c>
      <c r="AH177">
        <v>5290.5800000000172</v>
      </c>
      <c r="AI177">
        <v>-3772.2100000000028</v>
      </c>
      <c r="AJ177">
        <v>0</v>
      </c>
      <c r="AK177">
        <v>3772.2100000000028</v>
      </c>
      <c r="AL177">
        <v>75888.880000000077</v>
      </c>
      <c r="AM177">
        <v>77407.250000000015</v>
      </c>
      <c r="AN177">
        <v>1518.3700000000017</v>
      </c>
      <c r="AO177">
        <v>1251</v>
      </c>
    </row>
    <row r="178" spans="1:41" x14ac:dyDescent="0.35">
      <c r="A178">
        <v>2024</v>
      </c>
      <c r="B178">
        <v>2</v>
      </c>
      <c r="C178">
        <v>9</v>
      </c>
      <c r="D178" s="14">
        <v>45350</v>
      </c>
      <c r="E178" t="s">
        <v>44</v>
      </c>
      <c r="F178" t="s">
        <v>42</v>
      </c>
      <c r="G178" t="s">
        <v>45</v>
      </c>
      <c r="H178">
        <v>40603.25</v>
      </c>
      <c r="I178">
        <v>40603.25</v>
      </c>
      <c r="J178">
        <v>0</v>
      </c>
      <c r="K178">
        <v>358.27999999999986</v>
      </c>
      <c r="L178">
        <v>358.27999999999986</v>
      </c>
      <c r="M178">
        <v>0</v>
      </c>
      <c r="N178">
        <v>1704.8800000000008</v>
      </c>
      <c r="O178">
        <v>1704.8800000000008</v>
      </c>
      <c r="P178">
        <v>0</v>
      </c>
      <c r="Q178">
        <v>-7835.8499999999995</v>
      </c>
      <c r="R178">
        <v>-7395.8499999999995</v>
      </c>
      <c r="S178">
        <v>440</v>
      </c>
      <c r="T178">
        <v>-5.86</v>
      </c>
      <c r="U178">
        <v>-5.86</v>
      </c>
      <c r="V178">
        <v>0</v>
      </c>
      <c r="W178">
        <v>-29.5</v>
      </c>
      <c r="X178">
        <v>-29.5</v>
      </c>
      <c r="Y178">
        <v>0</v>
      </c>
      <c r="Z178">
        <v>34795.19999999999</v>
      </c>
      <c r="AA178">
        <v>35235.199999999983</v>
      </c>
      <c r="AB178">
        <v>440</v>
      </c>
      <c r="AC178">
        <v>7098.840000000032</v>
      </c>
      <c r="AD178">
        <v>423.13000000000005</v>
      </c>
      <c r="AE178">
        <v>-6675.7100000000273</v>
      </c>
      <c r="AF178">
        <v>27696.360000000095</v>
      </c>
      <c r="AG178">
        <v>34812.07</v>
      </c>
      <c r="AH178">
        <v>7115.7100000000282</v>
      </c>
      <c r="AI178">
        <v>-245.5</v>
      </c>
      <c r="AJ178">
        <v>0</v>
      </c>
      <c r="AK178">
        <v>245.5</v>
      </c>
      <c r="AL178">
        <v>27941.860000000095</v>
      </c>
      <c r="AM178">
        <v>34812.07</v>
      </c>
      <c r="AN178">
        <v>6870.2100000000273</v>
      </c>
      <c r="AO178">
        <v>556</v>
      </c>
    </row>
    <row r="179" spans="1:41" x14ac:dyDescent="0.35">
      <c r="A179">
        <v>2024</v>
      </c>
      <c r="B179">
        <v>2</v>
      </c>
      <c r="C179">
        <v>9</v>
      </c>
      <c r="D179" s="14">
        <v>45351</v>
      </c>
      <c r="E179" t="s">
        <v>44</v>
      </c>
      <c r="F179" t="s">
        <v>42</v>
      </c>
      <c r="G179" t="s">
        <v>45</v>
      </c>
      <c r="H179">
        <v>69366</v>
      </c>
      <c r="I179">
        <v>69366</v>
      </c>
      <c r="J179">
        <v>0</v>
      </c>
      <c r="K179">
        <v>603.41999999999894</v>
      </c>
      <c r="L179">
        <v>603.41999999999894</v>
      </c>
      <c r="M179">
        <v>0</v>
      </c>
      <c r="N179">
        <v>3606.6999999999794</v>
      </c>
      <c r="O179">
        <v>3606.6999999999794</v>
      </c>
      <c r="P179">
        <v>0</v>
      </c>
      <c r="Q179">
        <v>-12403.46</v>
      </c>
      <c r="R179">
        <v>-12383.46</v>
      </c>
      <c r="S179">
        <v>20</v>
      </c>
      <c r="T179">
        <v>-3.5</v>
      </c>
      <c r="U179">
        <v>-3.5</v>
      </c>
      <c r="V179">
        <v>0</v>
      </c>
      <c r="W179">
        <v>-93.2</v>
      </c>
      <c r="X179">
        <v>-93.2</v>
      </c>
      <c r="Y179">
        <v>0</v>
      </c>
      <c r="Z179">
        <v>61075.959999999774</v>
      </c>
      <c r="AA179">
        <v>61095.959999999774</v>
      </c>
      <c r="AB179">
        <v>20</v>
      </c>
      <c r="AC179">
        <v>7418.8100000000341</v>
      </c>
      <c r="AD179">
        <v>6995.6800000000312</v>
      </c>
      <c r="AE179">
        <v>-423.13000000000005</v>
      </c>
      <c r="AF179">
        <v>53657.150000000198</v>
      </c>
      <c r="AG179">
        <v>54100.280000000188</v>
      </c>
      <c r="AH179">
        <v>443.13</v>
      </c>
      <c r="AI179">
        <v>-3848.9999999999941</v>
      </c>
      <c r="AJ179">
        <v>0</v>
      </c>
      <c r="AK179">
        <v>3848.9999999999941</v>
      </c>
      <c r="AL179">
        <v>57506.150000000031</v>
      </c>
      <c r="AM179">
        <v>54100.280000000188</v>
      </c>
      <c r="AN179">
        <v>-3405.8699999999958</v>
      </c>
      <c r="AO179">
        <v>886</v>
      </c>
    </row>
    <row r="180" spans="1:41" x14ac:dyDescent="0.35">
      <c r="A180">
        <v>2024</v>
      </c>
      <c r="B180">
        <v>2</v>
      </c>
      <c r="C180">
        <v>9</v>
      </c>
      <c r="D180" s="14">
        <v>45347</v>
      </c>
      <c r="E180" t="s">
        <v>44</v>
      </c>
      <c r="F180" t="s">
        <v>42</v>
      </c>
      <c r="G180" t="s">
        <v>46</v>
      </c>
      <c r="H180">
        <v>52664.200000000033</v>
      </c>
      <c r="I180">
        <v>52664.200000000033</v>
      </c>
      <c r="J180">
        <v>0</v>
      </c>
      <c r="K180">
        <v>213.65999999999991</v>
      </c>
      <c r="L180">
        <v>213.65999999999991</v>
      </c>
      <c r="M180">
        <v>0</v>
      </c>
      <c r="N180">
        <v>1618.0100000000007</v>
      </c>
      <c r="O180">
        <v>1618.0100000000007</v>
      </c>
      <c r="P180">
        <v>0</v>
      </c>
      <c r="Q180">
        <v>-19329.680000000018</v>
      </c>
      <c r="R180">
        <v>-18907.680000000018</v>
      </c>
      <c r="S180">
        <v>422</v>
      </c>
      <c r="T180">
        <v>0</v>
      </c>
      <c r="U180">
        <v>0</v>
      </c>
      <c r="V180">
        <v>0</v>
      </c>
      <c r="W180">
        <v>-10</v>
      </c>
      <c r="X180">
        <v>-10</v>
      </c>
      <c r="Y180">
        <v>0</v>
      </c>
      <c r="Z180">
        <v>35156.19000000001</v>
      </c>
      <c r="AA180">
        <v>35578.19</v>
      </c>
      <c r="AB180">
        <v>422</v>
      </c>
      <c r="AC180">
        <v>7780.090000000032</v>
      </c>
      <c r="AD180">
        <v>3130.6900000000078</v>
      </c>
      <c r="AE180">
        <v>-4649.4000000000142</v>
      </c>
      <c r="AF180">
        <v>27376.100000000079</v>
      </c>
      <c r="AG180">
        <v>32447.500000000065</v>
      </c>
      <c r="AH180">
        <v>5071.4000000000142</v>
      </c>
      <c r="AI180">
        <v>-1657.2299999999991</v>
      </c>
      <c r="AJ180">
        <v>0</v>
      </c>
      <c r="AK180">
        <v>1657.2299999999991</v>
      </c>
      <c r="AL180">
        <v>29033.330000000053</v>
      </c>
      <c r="AM180">
        <v>32447.500000000065</v>
      </c>
      <c r="AN180">
        <v>3414.1700000000101</v>
      </c>
      <c r="AO180">
        <v>608</v>
      </c>
    </row>
    <row r="181" spans="1:41" x14ac:dyDescent="0.35">
      <c r="A181">
        <v>2024</v>
      </c>
      <c r="B181">
        <v>2</v>
      </c>
      <c r="C181">
        <v>9</v>
      </c>
      <c r="D181" s="14">
        <v>45348</v>
      </c>
      <c r="E181" t="s">
        <v>44</v>
      </c>
      <c r="F181" t="s">
        <v>42</v>
      </c>
      <c r="G181" t="s">
        <v>46</v>
      </c>
      <c r="H181">
        <v>35372.590000000011</v>
      </c>
      <c r="I181">
        <v>35372.590000000011</v>
      </c>
      <c r="J181">
        <v>0</v>
      </c>
      <c r="K181">
        <v>189.89999999999989</v>
      </c>
      <c r="L181">
        <v>189.89999999999989</v>
      </c>
      <c r="M181">
        <v>0</v>
      </c>
      <c r="N181">
        <v>1012.3700000000005</v>
      </c>
      <c r="O181">
        <v>993.38000000000045</v>
      </c>
      <c r="P181">
        <v>-18.990000000000002</v>
      </c>
      <c r="Q181">
        <v>-12761.880000000005</v>
      </c>
      <c r="R181">
        <v>-12336.880000000003</v>
      </c>
      <c r="S181">
        <v>425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23812.980000000003</v>
      </c>
      <c r="AA181">
        <v>24218.990000000005</v>
      </c>
      <c r="AB181">
        <v>406.01</v>
      </c>
      <c r="AC181">
        <v>4920.2400000000134</v>
      </c>
      <c r="AD181">
        <v>1784.5100000000002</v>
      </c>
      <c r="AE181">
        <v>-3135.7300000000064</v>
      </c>
      <c r="AF181">
        <v>18892.740000000016</v>
      </c>
      <c r="AG181">
        <v>22434.480000000014</v>
      </c>
      <c r="AH181">
        <v>3541.7400000000075</v>
      </c>
      <c r="AI181">
        <v>-1005.1700000000003</v>
      </c>
      <c r="AJ181">
        <v>0</v>
      </c>
      <c r="AK181">
        <v>1005.1700000000003</v>
      </c>
      <c r="AL181">
        <v>19897.910000000022</v>
      </c>
      <c r="AM181">
        <v>22434.480000000014</v>
      </c>
      <c r="AN181">
        <v>2536.5700000000056</v>
      </c>
      <c r="AO181">
        <v>409</v>
      </c>
    </row>
    <row r="182" spans="1:41" x14ac:dyDescent="0.35">
      <c r="A182">
        <v>2024</v>
      </c>
      <c r="B182">
        <v>2</v>
      </c>
      <c r="C182">
        <v>9</v>
      </c>
      <c r="D182" s="14">
        <v>45349</v>
      </c>
      <c r="E182" t="s">
        <v>44</v>
      </c>
      <c r="F182" t="s">
        <v>42</v>
      </c>
      <c r="G182" t="s">
        <v>46</v>
      </c>
      <c r="H182">
        <v>39768.890000000021</v>
      </c>
      <c r="I182">
        <v>39768.890000000021</v>
      </c>
      <c r="J182">
        <v>0</v>
      </c>
      <c r="K182">
        <v>368.52999999999957</v>
      </c>
      <c r="L182">
        <v>393.52999999999957</v>
      </c>
      <c r="M182">
        <v>25</v>
      </c>
      <c r="N182">
        <v>1025.3700000000003</v>
      </c>
      <c r="O182">
        <v>1009.3800000000005</v>
      </c>
      <c r="P182">
        <v>-15.99</v>
      </c>
      <c r="Q182">
        <v>-13842.280000000015</v>
      </c>
      <c r="R182">
        <v>-13536.280000000015</v>
      </c>
      <c r="S182">
        <v>306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27320.510000000028</v>
      </c>
      <c r="AA182">
        <v>27635.520000000026</v>
      </c>
      <c r="AB182">
        <v>315.01</v>
      </c>
      <c r="AC182">
        <v>5464.7800000000179</v>
      </c>
      <c r="AD182">
        <v>3716.0300000000079</v>
      </c>
      <c r="AE182">
        <v>-1748.7499999999995</v>
      </c>
      <c r="AF182">
        <v>21855.73000000005</v>
      </c>
      <c r="AG182">
        <v>23919.490000000042</v>
      </c>
      <c r="AH182">
        <v>2063.7599999999998</v>
      </c>
      <c r="AI182">
        <v>-1154.17</v>
      </c>
      <c r="AJ182">
        <v>0</v>
      </c>
      <c r="AK182">
        <v>1154.17</v>
      </c>
      <c r="AL182">
        <v>23009.900000000056</v>
      </c>
      <c r="AM182">
        <v>23919.490000000042</v>
      </c>
      <c r="AN182">
        <v>909.58999999999969</v>
      </c>
      <c r="AO182">
        <v>487</v>
      </c>
    </row>
    <row r="183" spans="1:41" x14ac:dyDescent="0.35">
      <c r="A183">
        <v>2024</v>
      </c>
      <c r="B183">
        <v>2</v>
      </c>
      <c r="C183">
        <v>9</v>
      </c>
      <c r="D183" s="14">
        <v>45350</v>
      </c>
      <c r="E183" t="s">
        <v>44</v>
      </c>
      <c r="F183" t="s">
        <v>42</v>
      </c>
      <c r="G183" t="s">
        <v>46</v>
      </c>
      <c r="H183">
        <v>22975.12000000001</v>
      </c>
      <c r="I183">
        <v>22975.12000000001</v>
      </c>
      <c r="J183">
        <v>0</v>
      </c>
      <c r="K183">
        <v>125.31999999999982</v>
      </c>
      <c r="L183">
        <v>125.31999999999982</v>
      </c>
      <c r="M183">
        <v>0</v>
      </c>
      <c r="N183">
        <v>568.6500000000002</v>
      </c>
      <c r="O183">
        <v>568.6500000000002</v>
      </c>
      <c r="P183">
        <v>0</v>
      </c>
      <c r="Q183">
        <v>-8535.8000000000102</v>
      </c>
      <c r="R183">
        <v>-8171.8000000000129</v>
      </c>
      <c r="S183">
        <v>364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15133.289999999986</v>
      </c>
      <c r="AA183">
        <v>15497.289999999986</v>
      </c>
      <c r="AB183">
        <v>364</v>
      </c>
      <c r="AC183">
        <v>3857.370000000009</v>
      </c>
      <c r="AD183">
        <v>210.26000000000002</v>
      </c>
      <c r="AE183">
        <v>-3647.1100000000074</v>
      </c>
      <c r="AF183">
        <v>11275.92</v>
      </c>
      <c r="AG183">
        <v>15287.029999999986</v>
      </c>
      <c r="AH183">
        <v>4011.1100000000088</v>
      </c>
      <c r="AI183">
        <v>-70.550000000000011</v>
      </c>
      <c r="AJ183">
        <v>0</v>
      </c>
      <c r="AK183">
        <v>70.550000000000011</v>
      </c>
      <c r="AL183">
        <v>11346.47</v>
      </c>
      <c r="AM183">
        <v>15287.029999999986</v>
      </c>
      <c r="AN183">
        <v>3940.5600000000081</v>
      </c>
      <c r="AO183">
        <v>270</v>
      </c>
    </row>
    <row r="184" spans="1:41" x14ac:dyDescent="0.35">
      <c r="A184">
        <v>2024</v>
      </c>
      <c r="B184">
        <v>2</v>
      </c>
      <c r="C184">
        <v>9</v>
      </c>
      <c r="D184" s="14">
        <v>45351</v>
      </c>
      <c r="E184" t="s">
        <v>44</v>
      </c>
      <c r="F184" t="s">
        <v>42</v>
      </c>
      <c r="G184" t="s">
        <v>46</v>
      </c>
      <c r="H184">
        <v>27380.350000000009</v>
      </c>
      <c r="I184">
        <v>27380.350000000009</v>
      </c>
      <c r="J184">
        <v>0</v>
      </c>
      <c r="K184">
        <v>304.43999999999994</v>
      </c>
      <c r="L184">
        <v>304.43999999999994</v>
      </c>
      <c r="M184">
        <v>0</v>
      </c>
      <c r="N184">
        <v>679.58000000000027</v>
      </c>
      <c r="O184">
        <v>679.58000000000027</v>
      </c>
      <c r="P184">
        <v>0</v>
      </c>
      <c r="Q184">
        <v>-9578.2300000000014</v>
      </c>
      <c r="R184">
        <v>-9568.2300000000014</v>
      </c>
      <c r="S184">
        <v>10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18786.139999999992</v>
      </c>
      <c r="AA184">
        <v>18796.139999999992</v>
      </c>
      <c r="AB184">
        <v>10</v>
      </c>
      <c r="AC184">
        <v>3768.0300000000093</v>
      </c>
      <c r="AD184">
        <v>3557.7700000000086</v>
      </c>
      <c r="AE184">
        <v>-210.26000000000005</v>
      </c>
      <c r="AF184">
        <v>15018.110000000017</v>
      </c>
      <c r="AG184">
        <v>15238.370000000015</v>
      </c>
      <c r="AH184">
        <v>220.26</v>
      </c>
      <c r="AI184">
        <v>-1284.6799999999996</v>
      </c>
      <c r="AJ184">
        <v>0</v>
      </c>
      <c r="AK184">
        <v>1284.6799999999996</v>
      </c>
      <c r="AL184">
        <v>16302.790000000006</v>
      </c>
      <c r="AM184">
        <v>15238.370000000015</v>
      </c>
      <c r="AN184">
        <v>-1064.4200000000008</v>
      </c>
      <c r="AO184">
        <v>339</v>
      </c>
    </row>
    <row r="185" spans="1:41" x14ac:dyDescent="0.35">
      <c r="A185">
        <v>2024</v>
      </c>
      <c r="B185">
        <v>2</v>
      </c>
      <c r="C185">
        <v>9</v>
      </c>
      <c r="D185" s="14">
        <v>45347</v>
      </c>
      <c r="E185" t="s">
        <v>44</v>
      </c>
      <c r="F185" t="s">
        <v>47</v>
      </c>
      <c r="G185" t="s">
        <v>48</v>
      </c>
      <c r="H185">
        <v>11768.619999999999</v>
      </c>
      <c r="I185">
        <v>11768.619999999999</v>
      </c>
      <c r="J185">
        <v>0</v>
      </c>
      <c r="K185">
        <v>432.9</v>
      </c>
      <c r="L185">
        <v>432.9</v>
      </c>
      <c r="M185">
        <v>0</v>
      </c>
      <c r="N185">
        <v>18.990000000000002</v>
      </c>
      <c r="O185">
        <v>18.990000000000002</v>
      </c>
      <c r="P185">
        <v>0</v>
      </c>
      <c r="Q185">
        <v>-3677.2699999999991</v>
      </c>
      <c r="R185">
        <v>-3677.2699999999991</v>
      </c>
      <c r="S185">
        <v>0</v>
      </c>
      <c r="T185">
        <v>-196.5</v>
      </c>
      <c r="U185">
        <v>-196.5</v>
      </c>
      <c r="V185">
        <v>0</v>
      </c>
      <c r="W185">
        <v>0</v>
      </c>
      <c r="X185">
        <v>0</v>
      </c>
      <c r="Y185">
        <v>0</v>
      </c>
      <c r="Z185">
        <v>8346.739999999998</v>
      </c>
      <c r="AA185">
        <v>8346.739999999998</v>
      </c>
      <c r="AB185">
        <v>0</v>
      </c>
      <c r="AC185">
        <v>39.549999999999997</v>
      </c>
      <c r="AD185">
        <v>23.38</v>
      </c>
      <c r="AE185">
        <v>-16.170000000000002</v>
      </c>
      <c r="AF185">
        <v>8307.1899999999987</v>
      </c>
      <c r="AG185">
        <v>8323.36</v>
      </c>
      <c r="AH185">
        <v>16.170000000000002</v>
      </c>
      <c r="AI185">
        <v>2638.24</v>
      </c>
      <c r="AJ185">
        <v>0</v>
      </c>
      <c r="AK185">
        <v>-2638.24</v>
      </c>
      <c r="AL185">
        <v>5668.9499999999907</v>
      </c>
      <c r="AM185">
        <v>8323.36</v>
      </c>
      <c r="AN185">
        <v>2654.4099999999994</v>
      </c>
      <c r="AO185">
        <v>165</v>
      </c>
    </row>
    <row r="186" spans="1:41" x14ac:dyDescent="0.35">
      <c r="A186">
        <v>2024</v>
      </c>
      <c r="B186">
        <v>2</v>
      </c>
      <c r="C186">
        <v>9</v>
      </c>
      <c r="D186" s="14">
        <v>45348</v>
      </c>
      <c r="E186" t="s">
        <v>44</v>
      </c>
      <c r="F186" t="s">
        <v>47</v>
      </c>
      <c r="G186" t="s">
        <v>48</v>
      </c>
      <c r="H186">
        <v>194.57</v>
      </c>
      <c r="I186">
        <v>194.57</v>
      </c>
      <c r="J186">
        <v>0</v>
      </c>
      <c r="K186">
        <v>0.95000000000000007</v>
      </c>
      <c r="L186">
        <v>0.95000000000000007</v>
      </c>
      <c r="M186">
        <v>0</v>
      </c>
      <c r="N186">
        <v>0</v>
      </c>
      <c r="O186">
        <v>0</v>
      </c>
      <c r="P186">
        <v>0</v>
      </c>
      <c r="Q186">
        <v>-34.57</v>
      </c>
      <c r="R186">
        <v>-34.57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160.94999999999999</v>
      </c>
      <c r="AA186">
        <v>160.94999999999999</v>
      </c>
      <c r="AB186">
        <v>0</v>
      </c>
      <c r="AC186">
        <v>23.38</v>
      </c>
      <c r="AE186">
        <v>-23.38</v>
      </c>
      <c r="AF186">
        <v>137.57</v>
      </c>
      <c r="AG186">
        <v>160.94999999999999</v>
      </c>
      <c r="AH186">
        <v>23.380000000000003</v>
      </c>
      <c r="AI186">
        <v>14.280000000000001</v>
      </c>
      <c r="AJ186">
        <v>0</v>
      </c>
      <c r="AK186">
        <v>-14.280000000000001</v>
      </c>
      <c r="AL186">
        <v>123.28999999999999</v>
      </c>
      <c r="AM186">
        <v>160.94999999999999</v>
      </c>
      <c r="AN186">
        <v>37.660000000000004</v>
      </c>
      <c r="AO186">
        <v>3</v>
      </c>
    </row>
    <row r="187" spans="1:41" x14ac:dyDescent="0.35">
      <c r="A187">
        <v>2024</v>
      </c>
      <c r="B187">
        <v>2</v>
      </c>
      <c r="C187">
        <v>9</v>
      </c>
      <c r="D187" s="14">
        <v>45349</v>
      </c>
      <c r="E187" t="s">
        <v>44</v>
      </c>
      <c r="F187" t="s">
        <v>47</v>
      </c>
      <c r="G187" t="s">
        <v>48</v>
      </c>
      <c r="H187">
        <v>3418.0000000000077</v>
      </c>
      <c r="I187">
        <v>3418.0000000000077</v>
      </c>
      <c r="J187">
        <v>0</v>
      </c>
      <c r="K187">
        <v>556</v>
      </c>
      <c r="L187">
        <v>556</v>
      </c>
      <c r="M187">
        <v>0</v>
      </c>
      <c r="N187">
        <v>0</v>
      </c>
      <c r="O187">
        <v>0</v>
      </c>
      <c r="P187">
        <v>0</v>
      </c>
      <c r="Q187">
        <v>-241.45</v>
      </c>
      <c r="R187">
        <v>-241.45</v>
      </c>
      <c r="S187">
        <v>0</v>
      </c>
      <c r="T187">
        <v>-7.7</v>
      </c>
      <c r="U187">
        <v>-7.7</v>
      </c>
      <c r="V187">
        <v>0</v>
      </c>
      <c r="W187">
        <v>0</v>
      </c>
      <c r="X187">
        <v>0</v>
      </c>
      <c r="Y187">
        <v>0</v>
      </c>
      <c r="Z187">
        <v>3724.8500000000058</v>
      </c>
      <c r="AA187">
        <v>3724.8500000000058</v>
      </c>
      <c r="AB187">
        <v>0</v>
      </c>
      <c r="AE187">
        <v>0</v>
      </c>
      <c r="AF187">
        <v>3724.8500000000058</v>
      </c>
      <c r="AG187">
        <v>3724.8500000000058</v>
      </c>
      <c r="AH187">
        <v>0</v>
      </c>
      <c r="AI187">
        <v>1357.2200000000005</v>
      </c>
      <c r="AJ187">
        <v>0</v>
      </c>
      <c r="AK187">
        <v>-1357.2200000000005</v>
      </c>
      <c r="AL187">
        <v>2367.6299999999987</v>
      </c>
      <c r="AM187">
        <v>3724.8500000000058</v>
      </c>
      <c r="AN187">
        <v>1357.2200000000005</v>
      </c>
      <c r="AO187">
        <v>145</v>
      </c>
    </row>
    <row r="188" spans="1:41" x14ac:dyDescent="0.35">
      <c r="A188">
        <v>2024</v>
      </c>
      <c r="B188">
        <v>2</v>
      </c>
      <c r="C188">
        <v>9</v>
      </c>
      <c r="D188" s="14">
        <v>45350</v>
      </c>
      <c r="E188" t="s">
        <v>44</v>
      </c>
      <c r="F188" t="s">
        <v>47</v>
      </c>
      <c r="G188" t="s">
        <v>48</v>
      </c>
      <c r="H188">
        <v>85</v>
      </c>
      <c r="I188">
        <v>85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-85</v>
      </c>
      <c r="R188">
        <v>-85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E188">
        <v>0</v>
      </c>
      <c r="AF188">
        <v>0</v>
      </c>
      <c r="AG188">
        <v>0</v>
      </c>
      <c r="AH188">
        <v>0</v>
      </c>
      <c r="AI188">
        <v>32.9</v>
      </c>
      <c r="AJ188">
        <v>0</v>
      </c>
      <c r="AK188">
        <v>-32.9</v>
      </c>
      <c r="AL188">
        <v>-32.9</v>
      </c>
      <c r="AM188">
        <v>0</v>
      </c>
      <c r="AN188">
        <v>32.9</v>
      </c>
      <c r="AO188">
        <v>1</v>
      </c>
    </row>
    <row r="189" spans="1:41" x14ac:dyDescent="0.35">
      <c r="A189">
        <v>2024</v>
      </c>
      <c r="B189">
        <v>2</v>
      </c>
      <c r="C189">
        <v>9</v>
      </c>
      <c r="D189" s="14">
        <v>45351</v>
      </c>
      <c r="E189" t="s">
        <v>44</v>
      </c>
      <c r="F189" t="s">
        <v>47</v>
      </c>
      <c r="G189" t="s">
        <v>48</v>
      </c>
      <c r="H189">
        <v>8550.9500000000135</v>
      </c>
      <c r="I189">
        <v>8550.9500000000135</v>
      </c>
      <c r="J189">
        <v>0</v>
      </c>
      <c r="K189">
        <v>3076.8999999999978</v>
      </c>
      <c r="L189">
        <v>3076.8999999999978</v>
      </c>
      <c r="M189">
        <v>0</v>
      </c>
      <c r="N189">
        <v>18.990000000000002</v>
      </c>
      <c r="O189">
        <v>18.990000000000002</v>
      </c>
      <c r="P189">
        <v>0</v>
      </c>
      <c r="Q189">
        <v>-803.40000000000009</v>
      </c>
      <c r="R189">
        <v>-803.40000000000009</v>
      </c>
      <c r="S189">
        <v>0</v>
      </c>
      <c r="T189">
        <v>-5.5</v>
      </c>
      <c r="U189">
        <v>-5.5</v>
      </c>
      <c r="V189">
        <v>0</v>
      </c>
      <c r="W189">
        <v>0</v>
      </c>
      <c r="X189">
        <v>0</v>
      </c>
      <c r="Y189">
        <v>0</v>
      </c>
      <c r="Z189">
        <v>10837.939999999995</v>
      </c>
      <c r="AA189">
        <v>10837.939999999995</v>
      </c>
      <c r="AB189">
        <v>0</v>
      </c>
      <c r="AE189">
        <v>0</v>
      </c>
      <c r="AF189">
        <v>10837.939999999995</v>
      </c>
      <c r="AG189">
        <v>10837.939999999995</v>
      </c>
      <c r="AH189">
        <v>0</v>
      </c>
      <c r="AI189">
        <v>3518.0000000000041</v>
      </c>
      <c r="AJ189">
        <v>0</v>
      </c>
      <c r="AK189">
        <v>-3518.0000000000041</v>
      </c>
      <c r="AL189">
        <v>7319.9400000000078</v>
      </c>
      <c r="AM189">
        <v>10837.939999999995</v>
      </c>
      <c r="AN189">
        <v>3518.0000000000041</v>
      </c>
      <c r="AO189">
        <v>366</v>
      </c>
    </row>
    <row r="190" spans="1:41" x14ac:dyDescent="0.35">
      <c r="A190">
        <v>2024</v>
      </c>
      <c r="B190">
        <v>2</v>
      </c>
      <c r="C190">
        <v>9</v>
      </c>
      <c r="D190" s="14">
        <v>45347</v>
      </c>
      <c r="E190" t="s">
        <v>44</v>
      </c>
      <c r="F190" t="s">
        <v>47</v>
      </c>
      <c r="G190" t="s">
        <v>49</v>
      </c>
      <c r="H190">
        <v>8500</v>
      </c>
      <c r="I190">
        <v>8500</v>
      </c>
      <c r="J190">
        <v>0</v>
      </c>
      <c r="K190">
        <v>94.289999999999978</v>
      </c>
      <c r="L190">
        <v>94.289999999999978</v>
      </c>
      <c r="M190">
        <v>0</v>
      </c>
      <c r="N190">
        <v>124.92999999999999</v>
      </c>
      <c r="O190">
        <v>124.92999999999999</v>
      </c>
      <c r="P190">
        <v>0</v>
      </c>
      <c r="Q190">
        <v>-2469.1999999999998</v>
      </c>
      <c r="R190">
        <v>-2469.1999999999998</v>
      </c>
      <c r="S190">
        <v>0</v>
      </c>
      <c r="T190">
        <v>-5.5</v>
      </c>
      <c r="U190">
        <v>-5.5</v>
      </c>
      <c r="V190">
        <v>0</v>
      </c>
      <c r="W190">
        <v>-5</v>
      </c>
      <c r="X190">
        <v>-5</v>
      </c>
      <c r="Y190">
        <v>0</v>
      </c>
      <c r="Z190">
        <v>6239.5199999999959</v>
      </c>
      <c r="AA190">
        <v>6239.5199999999959</v>
      </c>
      <c r="AB190">
        <v>0</v>
      </c>
      <c r="AC190">
        <v>331.72</v>
      </c>
      <c r="AD190">
        <v>92.539999999999992</v>
      </c>
      <c r="AE190">
        <v>-239.18000000000004</v>
      </c>
      <c r="AF190">
        <v>5907.7999999999984</v>
      </c>
      <c r="AG190">
        <v>6146.9799999999977</v>
      </c>
      <c r="AH190">
        <v>239.18000000000004</v>
      </c>
      <c r="AI190">
        <v>1115.8399999999999</v>
      </c>
      <c r="AJ190">
        <v>33.69</v>
      </c>
      <c r="AK190">
        <v>-1082.1499999999996</v>
      </c>
      <c r="AL190">
        <v>4791.9600000000019</v>
      </c>
      <c r="AM190">
        <v>6113.2899999999972</v>
      </c>
      <c r="AN190">
        <v>1321.33</v>
      </c>
      <c r="AO190">
        <v>108</v>
      </c>
    </row>
    <row r="191" spans="1:41" x14ac:dyDescent="0.35">
      <c r="A191">
        <v>2024</v>
      </c>
      <c r="B191">
        <v>2</v>
      </c>
      <c r="C191">
        <v>9</v>
      </c>
      <c r="D191" s="14">
        <v>45348</v>
      </c>
      <c r="E191" t="s">
        <v>44</v>
      </c>
      <c r="F191" t="s">
        <v>47</v>
      </c>
      <c r="G191" t="s">
        <v>49</v>
      </c>
      <c r="H191">
        <v>2206</v>
      </c>
      <c r="I191">
        <v>2206</v>
      </c>
      <c r="J191">
        <v>0</v>
      </c>
      <c r="K191">
        <v>13.709999999999999</v>
      </c>
      <c r="L191">
        <v>13.709999999999999</v>
      </c>
      <c r="M191">
        <v>0</v>
      </c>
      <c r="N191">
        <v>66.960000000000008</v>
      </c>
      <c r="O191">
        <v>66.960000000000008</v>
      </c>
      <c r="P191">
        <v>0</v>
      </c>
      <c r="Q191">
        <v>-938.19999999999993</v>
      </c>
      <c r="R191">
        <v>-927.19999999999993</v>
      </c>
      <c r="S191">
        <v>11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1348.47</v>
      </c>
      <c r="AA191">
        <v>1359.47</v>
      </c>
      <c r="AB191">
        <v>11</v>
      </c>
      <c r="AC191">
        <v>290.63000000000005</v>
      </c>
      <c r="AD191">
        <v>198.09000000000003</v>
      </c>
      <c r="AE191">
        <v>-92.539999999999992</v>
      </c>
      <c r="AF191">
        <v>1057.8400000000001</v>
      </c>
      <c r="AG191">
        <v>1161.3800000000001</v>
      </c>
      <c r="AH191">
        <v>103.53999999999998</v>
      </c>
      <c r="AI191">
        <v>33.430000000000007</v>
      </c>
      <c r="AJ191">
        <v>0</v>
      </c>
      <c r="AK191">
        <v>-33.430000000000007</v>
      </c>
      <c r="AL191">
        <v>1024.4100000000001</v>
      </c>
      <c r="AM191">
        <v>1161.3800000000001</v>
      </c>
      <c r="AN191">
        <v>136.97</v>
      </c>
      <c r="AO191">
        <v>24</v>
      </c>
    </row>
    <row r="192" spans="1:41" x14ac:dyDescent="0.35">
      <c r="A192">
        <v>2024</v>
      </c>
      <c r="B192">
        <v>2</v>
      </c>
      <c r="C192">
        <v>9</v>
      </c>
      <c r="D192" s="14">
        <v>45349</v>
      </c>
      <c r="E192" t="s">
        <v>44</v>
      </c>
      <c r="F192" t="s">
        <v>47</v>
      </c>
      <c r="G192" t="s">
        <v>49</v>
      </c>
      <c r="H192">
        <v>9129.0499999999993</v>
      </c>
      <c r="I192">
        <v>9129.0499999999993</v>
      </c>
      <c r="J192">
        <v>0</v>
      </c>
      <c r="K192">
        <v>112.06999999999995</v>
      </c>
      <c r="L192">
        <v>112.06999999999995</v>
      </c>
      <c r="M192">
        <v>0</v>
      </c>
      <c r="N192">
        <v>174.90000000000003</v>
      </c>
      <c r="O192">
        <v>174.90000000000003</v>
      </c>
      <c r="P192">
        <v>0</v>
      </c>
      <c r="Q192">
        <v>-3982.7499999999982</v>
      </c>
      <c r="R192">
        <v>-3982.7499999999982</v>
      </c>
      <c r="S192">
        <v>0</v>
      </c>
      <c r="T192">
        <v>-19.100000000000001</v>
      </c>
      <c r="U192">
        <v>-19.100000000000001</v>
      </c>
      <c r="V192">
        <v>0</v>
      </c>
      <c r="W192">
        <v>-10</v>
      </c>
      <c r="X192">
        <v>-10</v>
      </c>
      <c r="Y192">
        <v>0</v>
      </c>
      <c r="Z192">
        <v>5404.170000000001</v>
      </c>
      <c r="AA192">
        <v>5404.170000000001</v>
      </c>
      <c r="AB192">
        <v>0</v>
      </c>
      <c r="AC192">
        <v>368.69999999999993</v>
      </c>
      <c r="AD192">
        <v>170.61</v>
      </c>
      <c r="AE192">
        <v>-198.09000000000003</v>
      </c>
      <c r="AF192">
        <v>5035.47</v>
      </c>
      <c r="AG192">
        <v>5233.5600000000004</v>
      </c>
      <c r="AH192">
        <v>198.09</v>
      </c>
      <c r="AI192">
        <v>532.98000000000025</v>
      </c>
      <c r="AJ192">
        <v>0</v>
      </c>
      <c r="AK192">
        <v>-532.98000000000025</v>
      </c>
      <c r="AL192">
        <v>4502.4900000000016</v>
      </c>
      <c r="AM192">
        <v>5233.5600000000004</v>
      </c>
      <c r="AN192">
        <v>731.0699999999996</v>
      </c>
      <c r="AO192">
        <v>96</v>
      </c>
    </row>
    <row r="193" spans="1:41" x14ac:dyDescent="0.35">
      <c r="A193">
        <v>2024</v>
      </c>
      <c r="B193">
        <v>2</v>
      </c>
      <c r="C193">
        <v>9</v>
      </c>
      <c r="D193" s="14">
        <v>45350</v>
      </c>
      <c r="E193" t="s">
        <v>44</v>
      </c>
      <c r="F193" t="s">
        <v>47</v>
      </c>
      <c r="G193" t="s">
        <v>49</v>
      </c>
      <c r="H193">
        <v>1201</v>
      </c>
      <c r="I193">
        <v>1201</v>
      </c>
      <c r="J193">
        <v>0</v>
      </c>
      <c r="K193">
        <v>21.41</v>
      </c>
      <c r="L193">
        <v>21.41</v>
      </c>
      <c r="M193">
        <v>0</v>
      </c>
      <c r="N193">
        <v>69.960000000000008</v>
      </c>
      <c r="O193">
        <v>69.960000000000008</v>
      </c>
      <c r="P193">
        <v>0</v>
      </c>
      <c r="Q193">
        <v>-337.45000000000005</v>
      </c>
      <c r="R193">
        <v>-337.45000000000005</v>
      </c>
      <c r="S193">
        <v>0</v>
      </c>
      <c r="T193">
        <v>0</v>
      </c>
      <c r="U193">
        <v>0</v>
      </c>
      <c r="V193">
        <v>0</v>
      </c>
      <c r="W193">
        <v>-10</v>
      </c>
      <c r="X193">
        <v>-10</v>
      </c>
      <c r="Y193">
        <v>0</v>
      </c>
      <c r="Z193">
        <v>944.92</v>
      </c>
      <c r="AA193">
        <v>944.92</v>
      </c>
      <c r="AB193">
        <v>0</v>
      </c>
      <c r="AC193">
        <v>201.28</v>
      </c>
      <c r="AE193">
        <v>-201.28</v>
      </c>
      <c r="AF193">
        <v>743.6400000000001</v>
      </c>
      <c r="AG193">
        <v>944.92</v>
      </c>
      <c r="AH193">
        <v>201.28000000000003</v>
      </c>
      <c r="AI193">
        <v>2.7600000000000002</v>
      </c>
      <c r="AJ193">
        <v>2.7600000000000002</v>
      </c>
      <c r="AK193">
        <v>0</v>
      </c>
      <c r="AL193">
        <v>740.88000000000011</v>
      </c>
      <c r="AM193">
        <v>942.16</v>
      </c>
      <c r="AN193">
        <v>201.28000000000003</v>
      </c>
      <c r="AO193">
        <v>14</v>
      </c>
    </row>
    <row r="194" spans="1:41" x14ac:dyDescent="0.35">
      <c r="A194">
        <v>2024</v>
      </c>
      <c r="B194">
        <v>2</v>
      </c>
      <c r="C194">
        <v>9</v>
      </c>
      <c r="D194" s="14">
        <v>45351</v>
      </c>
      <c r="E194" t="s">
        <v>44</v>
      </c>
      <c r="F194" t="s">
        <v>47</v>
      </c>
      <c r="G194" t="s">
        <v>49</v>
      </c>
      <c r="H194">
        <v>12532.249999999998</v>
      </c>
      <c r="I194">
        <v>12532.249999999998</v>
      </c>
      <c r="J194">
        <v>0</v>
      </c>
      <c r="K194">
        <v>106.13</v>
      </c>
      <c r="L194">
        <v>106.13</v>
      </c>
      <c r="M194">
        <v>0</v>
      </c>
      <c r="N194">
        <v>250.84000000000009</v>
      </c>
      <c r="O194">
        <v>250.84000000000009</v>
      </c>
      <c r="P194">
        <v>0</v>
      </c>
      <c r="Q194">
        <v>-4772.8500000000022</v>
      </c>
      <c r="R194">
        <v>-4772.8500000000022</v>
      </c>
      <c r="S194">
        <v>0</v>
      </c>
      <c r="T194">
        <v>-5</v>
      </c>
      <c r="U194">
        <v>-5</v>
      </c>
      <c r="V194">
        <v>0</v>
      </c>
      <c r="W194">
        <v>0</v>
      </c>
      <c r="X194">
        <v>0</v>
      </c>
      <c r="Y194">
        <v>0</v>
      </c>
      <c r="Z194">
        <v>8111.3699999999963</v>
      </c>
      <c r="AA194">
        <v>8111.3699999999963</v>
      </c>
      <c r="AB194">
        <v>0</v>
      </c>
      <c r="AC194">
        <v>551.11999999999955</v>
      </c>
      <c r="AD194">
        <v>551.11999999999955</v>
      </c>
      <c r="AE194">
        <v>0</v>
      </c>
      <c r="AF194">
        <v>7560.2499999999882</v>
      </c>
      <c r="AG194">
        <v>7560.2499999999882</v>
      </c>
      <c r="AH194">
        <v>0</v>
      </c>
      <c r="AI194">
        <v>1193.6600000000001</v>
      </c>
      <c r="AJ194">
        <v>0</v>
      </c>
      <c r="AK194">
        <v>-1193.6600000000001</v>
      </c>
      <c r="AL194">
        <v>6366.5900000000029</v>
      </c>
      <c r="AM194">
        <v>7560.2499999999882</v>
      </c>
      <c r="AN194">
        <v>1193.6599999999999</v>
      </c>
      <c r="AO194">
        <v>157</v>
      </c>
    </row>
    <row r="195" spans="1:41" x14ac:dyDescent="0.35">
      <c r="A195">
        <v>2024</v>
      </c>
      <c r="B195">
        <v>2</v>
      </c>
      <c r="C195">
        <v>9</v>
      </c>
      <c r="D195" s="14">
        <v>45347</v>
      </c>
      <c r="E195" t="s">
        <v>44</v>
      </c>
      <c r="F195" t="s">
        <v>47</v>
      </c>
      <c r="G195" t="s">
        <v>50</v>
      </c>
      <c r="H195">
        <v>24349.5</v>
      </c>
      <c r="I195">
        <v>24349.5</v>
      </c>
      <c r="J195">
        <v>0</v>
      </c>
      <c r="K195">
        <v>368.48999999999984</v>
      </c>
      <c r="L195">
        <v>355.98999999999984</v>
      </c>
      <c r="M195">
        <v>-12.5</v>
      </c>
      <c r="N195">
        <v>1341.2000000000005</v>
      </c>
      <c r="O195">
        <v>1341.2000000000005</v>
      </c>
      <c r="P195">
        <v>0</v>
      </c>
      <c r="Q195">
        <v>-6712.01</v>
      </c>
      <c r="R195">
        <v>-6559.01</v>
      </c>
      <c r="S195">
        <v>153</v>
      </c>
      <c r="T195">
        <v>-10</v>
      </c>
      <c r="U195">
        <v>-10</v>
      </c>
      <c r="V195">
        <v>0</v>
      </c>
      <c r="W195">
        <v>-28.990000000000002</v>
      </c>
      <c r="X195">
        <v>-28.990000000000002</v>
      </c>
      <c r="Y195">
        <v>0</v>
      </c>
      <c r="Z195">
        <v>19308.189999999995</v>
      </c>
      <c r="AA195">
        <v>19448.689999999999</v>
      </c>
      <c r="AB195">
        <v>140.5</v>
      </c>
      <c r="AC195">
        <v>2874.2300000000064</v>
      </c>
      <c r="AD195">
        <v>1105.1199999999999</v>
      </c>
      <c r="AE195">
        <v>-1769.110000000001</v>
      </c>
      <c r="AF195">
        <v>16433.960000000003</v>
      </c>
      <c r="AG195">
        <v>18343.569999999996</v>
      </c>
      <c r="AH195">
        <v>1909.6100000000008</v>
      </c>
      <c r="AI195">
        <v>-777.75999999999954</v>
      </c>
      <c r="AJ195">
        <v>0</v>
      </c>
      <c r="AK195">
        <v>777.75999999999954</v>
      </c>
      <c r="AL195">
        <v>17211.720000000005</v>
      </c>
      <c r="AM195">
        <v>18343.569999999996</v>
      </c>
      <c r="AN195">
        <v>1131.8500000000006</v>
      </c>
      <c r="AO195">
        <v>277</v>
      </c>
    </row>
    <row r="196" spans="1:41" x14ac:dyDescent="0.35">
      <c r="A196">
        <v>2024</v>
      </c>
      <c r="B196">
        <v>2</v>
      </c>
      <c r="C196">
        <v>9</v>
      </c>
      <c r="D196" s="14">
        <v>45348</v>
      </c>
      <c r="E196" t="s">
        <v>44</v>
      </c>
      <c r="F196" t="s">
        <v>47</v>
      </c>
      <c r="G196" t="s">
        <v>50</v>
      </c>
      <c r="H196">
        <v>17353</v>
      </c>
      <c r="I196">
        <v>17353</v>
      </c>
      <c r="J196">
        <v>0</v>
      </c>
      <c r="K196">
        <v>233.98999999999998</v>
      </c>
      <c r="L196">
        <v>233.98999999999998</v>
      </c>
      <c r="M196">
        <v>0</v>
      </c>
      <c r="N196">
        <v>865.48000000000036</v>
      </c>
      <c r="O196">
        <v>865.48000000000036</v>
      </c>
      <c r="P196">
        <v>0</v>
      </c>
      <c r="Q196">
        <v>-5265.21</v>
      </c>
      <c r="R196">
        <v>-5175.21</v>
      </c>
      <c r="S196">
        <v>90</v>
      </c>
      <c r="T196">
        <v>-15</v>
      </c>
      <c r="U196">
        <v>-15</v>
      </c>
      <c r="V196">
        <v>0</v>
      </c>
      <c r="W196">
        <v>-58.970000000000006</v>
      </c>
      <c r="X196">
        <v>-58.970000000000006</v>
      </c>
      <c r="Y196">
        <v>0</v>
      </c>
      <c r="Z196">
        <v>13113.289999999995</v>
      </c>
      <c r="AA196">
        <v>13203.289999999995</v>
      </c>
      <c r="AB196">
        <v>90</v>
      </c>
      <c r="AC196">
        <v>1777.8300000000017</v>
      </c>
      <c r="AD196">
        <v>672.70999999999992</v>
      </c>
      <c r="AE196">
        <v>-1105.1200000000001</v>
      </c>
      <c r="AF196">
        <v>11335.46</v>
      </c>
      <c r="AG196">
        <v>12530.579999999998</v>
      </c>
      <c r="AH196">
        <v>1195.1200000000003</v>
      </c>
      <c r="AI196">
        <v>-447.31</v>
      </c>
      <c r="AJ196">
        <v>0</v>
      </c>
      <c r="AK196">
        <v>447.31</v>
      </c>
      <c r="AL196">
        <v>11782.77000000001</v>
      </c>
      <c r="AM196">
        <v>12530.579999999998</v>
      </c>
      <c r="AN196">
        <v>747.80999999999926</v>
      </c>
      <c r="AO196">
        <v>199</v>
      </c>
    </row>
    <row r="197" spans="1:41" x14ac:dyDescent="0.35">
      <c r="A197">
        <v>2024</v>
      </c>
      <c r="B197">
        <v>2</v>
      </c>
      <c r="C197">
        <v>9</v>
      </c>
      <c r="D197" s="14">
        <v>45349</v>
      </c>
      <c r="E197" t="s">
        <v>44</v>
      </c>
      <c r="F197" t="s">
        <v>47</v>
      </c>
      <c r="G197" t="s">
        <v>50</v>
      </c>
      <c r="H197">
        <v>20775.05</v>
      </c>
      <c r="I197">
        <v>20775.05</v>
      </c>
      <c r="J197">
        <v>0</v>
      </c>
      <c r="K197">
        <v>482.90999999999974</v>
      </c>
      <c r="L197">
        <v>482.90999999999974</v>
      </c>
      <c r="M197">
        <v>0</v>
      </c>
      <c r="N197">
        <v>879.45000000000039</v>
      </c>
      <c r="O197">
        <v>879.45000000000039</v>
      </c>
      <c r="P197">
        <v>0</v>
      </c>
      <c r="Q197">
        <v>-6508.89</v>
      </c>
      <c r="R197">
        <v>-6409.89</v>
      </c>
      <c r="S197">
        <v>99</v>
      </c>
      <c r="T197">
        <v>-20</v>
      </c>
      <c r="U197">
        <v>-20</v>
      </c>
      <c r="V197">
        <v>0</v>
      </c>
      <c r="W197">
        <v>-44.980000000000004</v>
      </c>
      <c r="X197">
        <v>-44.980000000000004</v>
      </c>
      <c r="Y197">
        <v>0</v>
      </c>
      <c r="Z197">
        <v>15563.539999999986</v>
      </c>
      <c r="AA197">
        <v>15662.539999999986</v>
      </c>
      <c r="AB197">
        <v>99</v>
      </c>
      <c r="AC197">
        <v>1710.6200000000003</v>
      </c>
      <c r="AD197">
        <v>1037.9099999999999</v>
      </c>
      <c r="AE197">
        <v>-672.70999999999992</v>
      </c>
      <c r="AF197">
        <v>13852.920000000004</v>
      </c>
      <c r="AG197">
        <v>14624.629999999996</v>
      </c>
      <c r="AH197">
        <v>771.71000000000026</v>
      </c>
      <c r="AI197">
        <v>-605.49000000000024</v>
      </c>
      <c r="AJ197">
        <v>0</v>
      </c>
      <c r="AK197">
        <v>605.49000000000024</v>
      </c>
      <c r="AL197">
        <v>14458.41</v>
      </c>
      <c r="AM197">
        <v>14624.629999999996</v>
      </c>
      <c r="AN197">
        <v>166.21999999999997</v>
      </c>
      <c r="AO197">
        <v>235</v>
      </c>
    </row>
    <row r="198" spans="1:41" x14ac:dyDescent="0.35">
      <c r="A198">
        <v>2024</v>
      </c>
      <c r="B198">
        <v>2</v>
      </c>
      <c r="C198">
        <v>9</v>
      </c>
      <c r="D198" s="14">
        <v>45350</v>
      </c>
      <c r="E198" t="s">
        <v>44</v>
      </c>
      <c r="F198" t="s">
        <v>47</v>
      </c>
      <c r="G198" t="s">
        <v>50</v>
      </c>
      <c r="H198">
        <v>7143</v>
      </c>
      <c r="I198">
        <v>7143</v>
      </c>
      <c r="J198">
        <v>0</v>
      </c>
      <c r="K198">
        <v>174.23000000000005</v>
      </c>
      <c r="L198">
        <v>174.23000000000005</v>
      </c>
      <c r="M198">
        <v>0</v>
      </c>
      <c r="N198">
        <v>223.85000000000005</v>
      </c>
      <c r="O198">
        <v>223.85000000000005</v>
      </c>
      <c r="P198">
        <v>0</v>
      </c>
      <c r="Q198">
        <v>-2353.88</v>
      </c>
      <c r="R198">
        <v>-2312.88</v>
      </c>
      <c r="S198">
        <v>41</v>
      </c>
      <c r="T198">
        <v>-5</v>
      </c>
      <c r="U198">
        <v>-5</v>
      </c>
      <c r="V198">
        <v>0</v>
      </c>
      <c r="W198">
        <v>-5</v>
      </c>
      <c r="X198">
        <v>-5</v>
      </c>
      <c r="Y198">
        <v>0</v>
      </c>
      <c r="Z198">
        <v>5177.1999999999989</v>
      </c>
      <c r="AA198">
        <v>5218.1999999999989</v>
      </c>
      <c r="AB198">
        <v>41</v>
      </c>
      <c r="AC198">
        <v>1024.8200000000004</v>
      </c>
      <c r="AD198">
        <v>17.46</v>
      </c>
      <c r="AE198">
        <v>-1007.3600000000005</v>
      </c>
      <c r="AF198">
        <v>4152.3799999999983</v>
      </c>
      <c r="AG198">
        <v>5200.7399999999989</v>
      </c>
      <c r="AH198">
        <v>1048.3600000000006</v>
      </c>
      <c r="AI198">
        <v>-11.32</v>
      </c>
      <c r="AJ198">
        <v>0</v>
      </c>
      <c r="AK198">
        <v>11.32</v>
      </c>
      <c r="AL198">
        <v>4163.699999999998</v>
      </c>
      <c r="AM198">
        <v>5200.7399999999989</v>
      </c>
      <c r="AN198">
        <v>1037.0400000000004</v>
      </c>
      <c r="AO198">
        <v>83</v>
      </c>
    </row>
    <row r="199" spans="1:41" x14ac:dyDescent="0.35">
      <c r="A199">
        <v>2024</v>
      </c>
      <c r="B199">
        <v>2</v>
      </c>
      <c r="C199">
        <v>9</v>
      </c>
      <c r="D199" s="14">
        <v>45351</v>
      </c>
      <c r="E199" t="s">
        <v>44</v>
      </c>
      <c r="F199" t="s">
        <v>47</v>
      </c>
      <c r="G199" t="s">
        <v>50</v>
      </c>
      <c r="H199">
        <v>15970.4</v>
      </c>
      <c r="I199">
        <v>15963.4</v>
      </c>
      <c r="J199">
        <v>-7</v>
      </c>
      <c r="K199">
        <v>367.49</v>
      </c>
      <c r="L199">
        <v>367.49</v>
      </c>
      <c r="M199">
        <v>0</v>
      </c>
      <c r="N199">
        <v>709.5500000000003</v>
      </c>
      <c r="O199">
        <v>709.5500000000003</v>
      </c>
      <c r="P199">
        <v>0</v>
      </c>
      <c r="Q199">
        <v>-4916</v>
      </c>
      <c r="R199">
        <v>-4866</v>
      </c>
      <c r="S199">
        <v>50</v>
      </c>
      <c r="T199">
        <v>-25.46</v>
      </c>
      <c r="U199">
        <v>-25.46</v>
      </c>
      <c r="V199">
        <v>0</v>
      </c>
      <c r="W199">
        <v>-49.980000000000004</v>
      </c>
      <c r="X199">
        <v>-49.980000000000004</v>
      </c>
      <c r="Y199">
        <v>0</v>
      </c>
      <c r="Z199">
        <v>12055.999999999991</v>
      </c>
      <c r="AA199">
        <v>12098.999999999991</v>
      </c>
      <c r="AB199">
        <v>43</v>
      </c>
      <c r="AC199">
        <v>1453.4600000000009</v>
      </c>
      <c r="AD199">
        <v>1436.0000000000009</v>
      </c>
      <c r="AE199">
        <v>-17.46</v>
      </c>
      <c r="AF199">
        <v>10602.539999999995</v>
      </c>
      <c r="AG199">
        <v>10662.999999999996</v>
      </c>
      <c r="AH199">
        <v>60.46</v>
      </c>
      <c r="AI199">
        <v>-852.21000000000049</v>
      </c>
      <c r="AJ199">
        <v>0</v>
      </c>
      <c r="AK199">
        <v>852.21000000000049</v>
      </c>
      <c r="AL199">
        <v>11454.750000000002</v>
      </c>
      <c r="AM199">
        <v>10662.999999999996</v>
      </c>
      <c r="AN199">
        <v>-791.75000000000057</v>
      </c>
      <c r="AO199">
        <v>187</v>
      </c>
    </row>
    <row r="200" spans="1:41" x14ac:dyDescent="0.35">
      <c r="A200">
        <v>2024</v>
      </c>
      <c r="B200">
        <v>2</v>
      </c>
      <c r="C200">
        <v>9</v>
      </c>
      <c r="D200" s="14">
        <v>45347</v>
      </c>
      <c r="E200" t="s">
        <v>44</v>
      </c>
      <c r="F200" t="s">
        <v>47</v>
      </c>
      <c r="G200" t="s">
        <v>51</v>
      </c>
      <c r="H200">
        <v>5813.25</v>
      </c>
      <c r="I200">
        <v>5813.25</v>
      </c>
      <c r="J200">
        <v>0</v>
      </c>
      <c r="K200">
        <v>1.4100000000000001</v>
      </c>
      <c r="L200">
        <v>1.4100000000000001</v>
      </c>
      <c r="M200">
        <v>0</v>
      </c>
      <c r="N200">
        <v>15.99</v>
      </c>
      <c r="O200">
        <v>15.99</v>
      </c>
      <c r="P200">
        <v>0</v>
      </c>
      <c r="Q200">
        <v>-1092.5999999999999</v>
      </c>
      <c r="R200">
        <v>-1081.5999999999999</v>
      </c>
      <c r="S200">
        <v>11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4738.0499999999993</v>
      </c>
      <c r="AA200">
        <v>4749.0499999999993</v>
      </c>
      <c r="AB200">
        <v>11</v>
      </c>
      <c r="AC200">
        <v>95.239999999999981</v>
      </c>
      <c r="AE200">
        <v>-95.239999999999981</v>
      </c>
      <c r="AF200">
        <v>4642.8099999999995</v>
      </c>
      <c r="AG200">
        <v>4749.0499999999993</v>
      </c>
      <c r="AH200">
        <v>106.23999999999998</v>
      </c>
      <c r="AI200">
        <v>1477.6399999999992</v>
      </c>
      <c r="AJ200">
        <v>0</v>
      </c>
      <c r="AK200">
        <v>-1477.6399999999992</v>
      </c>
      <c r="AL200">
        <v>3165.1700000000014</v>
      </c>
      <c r="AM200">
        <v>4749.0499999999993</v>
      </c>
      <c r="AN200">
        <v>1583.8799999999994</v>
      </c>
      <c r="AO200">
        <v>106</v>
      </c>
    </row>
    <row r="201" spans="1:41" x14ac:dyDescent="0.35">
      <c r="A201">
        <v>2024</v>
      </c>
      <c r="B201">
        <v>2</v>
      </c>
      <c r="C201">
        <v>9</v>
      </c>
      <c r="D201" s="14">
        <v>45348</v>
      </c>
      <c r="E201" t="s">
        <v>44</v>
      </c>
      <c r="F201" t="s">
        <v>47</v>
      </c>
      <c r="G201" t="s">
        <v>51</v>
      </c>
      <c r="H201">
        <v>1788.5</v>
      </c>
      <c r="I201">
        <v>1788.5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-91.6</v>
      </c>
      <c r="R201">
        <v>-91.6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1696.9</v>
      </c>
      <c r="AA201">
        <v>1696.9</v>
      </c>
      <c r="AB201">
        <v>0</v>
      </c>
      <c r="AE201">
        <v>0</v>
      </c>
      <c r="AF201">
        <v>1696.9</v>
      </c>
      <c r="AG201">
        <v>1696.9</v>
      </c>
      <c r="AH201">
        <v>0</v>
      </c>
      <c r="AI201">
        <v>776.92000000000019</v>
      </c>
      <c r="AJ201">
        <v>0</v>
      </c>
      <c r="AK201">
        <v>-776.92000000000019</v>
      </c>
      <c r="AL201">
        <v>919.98</v>
      </c>
      <c r="AM201">
        <v>1696.9</v>
      </c>
      <c r="AN201">
        <v>776.92000000000007</v>
      </c>
      <c r="AO201">
        <v>41</v>
      </c>
    </row>
    <row r="202" spans="1:41" x14ac:dyDescent="0.35">
      <c r="A202">
        <v>2024</v>
      </c>
      <c r="B202">
        <v>2</v>
      </c>
      <c r="C202">
        <v>9</v>
      </c>
      <c r="D202" s="14">
        <v>45349</v>
      </c>
      <c r="E202" t="s">
        <v>44</v>
      </c>
      <c r="F202" t="s">
        <v>47</v>
      </c>
      <c r="G202" t="s">
        <v>51</v>
      </c>
      <c r="H202">
        <v>1993.9999999999998</v>
      </c>
      <c r="I202">
        <v>1993.9999999999998</v>
      </c>
      <c r="J202">
        <v>0</v>
      </c>
      <c r="K202">
        <v>60.46</v>
      </c>
      <c r="L202">
        <v>60.46</v>
      </c>
      <c r="M202">
        <v>0</v>
      </c>
      <c r="N202">
        <v>34.980000000000004</v>
      </c>
      <c r="O202">
        <v>34.980000000000004</v>
      </c>
      <c r="P202">
        <v>0</v>
      </c>
      <c r="Q202">
        <v>-519.25</v>
      </c>
      <c r="R202">
        <v>-519.25</v>
      </c>
      <c r="S202">
        <v>0</v>
      </c>
      <c r="T202">
        <v>-24</v>
      </c>
      <c r="U202">
        <v>-24</v>
      </c>
      <c r="V202">
        <v>0</v>
      </c>
      <c r="W202">
        <v>-18.990000000000002</v>
      </c>
      <c r="X202">
        <v>-18.990000000000002</v>
      </c>
      <c r="Y202">
        <v>0</v>
      </c>
      <c r="Z202">
        <v>1527.1999999999996</v>
      </c>
      <c r="AA202">
        <v>1527.1999999999996</v>
      </c>
      <c r="AB202">
        <v>0</v>
      </c>
      <c r="AC202">
        <v>44.29</v>
      </c>
      <c r="AD202">
        <v>44.29</v>
      </c>
      <c r="AE202">
        <v>0</v>
      </c>
      <c r="AF202">
        <v>1482.9099999999996</v>
      </c>
      <c r="AG202">
        <v>1482.9099999999996</v>
      </c>
      <c r="AH202">
        <v>0</v>
      </c>
      <c r="AI202">
        <v>467.65</v>
      </c>
      <c r="AJ202">
        <v>0</v>
      </c>
      <c r="AK202">
        <v>-467.65</v>
      </c>
      <c r="AL202">
        <v>1015.26</v>
      </c>
      <c r="AM202">
        <v>1482.9099999999996</v>
      </c>
      <c r="AN202">
        <v>467.65000000000015</v>
      </c>
      <c r="AO202">
        <v>32</v>
      </c>
    </row>
    <row r="203" spans="1:41" x14ac:dyDescent="0.35">
      <c r="A203">
        <v>2024</v>
      </c>
      <c r="B203">
        <v>2</v>
      </c>
      <c r="C203">
        <v>9</v>
      </c>
      <c r="D203" s="14">
        <v>45350</v>
      </c>
      <c r="E203" t="s">
        <v>44</v>
      </c>
      <c r="F203" t="s">
        <v>47</v>
      </c>
      <c r="G203" t="s">
        <v>51</v>
      </c>
      <c r="H203">
        <v>296</v>
      </c>
      <c r="I203">
        <v>296</v>
      </c>
      <c r="J203">
        <v>0</v>
      </c>
      <c r="K203">
        <v>0.46</v>
      </c>
      <c r="L203">
        <v>0.46</v>
      </c>
      <c r="M203">
        <v>0</v>
      </c>
      <c r="N203">
        <v>15.99</v>
      </c>
      <c r="O203">
        <v>15.99</v>
      </c>
      <c r="P203">
        <v>0</v>
      </c>
      <c r="Q203">
        <v>-109</v>
      </c>
      <c r="R203">
        <v>-109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203.45</v>
      </c>
      <c r="AA203">
        <v>203.45</v>
      </c>
      <c r="AB203">
        <v>0</v>
      </c>
      <c r="AC203">
        <v>44.29</v>
      </c>
      <c r="AE203">
        <v>-44.29</v>
      </c>
      <c r="AF203">
        <v>159.16</v>
      </c>
      <c r="AG203">
        <v>203.45</v>
      </c>
      <c r="AH203">
        <v>44.29</v>
      </c>
      <c r="AI203">
        <v>0</v>
      </c>
      <c r="AJ203">
        <v>0</v>
      </c>
      <c r="AK203">
        <v>0</v>
      </c>
      <c r="AL203">
        <v>159.16</v>
      </c>
      <c r="AM203">
        <v>203.45</v>
      </c>
      <c r="AN203">
        <v>44.29</v>
      </c>
      <c r="AO203">
        <v>4</v>
      </c>
    </row>
    <row r="204" spans="1:41" x14ac:dyDescent="0.35">
      <c r="A204">
        <v>2024</v>
      </c>
      <c r="B204">
        <v>2</v>
      </c>
      <c r="C204">
        <v>9</v>
      </c>
      <c r="D204" s="14">
        <v>45351</v>
      </c>
      <c r="E204" t="s">
        <v>44</v>
      </c>
      <c r="F204" t="s">
        <v>47</v>
      </c>
      <c r="G204" t="s">
        <v>51</v>
      </c>
      <c r="H204">
        <v>7776.1</v>
      </c>
      <c r="I204">
        <v>7776.1</v>
      </c>
      <c r="J204">
        <v>0</v>
      </c>
      <c r="K204">
        <v>20.95</v>
      </c>
      <c r="L204">
        <v>20.95</v>
      </c>
      <c r="M204">
        <v>0</v>
      </c>
      <c r="N204">
        <v>0</v>
      </c>
      <c r="O204">
        <v>0</v>
      </c>
      <c r="P204">
        <v>0</v>
      </c>
      <c r="Q204">
        <v>-2564.35</v>
      </c>
      <c r="R204">
        <v>-2564.35</v>
      </c>
      <c r="S204">
        <v>0</v>
      </c>
      <c r="T204">
        <v>-8</v>
      </c>
      <c r="U204">
        <v>-8</v>
      </c>
      <c r="V204">
        <v>0</v>
      </c>
      <c r="W204">
        <v>0</v>
      </c>
      <c r="X204">
        <v>0</v>
      </c>
      <c r="Y204">
        <v>0</v>
      </c>
      <c r="Z204">
        <v>5224.7000000000007</v>
      </c>
      <c r="AA204">
        <v>5224.7000000000007</v>
      </c>
      <c r="AB204">
        <v>0</v>
      </c>
      <c r="AC204">
        <v>23.38</v>
      </c>
      <c r="AD204">
        <v>23.38</v>
      </c>
      <c r="AE204">
        <v>0</v>
      </c>
      <c r="AF204">
        <v>5201.3200000000006</v>
      </c>
      <c r="AG204">
        <v>5201.3200000000006</v>
      </c>
      <c r="AH204">
        <v>0</v>
      </c>
      <c r="AI204">
        <v>1796.9099999999994</v>
      </c>
      <c r="AJ204">
        <v>0</v>
      </c>
      <c r="AK204">
        <v>-1796.9099999999994</v>
      </c>
      <c r="AL204">
        <v>3404.4100000000003</v>
      </c>
      <c r="AM204">
        <v>5201.3200000000006</v>
      </c>
      <c r="AN204">
        <v>1796.9099999999994</v>
      </c>
      <c r="AO204">
        <v>116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217"/>
  <sheetViews>
    <sheetView workbookViewId="0"/>
  </sheetViews>
  <sheetFormatPr defaultRowHeight="14.5" x14ac:dyDescent="0.35"/>
  <cols>
    <col min="1" max="3" width="13" customWidth="1"/>
    <col min="4" max="4" width="12" customWidth="1"/>
    <col min="5" max="5" width="13" customWidth="1"/>
    <col min="6" max="6" width="8" customWidth="1"/>
    <col min="7" max="7" width="12" customWidth="1"/>
    <col min="8" max="19" width="13" customWidth="1"/>
    <col min="20" max="20" width="16" customWidth="1"/>
    <col min="21" max="21" width="17" customWidth="1"/>
    <col min="22" max="22" width="16" customWidth="1"/>
    <col min="23" max="28" width="13" customWidth="1"/>
    <col min="29" max="29" width="18" customWidth="1"/>
    <col min="30" max="30" width="19" customWidth="1"/>
    <col min="31" max="31" width="18" customWidth="1"/>
    <col min="32" max="41" width="13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72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2024</v>
      </c>
      <c r="B2">
        <v>1</v>
      </c>
      <c r="C2">
        <v>1</v>
      </c>
      <c r="D2" s="14">
        <v>45292</v>
      </c>
      <c r="E2" t="s">
        <v>41</v>
      </c>
      <c r="F2" t="s">
        <v>42</v>
      </c>
      <c r="G2" t="s">
        <v>43</v>
      </c>
      <c r="H2">
        <v>99515.5</v>
      </c>
      <c r="I2">
        <v>99515.5</v>
      </c>
      <c r="J2">
        <v>0</v>
      </c>
      <c r="K2">
        <v>780.06000000000199</v>
      </c>
      <c r="L2">
        <v>787.06000000000233</v>
      </c>
      <c r="M2">
        <v>7</v>
      </c>
      <c r="N2">
        <v>1159.2500000000005</v>
      </c>
      <c r="O2">
        <v>1143.2600000000004</v>
      </c>
      <c r="P2">
        <v>-15.99</v>
      </c>
      <c r="Q2">
        <v>-7780.6000000000013</v>
      </c>
      <c r="R2">
        <v>-5608.46</v>
      </c>
      <c r="S2">
        <v>2172.1400000000008</v>
      </c>
      <c r="T2">
        <v>-5.41</v>
      </c>
      <c r="U2">
        <v>-5.41</v>
      </c>
      <c r="V2">
        <v>0</v>
      </c>
      <c r="W2">
        <v>-45</v>
      </c>
      <c r="X2">
        <v>-45</v>
      </c>
      <c r="Y2">
        <v>0</v>
      </c>
      <c r="Z2">
        <v>93623.799999999843</v>
      </c>
      <c r="AA2">
        <v>95786.949999999822</v>
      </c>
      <c r="AB2">
        <v>2163.1500000000005</v>
      </c>
      <c r="AC2">
        <v>38276.399999999478</v>
      </c>
      <c r="AD2">
        <v>31696.539999999724</v>
      </c>
      <c r="AE2">
        <v>-6579.8600000000206</v>
      </c>
      <c r="AF2">
        <v>55347.400000000933</v>
      </c>
      <c r="AG2">
        <v>64090.410000000862</v>
      </c>
      <c r="AH2">
        <v>8743.0100000000239</v>
      </c>
      <c r="AI2">
        <v>-14825.080000000002</v>
      </c>
      <c r="AJ2">
        <v>0</v>
      </c>
      <c r="AK2">
        <v>14825.080000000002</v>
      </c>
      <c r="AL2">
        <v>70172.480000000389</v>
      </c>
      <c r="AM2">
        <v>64090.410000000862</v>
      </c>
      <c r="AN2">
        <v>-6082.0699999999761</v>
      </c>
      <c r="AO2">
        <v>1839</v>
      </c>
    </row>
    <row r="3" spans="1:41" x14ac:dyDescent="0.35">
      <c r="A3">
        <v>2024</v>
      </c>
      <c r="B3">
        <v>1</v>
      </c>
      <c r="C3">
        <v>1</v>
      </c>
      <c r="D3" s="14">
        <v>45292</v>
      </c>
      <c r="E3" t="s">
        <v>44</v>
      </c>
      <c r="F3" t="s">
        <v>42</v>
      </c>
      <c r="G3" t="s">
        <v>45</v>
      </c>
      <c r="H3">
        <v>74005</v>
      </c>
      <c r="I3">
        <v>74005</v>
      </c>
      <c r="J3">
        <v>0</v>
      </c>
      <c r="K3">
        <v>611.77000000000089</v>
      </c>
      <c r="L3">
        <v>611.77000000000089</v>
      </c>
      <c r="M3">
        <v>0</v>
      </c>
      <c r="N3">
        <v>3004.1199999999881</v>
      </c>
      <c r="O3">
        <v>3004.1199999999881</v>
      </c>
      <c r="P3">
        <v>0</v>
      </c>
      <c r="Q3">
        <v>-12031.259999999931</v>
      </c>
      <c r="R3">
        <v>-10093.820000000002</v>
      </c>
      <c r="S3">
        <v>1937.4400000000064</v>
      </c>
      <c r="T3">
        <v>-7.17</v>
      </c>
      <c r="U3">
        <v>-7.17</v>
      </c>
      <c r="V3">
        <v>0</v>
      </c>
      <c r="W3">
        <v>-41.480000000000004</v>
      </c>
      <c r="X3">
        <v>-41.480000000000004</v>
      </c>
      <c r="Y3">
        <v>0</v>
      </c>
      <c r="Z3">
        <v>65540.979999999938</v>
      </c>
      <c r="AA3">
        <v>67478.419999999809</v>
      </c>
      <c r="AB3">
        <v>1937.4400000000062</v>
      </c>
      <c r="AC3">
        <v>17628.320000000011</v>
      </c>
      <c r="AD3">
        <v>15845.17000000002</v>
      </c>
      <c r="AE3">
        <v>-1783.149999999999</v>
      </c>
      <c r="AF3">
        <v>47912.660000000193</v>
      </c>
      <c r="AG3">
        <v>51633.250000000233</v>
      </c>
      <c r="AH3">
        <v>3720.5900000000106</v>
      </c>
      <c r="AI3">
        <v>-7485.9699999999966</v>
      </c>
      <c r="AJ3">
        <v>0</v>
      </c>
      <c r="AK3">
        <v>7485.9699999999966</v>
      </c>
      <c r="AL3">
        <v>55398.630000000085</v>
      </c>
      <c r="AM3">
        <v>51633.250000000233</v>
      </c>
      <c r="AN3">
        <v>-3765.3799999999987</v>
      </c>
      <c r="AO3">
        <v>992</v>
      </c>
    </row>
    <row r="4" spans="1:41" x14ac:dyDescent="0.35">
      <c r="A4">
        <v>2024</v>
      </c>
      <c r="B4">
        <v>1</v>
      </c>
      <c r="C4">
        <v>1</v>
      </c>
      <c r="D4" s="14">
        <v>45292</v>
      </c>
      <c r="E4" t="s">
        <v>44</v>
      </c>
      <c r="F4" t="s">
        <v>42</v>
      </c>
      <c r="G4" t="s">
        <v>46</v>
      </c>
      <c r="H4">
        <v>24632.100000000031</v>
      </c>
      <c r="I4">
        <v>24632.100000000031</v>
      </c>
      <c r="J4">
        <v>0</v>
      </c>
      <c r="K4">
        <v>226.06999999999982</v>
      </c>
      <c r="L4">
        <v>219.06999999999982</v>
      </c>
      <c r="M4">
        <v>-7</v>
      </c>
      <c r="N4">
        <v>676.59000000000026</v>
      </c>
      <c r="O4">
        <v>676.59000000000026</v>
      </c>
      <c r="P4">
        <v>0</v>
      </c>
      <c r="Q4">
        <v>-8017.2100000000046</v>
      </c>
      <c r="R4">
        <v>-7468.0000000000018</v>
      </c>
      <c r="S4">
        <v>549.20999999999947</v>
      </c>
      <c r="T4">
        <v>-0.95</v>
      </c>
      <c r="U4">
        <v>-0.95</v>
      </c>
      <c r="V4">
        <v>0</v>
      </c>
      <c r="W4">
        <v>-5</v>
      </c>
      <c r="X4">
        <v>-5</v>
      </c>
      <c r="Y4">
        <v>0</v>
      </c>
      <c r="Z4">
        <v>17511.600000000013</v>
      </c>
      <c r="AA4">
        <v>18053.810000000001</v>
      </c>
      <c r="AB4">
        <v>542.20999999999935</v>
      </c>
      <c r="AC4">
        <v>5588.1900000000123</v>
      </c>
      <c r="AD4">
        <v>5158.0600000000113</v>
      </c>
      <c r="AE4">
        <v>-430.13000000000005</v>
      </c>
      <c r="AF4">
        <v>11923.409999999991</v>
      </c>
      <c r="AG4">
        <v>12895.749999999985</v>
      </c>
      <c r="AH4">
        <v>972.34000000000026</v>
      </c>
      <c r="AI4">
        <v>-2474.5399999999991</v>
      </c>
      <c r="AJ4">
        <v>0</v>
      </c>
      <c r="AK4">
        <v>2474.5399999999991</v>
      </c>
      <c r="AL4">
        <v>14397.949999999995</v>
      </c>
      <c r="AM4">
        <v>12895.749999999985</v>
      </c>
      <c r="AN4">
        <v>-1502.1999999999991</v>
      </c>
      <c r="AO4">
        <v>316</v>
      </c>
    </row>
    <row r="5" spans="1:41" x14ac:dyDescent="0.35">
      <c r="A5">
        <v>2024</v>
      </c>
      <c r="B5">
        <v>1</v>
      </c>
      <c r="C5">
        <v>1</v>
      </c>
      <c r="D5" s="14">
        <v>45292</v>
      </c>
      <c r="E5" t="s">
        <v>44</v>
      </c>
      <c r="F5" t="s">
        <v>47</v>
      </c>
      <c r="G5" t="s">
        <v>48</v>
      </c>
      <c r="H5">
        <v>719.05</v>
      </c>
      <c r="I5">
        <v>719.05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-182.9</v>
      </c>
      <c r="R5">
        <v>-182.9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536.15</v>
      </c>
      <c r="AA5">
        <v>536.15</v>
      </c>
      <c r="AB5">
        <v>0</v>
      </c>
      <c r="AE5">
        <v>0</v>
      </c>
      <c r="AF5">
        <v>536.15</v>
      </c>
      <c r="AG5">
        <v>536.15</v>
      </c>
      <c r="AH5">
        <v>0</v>
      </c>
      <c r="AI5">
        <v>212.88</v>
      </c>
      <c r="AJ5">
        <v>0</v>
      </c>
      <c r="AK5">
        <v>-212.88</v>
      </c>
      <c r="AL5">
        <v>323.27</v>
      </c>
      <c r="AM5">
        <v>536.15</v>
      </c>
      <c r="AN5">
        <v>212.88</v>
      </c>
      <c r="AO5">
        <v>12</v>
      </c>
    </row>
    <row r="6" spans="1:41" x14ac:dyDescent="0.35">
      <c r="A6">
        <v>2024</v>
      </c>
      <c r="B6">
        <v>1</v>
      </c>
      <c r="C6">
        <v>1</v>
      </c>
      <c r="D6" s="14">
        <v>45292</v>
      </c>
      <c r="E6" t="s">
        <v>44</v>
      </c>
      <c r="F6" t="s">
        <v>47</v>
      </c>
      <c r="G6" t="s">
        <v>49</v>
      </c>
      <c r="H6">
        <v>823</v>
      </c>
      <c r="I6">
        <v>823</v>
      </c>
      <c r="J6">
        <v>0</v>
      </c>
      <c r="K6">
        <v>0.95</v>
      </c>
      <c r="L6">
        <v>0.95</v>
      </c>
      <c r="M6">
        <v>0</v>
      </c>
      <c r="N6">
        <v>31.98</v>
      </c>
      <c r="O6">
        <v>31.98</v>
      </c>
      <c r="P6">
        <v>0</v>
      </c>
      <c r="Q6">
        <v>-312.21000000000004</v>
      </c>
      <c r="R6">
        <v>-307</v>
      </c>
      <c r="S6">
        <v>5.2100000000000009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543.72</v>
      </c>
      <c r="AA6">
        <v>548.93000000000006</v>
      </c>
      <c r="AB6">
        <v>5.2100000000000009</v>
      </c>
      <c r="AC6">
        <v>62.84</v>
      </c>
      <c r="AD6">
        <v>62.84</v>
      </c>
      <c r="AE6">
        <v>0</v>
      </c>
      <c r="AF6">
        <v>480.88</v>
      </c>
      <c r="AG6">
        <v>486.09</v>
      </c>
      <c r="AH6">
        <v>5.2100000000000009</v>
      </c>
      <c r="AI6">
        <v>-21.019999999999996</v>
      </c>
      <c r="AJ6">
        <v>0</v>
      </c>
      <c r="AK6">
        <v>21.019999999999996</v>
      </c>
      <c r="AL6">
        <v>501.9</v>
      </c>
      <c r="AM6">
        <v>486.09</v>
      </c>
      <c r="AN6">
        <v>-15.810000000000002</v>
      </c>
      <c r="AO6">
        <v>11</v>
      </c>
    </row>
    <row r="7" spans="1:41" x14ac:dyDescent="0.35">
      <c r="A7">
        <v>2024</v>
      </c>
      <c r="B7">
        <v>1</v>
      </c>
      <c r="C7">
        <v>1</v>
      </c>
      <c r="D7" s="14">
        <v>45292</v>
      </c>
      <c r="E7" t="s">
        <v>44</v>
      </c>
      <c r="F7" t="s">
        <v>47</v>
      </c>
      <c r="G7" t="s">
        <v>50</v>
      </c>
      <c r="H7">
        <v>22375</v>
      </c>
      <c r="I7">
        <v>22375</v>
      </c>
      <c r="J7">
        <v>0</v>
      </c>
      <c r="K7">
        <v>365.04999999999978</v>
      </c>
      <c r="L7">
        <v>365.04999999999978</v>
      </c>
      <c r="M7">
        <v>0</v>
      </c>
      <c r="N7">
        <v>686.57000000000028</v>
      </c>
      <c r="O7">
        <v>686.57000000000028</v>
      </c>
      <c r="P7">
        <v>0</v>
      </c>
      <c r="Q7">
        <v>-6441.8600000000006</v>
      </c>
      <c r="R7">
        <v>-6029.8899999999985</v>
      </c>
      <c r="S7">
        <v>411.96999999999986</v>
      </c>
      <c r="T7">
        <v>-20</v>
      </c>
      <c r="U7">
        <v>-20</v>
      </c>
      <c r="V7">
        <v>0</v>
      </c>
      <c r="W7">
        <v>-62.970000000000006</v>
      </c>
      <c r="X7">
        <v>-62.970000000000006</v>
      </c>
      <c r="Y7">
        <v>0</v>
      </c>
      <c r="Z7">
        <v>16901.790000000015</v>
      </c>
      <c r="AA7">
        <v>17313.760000000002</v>
      </c>
      <c r="AB7">
        <v>411.9699999999998</v>
      </c>
      <c r="AC7">
        <v>3867.5100000000061</v>
      </c>
      <c r="AD7">
        <v>3436.3400000000047</v>
      </c>
      <c r="AE7">
        <v>-431.16999999999996</v>
      </c>
      <c r="AF7">
        <v>13034.279999999997</v>
      </c>
      <c r="AG7">
        <v>13877.419999999993</v>
      </c>
      <c r="AH7">
        <v>843.14000000000021</v>
      </c>
      <c r="AI7">
        <v>-1859.0199999999993</v>
      </c>
      <c r="AJ7">
        <v>0</v>
      </c>
      <c r="AK7">
        <v>1859.0199999999993</v>
      </c>
      <c r="AL7">
        <v>14893.300000000001</v>
      </c>
      <c r="AM7">
        <v>13877.419999999993</v>
      </c>
      <c r="AN7">
        <v>-1015.8800000000002</v>
      </c>
      <c r="AO7">
        <v>274</v>
      </c>
    </row>
    <row r="8" spans="1:41" x14ac:dyDescent="0.35">
      <c r="A8">
        <v>2024</v>
      </c>
      <c r="B8">
        <v>1</v>
      </c>
      <c r="C8">
        <v>1</v>
      </c>
      <c r="D8" s="14">
        <v>45293</v>
      </c>
      <c r="E8" t="s">
        <v>41</v>
      </c>
      <c r="F8" t="s">
        <v>42</v>
      </c>
      <c r="G8" t="s">
        <v>43</v>
      </c>
      <c r="H8">
        <v>233793</v>
      </c>
      <c r="I8">
        <v>233793</v>
      </c>
      <c r="J8">
        <v>0</v>
      </c>
      <c r="K8">
        <v>2343.5800000000218</v>
      </c>
      <c r="L8">
        <v>2343.5800000000208</v>
      </c>
      <c r="M8">
        <v>0</v>
      </c>
      <c r="N8">
        <v>2734.1399999999908</v>
      </c>
      <c r="O8">
        <v>2692.1699999999914</v>
      </c>
      <c r="P8">
        <v>-41.97</v>
      </c>
      <c r="Q8">
        <v>-15339.980000000003</v>
      </c>
      <c r="R8">
        <v>-12139.380000000001</v>
      </c>
      <c r="S8">
        <v>3200.6000000000013</v>
      </c>
      <c r="T8">
        <v>-25.2</v>
      </c>
      <c r="U8">
        <v>-25.200000000000003</v>
      </c>
      <c r="V8">
        <v>0</v>
      </c>
      <c r="W8">
        <v>-95.99</v>
      </c>
      <c r="X8">
        <v>-95.99</v>
      </c>
      <c r="Y8">
        <v>0</v>
      </c>
      <c r="Z8">
        <v>223409.54999999978</v>
      </c>
      <c r="AA8">
        <v>226568.17999999973</v>
      </c>
      <c r="AB8">
        <v>3158.6300000000019</v>
      </c>
      <c r="AC8">
        <v>88721.579999999682</v>
      </c>
      <c r="AD8">
        <v>59312.040000000175</v>
      </c>
      <c r="AE8">
        <v>-29409.539999999779</v>
      </c>
      <c r="AF8">
        <v>134687.97000000105</v>
      </c>
      <c r="AG8">
        <v>167256.14000000223</v>
      </c>
      <c r="AH8">
        <v>32568.169999999722</v>
      </c>
      <c r="AI8">
        <v>-27350.260000000188</v>
      </c>
      <c r="AJ8">
        <v>0</v>
      </c>
      <c r="AK8">
        <v>27350.260000000188</v>
      </c>
      <c r="AL8">
        <v>162038.23000000216</v>
      </c>
      <c r="AM8">
        <v>167256.14000000223</v>
      </c>
      <c r="AN8">
        <v>5217.9100000002763</v>
      </c>
      <c r="AO8">
        <v>4403</v>
      </c>
    </row>
    <row r="9" spans="1:41" x14ac:dyDescent="0.35">
      <c r="A9">
        <v>2024</v>
      </c>
      <c r="B9">
        <v>1</v>
      </c>
      <c r="C9">
        <v>1</v>
      </c>
      <c r="D9" s="14">
        <v>45293</v>
      </c>
      <c r="E9" t="s">
        <v>44</v>
      </c>
      <c r="F9" t="s">
        <v>42</v>
      </c>
      <c r="G9" t="s">
        <v>45</v>
      </c>
      <c r="H9">
        <v>185487.25</v>
      </c>
      <c r="I9">
        <v>185487.25</v>
      </c>
      <c r="J9">
        <v>0</v>
      </c>
      <c r="K9">
        <v>1610.1400000000115</v>
      </c>
      <c r="L9">
        <v>1610.1400000000115</v>
      </c>
      <c r="M9">
        <v>0</v>
      </c>
      <c r="N9">
        <v>6650.7099999999355</v>
      </c>
      <c r="O9">
        <v>6650.7099999999355</v>
      </c>
      <c r="P9">
        <v>0</v>
      </c>
      <c r="Q9">
        <v>-27960.039999999743</v>
      </c>
      <c r="R9">
        <v>-25247.059999999979</v>
      </c>
      <c r="S9">
        <v>2712.98000000001</v>
      </c>
      <c r="T9">
        <v>-21.559999999999995</v>
      </c>
      <c r="U9">
        <v>-21.559999999999995</v>
      </c>
      <c r="V9">
        <v>0</v>
      </c>
      <c r="W9">
        <v>-131.46</v>
      </c>
      <c r="X9">
        <v>-131.46</v>
      </c>
      <c r="Y9">
        <v>0</v>
      </c>
      <c r="Z9">
        <v>165635.03999999986</v>
      </c>
      <c r="AA9">
        <v>168348.02</v>
      </c>
      <c r="AB9">
        <v>2712.98000000001</v>
      </c>
      <c r="AC9">
        <v>46539.239999999096</v>
      </c>
      <c r="AD9">
        <v>31220.58999999988</v>
      </c>
      <c r="AE9">
        <v>-15318.65000000002</v>
      </c>
      <c r="AF9">
        <v>119095.80000000105</v>
      </c>
      <c r="AG9">
        <v>137127.43000000107</v>
      </c>
      <c r="AH9">
        <v>18031.629999999837</v>
      </c>
      <c r="AI9">
        <v>-14755.969999999994</v>
      </c>
      <c r="AJ9">
        <v>0</v>
      </c>
      <c r="AK9">
        <v>14755.969999999994</v>
      </c>
      <c r="AL9">
        <v>133851.77000000028</v>
      </c>
      <c r="AM9">
        <v>137127.43000000107</v>
      </c>
      <c r="AN9">
        <v>3275.6600000000076</v>
      </c>
      <c r="AO9">
        <v>2575</v>
      </c>
    </row>
    <row r="10" spans="1:41" x14ac:dyDescent="0.35">
      <c r="A10">
        <v>2024</v>
      </c>
      <c r="B10">
        <v>1</v>
      </c>
      <c r="C10">
        <v>1</v>
      </c>
      <c r="D10" s="14">
        <v>45293</v>
      </c>
      <c r="E10" t="s">
        <v>44</v>
      </c>
      <c r="F10" t="s">
        <v>42</v>
      </c>
      <c r="G10" t="s">
        <v>46</v>
      </c>
      <c r="H10">
        <v>77391.229999999632</v>
      </c>
      <c r="I10">
        <v>77391.229999999632</v>
      </c>
      <c r="J10">
        <v>0</v>
      </c>
      <c r="K10">
        <v>548.73999999999944</v>
      </c>
      <c r="L10">
        <v>541.7399999999991</v>
      </c>
      <c r="M10">
        <v>-7</v>
      </c>
      <c r="N10">
        <v>1623.0200000000007</v>
      </c>
      <c r="O10">
        <v>1591.0400000000006</v>
      </c>
      <c r="P10">
        <v>-31.98</v>
      </c>
      <c r="Q10">
        <v>-25238.180000000084</v>
      </c>
      <c r="R10">
        <v>-24050.880000000019</v>
      </c>
      <c r="S10">
        <v>1187.3000000000031</v>
      </c>
      <c r="T10">
        <v>-0.95</v>
      </c>
      <c r="U10">
        <v>-0.95</v>
      </c>
      <c r="V10">
        <v>0</v>
      </c>
      <c r="W10">
        <v>-25.990000000000002</v>
      </c>
      <c r="X10">
        <v>-20.990000000000002</v>
      </c>
      <c r="Y10">
        <v>5</v>
      </c>
      <c r="Z10">
        <v>54297.869999999806</v>
      </c>
      <c r="AA10">
        <v>55451.189999999791</v>
      </c>
      <c r="AB10">
        <v>1153.3200000000029</v>
      </c>
      <c r="AC10">
        <v>17787.060000000056</v>
      </c>
      <c r="AD10">
        <v>13082.490000000031</v>
      </c>
      <c r="AE10">
        <v>-4704.5700000000079</v>
      </c>
      <c r="AF10">
        <v>36510.810000000019</v>
      </c>
      <c r="AG10">
        <v>42368.700000000063</v>
      </c>
      <c r="AH10">
        <v>5857.8900000000149</v>
      </c>
      <c r="AI10">
        <v>-6032.3699999999908</v>
      </c>
      <c r="AJ10">
        <v>0</v>
      </c>
      <c r="AK10">
        <v>6032.3699999999908</v>
      </c>
      <c r="AL10">
        <v>42543.180000000139</v>
      </c>
      <c r="AM10">
        <v>42368.700000000063</v>
      </c>
      <c r="AN10">
        <v>-174.47999999999982</v>
      </c>
      <c r="AO10">
        <v>1002</v>
      </c>
    </row>
    <row r="11" spans="1:41" x14ac:dyDescent="0.35">
      <c r="A11">
        <v>2024</v>
      </c>
      <c r="B11">
        <v>1</v>
      </c>
      <c r="C11">
        <v>1</v>
      </c>
      <c r="D11" s="14">
        <v>45293</v>
      </c>
      <c r="E11" t="s">
        <v>44</v>
      </c>
      <c r="F11" t="s">
        <v>47</v>
      </c>
      <c r="G11" t="s">
        <v>48</v>
      </c>
      <c r="H11">
        <v>945.43000000000006</v>
      </c>
      <c r="I11">
        <v>945.43000000000006</v>
      </c>
      <c r="J11">
        <v>0</v>
      </c>
      <c r="K11">
        <v>12.450000000000001</v>
      </c>
      <c r="L11">
        <v>12.450000000000001</v>
      </c>
      <c r="M11">
        <v>0</v>
      </c>
      <c r="N11">
        <v>15.99</v>
      </c>
      <c r="O11">
        <v>15.99</v>
      </c>
      <c r="P11">
        <v>0</v>
      </c>
      <c r="Q11">
        <v>-305.33999999999997</v>
      </c>
      <c r="R11">
        <v>-300.13</v>
      </c>
      <c r="S11">
        <v>5.2100000000000009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668.53</v>
      </c>
      <c r="AA11">
        <v>673.74</v>
      </c>
      <c r="AB11">
        <v>5.210000000000008</v>
      </c>
      <c r="AC11">
        <v>59.680000000000007</v>
      </c>
      <c r="AD11">
        <v>59.680000000000007</v>
      </c>
      <c r="AE11">
        <v>0</v>
      </c>
      <c r="AF11">
        <v>608.85</v>
      </c>
      <c r="AG11">
        <v>614.05999999999995</v>
      </c>
      <c r="AH11">
        <v>5.210000000000008</v>
      </c>
      <c r="AI11">
        <v>61.13000000000001</v>
      </c>
      <c r="AJ11">
        <v>0</v>
      </c>
      <c r="AK11">
        <v>-61.13000000000001</v>
      </c>
      <c r="AL11">
        <v>547.71999999999991</v>
      </c>
      <c r="AM11">
        <v>614.05999999999995</v>
      </c>
      <c r="AN11">
        <v>66.340000000000018</v>
      </c>
      <c r="AO11">
        <v>16</v>
      </c>
    </row>
    <row r="12" spans="1:41" x14ac:dyDescent="0.35">
      <c r="A12">
        <v>2024</v>
      </c>
      <c r="B12">
        <v>1</v>
      </c>
      <c r="C12">
        <v>1</v>
      </c>
      <c r="D12" s="14">
        <v>45293</v>
      </c>
      <c r="E12" t="s">
        <v>44</v>
      </c>
      <c r="F12" t="s">
        <v>47</v>
      </c>
      <c r="G12" t="s">
        <v>49</v>
      </c>
      <c r="H12">
        <v>3021</v>
      </c>
      <c r="I12">
        <v>3021</v>
      </c>
      <c r="J12">
        <v>0</v>
      </c>
      <c r="K12">
        <v>67.430000000000007</v>
      </c>
      <c r="L12">
        <v>67.430000000000007</v>
      </c>
      <c r="M12">
        <v>0</v>
      </c>
      <c r="N12">
        <v>121.91999999999999</v>
      </c>
      <c r="O12">
        <v>121.91999999999999</v>
      </c>
      <c r="P12">
        <v>0</v>
      </c>
      <c r="Q12">
        <v>-982.41</v>
      </c>
      <c r="R12">
        <v>-961.56999999999994</v>
      </c>
      <c r="S12">
        <v>20.840000000000003</v>
      </c>
      <c r="T12">
        <v>0</v>
      </c>
      <c r="U12">
        <v>0</v>
      </c>
      <c r="V12">
        <v>0</v>
      </c>
      <c r="W12">
        <v>-5</v>
      </c>
      <c r="X12">
        <v>-5</v>
      </c>
      <c r="Y12">
        <v>0</v>
      </c>
      <c r="Z12">
        <v>2222.9400000000005</v>
      </c>
      <c r="AA12">
        <v>2243.7800000000002</v>
      </c>
      <c r="AB12">
        <v>20.839999999999996</v>
      </c>
      <c r="AC12">
        <v>479.96000000000004</v>
      </c>
      <c r="AD12">
        <v>417.12</v>
      </c>
      <c r="AE12">
        <v>-62.84</v>
      </c>
      <c r="AF12">
        <v>1742.9800000000002</v>
      </c>
      <c r="AG12">
        <v>1826.6600000000003</v>
      </c>
      <c r="AH12">
        <v>83.679999999999978</v>
      </c>
      <c r="AI12">
        <v>-221.21999999999994</v>
      </c>
      <c r="AJ12">
        <v>0</v>
      </c>
      <c r="AK12">
        <v>221.21999999999994</v>
      </c>
      <c r="AL12">
        <v>1964.2000000000005</v>
      </c>
      <c r="AM12">
        <v>1826.6600000000003</v>
      </c>
      <c r="AN12">
        <v>-137.53999999999996</v>
      </c>
      <c r="AO12">
        <v>37</v>
      </c>
    </row>
    <row r="13" spans="1:41" x14ac:dyDescent="0.35">
      <c r="A13">
        <v>2024</v>
      </c>
      <c r="B13">
        <v>1</v>
      </c>
      <c r="C13">
        <v>1</v>
      </c>
      <c r="D13" s="14">
        <v>45293</v>
      </c>
      <c r="E13" t="s">
        <v>44</v>
      </c>
      <c r="F13" t="s">
        <v>47</v>
      </c>
      <c r="G13" t="s">
        <v>50</v>
      </c>
      <c r="H13">
        <v>48148</v>
      </c>
      <c r="I13">
        <v>48148</v>
      </c>
      <c r="J13">
        <v>0</v>
      </c>
      <c r="K13">
        <v>757.04000000000053</v>
      </c>
      <c r="L13">
        <v>769.54000000000053</v>
      </c>
      <c r="M13">
        <v>12.5</v>
      </c>
      <c r="N13">
        <v>1556.0300000000007</v>
      </c>
      <c r="O13">
        <v>1524.0500000000006</v>
      </c>
      <c r="P13">
        <v>-31.98</v>
      </c>
      <c r="Q13">
        <v>-13345.04999999997</v>
      </c>
      <c r="R13">
        <v>-12816.249999999996</v>
      </c>
      <c r="S13">
        <v>528.7999999999995</v>
      </c>
      <c r="T13">
        <v>-70</v>
      </c>
      <c r="U13">
        <v>-70.95</v>
      </c>
      <c r="V13">
        <v>-0.95</v>
      </c>
      <c r="W13">
        <v>-50.99</v>
      </c>
      <c r="X13">
        <v>-50.99</v>
      </c>
      <c r="Y13">
        <v>0</v>
      </c>
      <c r="Z13">
        <v>36995.030000000035</v>
      </c>
      <c r="AA13">
        <v>37503.400000000016</v>
      </c>
      <c r="AB13">
        <v>508.36999999999915</v>
      </c>
      <c r="AC13">
        <v>10146.310000000019</v>
      </c>
      <c r="AD13">
        <v>6782.6100000000142</v>
      </c>
      <c r="AE13">
        <v>-3363.7000000000044</v>
      </c>
      <c r="AF13">
        <v>26848.720000000052</v>
      </c>
      <c r="AG13">
        <v>30720.790000000066</v>
      </c>
      <c r="AH13">
        <v>3872.0700000000079</v>
      </c>
      <c r="AI13">
        <v>-3454.1800000000012</v>
      </c>
      <c r="AJ13">
        <v>0</v>
      </c>
      <c r="AK13">
        <v>3454.1800000000012</v>
      </c>
      <c r="AL13">
        <v>30302.900000000045</v>
      </c>
      <c r="AM13">
        <v>30720.790000000066</v>
      </c>
      <c r="AN13">
        <v>417.88999999999965</v>
      </c>
      <c r="AO13">
        <v>591</v>
      </c>
    </row>
    <row r="14" spans="1:41" x14ac:dyDescent="0.35">
      <c r="A14">
        <v>2024</v>
      </c>
      <c r="B14">
        <v>1</v>
      </c>
      <c r="C14">
        <v>1</v>
      </c>
      <c r="D14" s="14">
        <v>45293</v>
      </c>
      <c r="E14" t="s">
        <v>44</v>
      </c>
      <c r="F14" t="s">
        <v>47</v>
      </c>
      <c r="G14" t="s">
        <v>51</v>
      </c>
      <c r="H14">
        <v>244</v>
      </c>
      <c r="I14">
        <v>244</v>
      </c>
      <c r="J14">
        <v>0</v>
      </c>
      <c r="K14">
        <v>7.95</v>
      </c>
      <c r="L14">
        <v>7.95</v>
      </c>
      <c r="M14">
        <v>0</v>
      </c>
      <c r="N14">
        <v>0</v>
      </c>
      <c r="O14">
        <v>0</v>
      </c>
      <c r="P14">
        <v>0</v>
      </c>
      <c r="Q14">
        <v>-43.5</v>
      </c>
      <c r="R14">
        <v>-38.5</v>
      </c>
      <c r="S14">
        <v>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208.45</v>
      </c>
      <c r="AA14">
        <v>213.45</v>
      </c>
      <c r="AB14">
        <v>5</v>
      </c>
      <c r="AC14">
        <v>38.090000000000003</v>
      </c>
      <c r="AD14">
        <v>38.090000000000003</v>
      </c>
      <c r="AE14">
        <v>0</v>
      </c>
      <c r="AF14">
        <v>170.36</v>
      </c>
      <c r="AG14">
        <v>175.36</v>
      </c>
      <c r="AH14">
        <v>5</v>
      </c>
      <c r="AI14">
        <v>-8.2899999999999991</v>
      </c>
      <c r="AJ14">
        <v>0</v>
      </c>
      <c r="AK14">
        <v>8.2899999999999991</v>
      </c>
      <c r="AL14">
        <v>178.65</v>
      </c>
      <c r="AM14">
        <v>175.36</v>
      </c>
      <c r="AN14">
        <v>-3.2899999999999991</v>
      </c>
      <c r="AO14">
        <v>3</v>
      </c>
    </row>
    <row r="15" spans="1:41" x14ac:dyDescent="0.35">
      <c r="A15">
        <v>2024</v>
      </c>
      <c r="B15">
        <v>1</v>
      </c>
      <c r="C15">
        <v>1</v>
      </c>
      <c r="D15" s="14">
        <v>45294</v>
      </c>
      <c r="E15" t="s">
        <v>41</v>
      </c>
      <c r="F15" t="s">
        <v>42</v>
      </c>
      <c r="G15" t="s">
        <v>43</v>
      </c>
      <c r="H15">
        <v>272429</v>
      </c>
      <c r="I15">
        <v>272429</v>
      </c>
      <c r="J15">
        <v>0</v>
      </c>
      <c r="K15">
        <v>3093.9300000000089</v>
      </c>
      <c r="L15">
        <v>3100.9300000000089</v>
      </c>
      <c r="M15">
        <v>7</v>
      </c>
      <c r="N15">
        <v>3258.7499999999827</v>
      </c>
      <c r="O15">
        <v>3258.7499999999827</v>
      </c>
      <c r="P15">
        <v>0</v>
      </c>
      <c r="Q15">
        <v>-16302.630000000001</v>
      </c>
      <c r="R15">
        <v>-14515.65</v>
      </c>
      <c r="S15">
        <v>1786.9800000000005</v>
      </c>
      <c r="T15">
        <v>-40.029999999999994</v>
      </c>
      <c r="U15">
        <v>-40.029999999999994</v>
      </c>
      <c r="V15">
        <v>0</v>
      </c>
      <c r="W15">
        <v>-158.47999999999999</v>
      </c>
      <c r="X15">
        <v>-158.47999999999999</v>
      </c>
      <c r="Y15">
        <v>0</v>
      </c>
      <c r="Z15">
        <v>262280.53999999823</v>
      </c>
      <c r="AA15">
        <v>264074.51999999856</v>
      </c>
      <c r="AB15">
        <v>1793.9800000000005</v>
      </c>
      <c r="AC15">
        <v>103545.02999999959</v>
      </c>
      <c r="AD15">
        <v>45381.969999999223</v>
      </c>
      <c r="AE15">
        <v>-58163.060000000121</v>
      </c>
      <c r="AF15">
        <v>158735.51000000286</v>
      </c>
      <c r="AG15">
        <v>218692.5500000024</v>
      </c>
      <c r="AH15">
        <v>59957.040000000219</v>
      </c>
      <c r="AI15">
        <v>-21087.069999999978</v>
      </c>
      <c r="AJ15">
        <v>0</v>
      </c>
      <c r="AK15">
        <v>21087.069999999978</v>
      </c>
      <c r="AL15">
        <v>179822.58000000351</v>
      </c>
      <c r="AM15">
        <v>218692.5500000024</v>
      </c>
      <c r="AN15">
        <v>38869.969999999208</v>
      </c>
      <c r="AO15">
        <v>5198</v>
      </c>
    </row>
    <row r="16" spans="1:41" x14ac:dyDescent="0.35">
      <c r="A16">
        <v>2024</v>
      </c>
      <c r="B16">
        <v>1</v>
      </c>
      <c r="C16">
        <v>1</v>
      </c>
      <c r="D16" s="14">
        <v>45294</v>
      </c>
      <c r="E16" t="s">
        <v>44</v>
      </c>
      <c r="F16" t="s">
        <v>42</v>
      </c>
      <c r="G16" t="s">
        <v>45</v>
      </c>
      <c r="H16">
        <v>263156.61</v>
      </c>
      <c r="I16">
        <v>263156.61</v>
      </c>
      <c r="J16">
        <v>0</v>
      </c>
      <c r="K16">
        <v>2419.8100000000081</v>
      </c>
      <c r="L16">
        <v>2419.8100000000081</v>
      </c>
      <c r="M16">
        <v>0</v>
      </c>
      <c r="N16">
        <v>7739.8699999999189</v>
      </c>
      <c r="O16">
        <v>7755.8599999999187</v>
      </c>
      <c r="P16">
        <v>15.99</v>
      </c>
      <c r="Q16">
        <v>-39450.369999999792</v>
      </c>
      <c r="R16">
        <v>-37274.439999999988</v>
      </c>
      <c r="S16">
        <v>2175.9300000000071</v>
      </c>
      <c r="T16">
        <v>-30.649999999999995</v>
      </c>
      <c r="U16">
        <v>-30.649999999999995</v>
      </c>
      <c r="V16">
        <v>0</v>
      </c>
      <c r="W16">
        <v>-208.06000000000006</v>
      </c>
      <c r="X16">
        <v>-208.06000000000006</v>
      </c>
      <c r="Y16">
        <v>0</v>
      </c>
      <c r="Z16">
        <v>233627.20999999929</v>
      </c>
      <c r="AA16">
        <v>235819.12999999904</v>
      </c>
      <c r="AB16">
        <v>2191.9200000000073</v>
      </c>
      <c r="AC16">
        <v>65357.25999999843</v>
      </c>
      <c r="AD16">
        <v>34961.309999999707</v>
      </c>
      <c r="AE16">
        <v>-30395.949999999895</v>
      </c>
      <c r="AF16">
        <v>168269.95000000068</v>
      </c>
      <c r="AG16">
        <v>200857.82000000018</v>
      </c>
      <c r="AH16">
        <v>32587.869999999708</v>
      </c>
      <c r="AI16">
        <v>-15417.009999999987</v>
      </c>
      <c r="AJ16">
        <v>0</v>
      </c>
      <c r="AK16">
        <v>15417.009999999987</v>
      </c>
      <c r="AL16">
        <v>183686.96000000069</v>
      </c>
      <c r="AM16">
        <v>200857.82000000018</v>
      </c>
      <c r="AN16">
        <v>17170.860000000015</v>
      </c>
      <c r="AO16">
        <v>3640</v>
      </c>
    </row>
    <row r="17" spans="1:41" x14ac:dyDescent="0.35">
      <c r="A17">
        <v>2024</v>
      </c>
      <c r="B17">
        <v>1</v>
      </c>
      <c r="C17">
        <v>1</v>
      </c>
      <c r="D17" s="14">
        <v>45294</v>
      </c>
      <c r="E17" t="s">
        <v>44</v>
      </c>
      <c r="F17" t="s">
        <v>42</v>
      </c>
      <c r="G17" t="s">
        <v>46</v>
      </c>
      <c r="H17">
        <v>125317.22999999803</v>
      </c>
      <c r="I17">
        <v>125317.22999999803</v>
      </c>
      <c r="J17">
        <v>0</v>
      </c>
      <c r="K17">
        <v>763.4400000000046</v>
      </c>
      <c r="L17">
        <v>763.4400000000046</v>
      </c>
      <c r="M17">
        <v>0</v>
      </c>
      <c r="N17">
        <v>2288.5799999999977</v>
      </c>
      <c r="O17">
        <v>2288.5799999999977</v>
      </c>
      <c r="P17">
        <v>0</v>
      </c>
      <c r="Q17">
        <v>-40078.300000000141</v>
      </c>
      <c r="R17">
        <v>-38978.970000000074</v>
      </c>
      <c r="S17">
        <v>1099.330000000002</v>
      </c>
      <c r="T17">
        <v>-5</v>
      </c>
      <c r="U17">
        <v>-5</v>
      </c>
      <c r="V17">
        <v>0</v>
      </c>
      <c r="W17">
        <v>-20.990000000000002</v>
      </c>
      <c r="X17">
        <v>-20.990000000000002</v>
      </c>
      <c r="Y17">
        <v>0</v>
      </c>
      <c r="Z17">
        <v>88264.960000000225</v>
      </c>
      <c r="AA17">
        <v>89364.290000000168</v>
      </c>
      <c r="AB17">
        <v>1099.330000000002</v>
      </c>
      <c r="AC17">
        <v>28288.880000000023</v>
      </c>
      <c r="AD17">
        <v>15509.02000000004</v>
      </c>
      <c r="AE17">
        <v>-12779.860000000032</v>
      </c>
      <c r="AF17">
        <v>59976.080000000191</v>
      </c>
      <c r="AG17">
        <v>73855.270000000135</v>
      </c>
      <c r="AH17">
        <v>13879.189999999993</v>
      </c>
      <c r="AI17">
        <v>-6597.6999999999871</v>
      </c>
      <c r="AJ17">
        <v>0</v>
      </c>
      <c r="AK17">
        <v>6597.6999999999871</v>
      </c>
      <c r="AL17">
        <v>66573.780000000173</v>
      </c>
      <c r="AM17">
        <v>73855.270000000135</v>
      </c>
      <c r="AN17">
        <v>7281.490000000038</v>
      </c>
      <c r="AO17">
        <v>1609</v>
      </c>
    </row>
    <row r="18" spans="1:41" x14ac:dyDescent="0.35">
      <c r="A18">
        <v>2024</v>
      </c>
      <c r="B18">
        <v>1</v>
      </c>
      <c r="C18">
        <v>1</v>
      </c>
      <c r="D18" s="14">
        <v>45294</v>
      </c>
      <c r="E18" t="s">
        <v>44</v>
      </c>
      <c r="F18" t="s">
        <v>47</v>
      </c>
      <c r="G18" t="s">
        <v>48</v>
      </c>
      <c r="H18">
        <v>5179.2300000000114</v>
      </c>
      <c r="I18">
        <v>5179.2300000000114</v>
      </c>
      <c r="J18">
        <v>0</v>
      </c>
      <c r="K18">
        <v>280.74999999999994</v>
      </c>
      <c r="L18">
        <v>280.74999999999994</v>
      </c>
      <c r="M18">
        <v>0</v>
      </c>
      <c r="N18">
        <v>44.980000000000004</v>
      </c>
      <c r="O18">
        <v>44.980000000000004</v>
      </c>
      <c r="P18">
        <v>0</v>
      </c>
      <c r="Q18">
        <v>-1002.1400000000002</v>
      </c>
      <c r="R18">
        <v>-1002.1400000000002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4502.8200000000097</v>
      </c>
      <c r="AA18">
        <v>4502.8200000000097</v>
      </c>
      <c r="AB18">
        <v>0</v>
      </c>
      <c r="AC18">
        <v>202.14000000000001</v>
      </c>
      <c r="AD18">
        <v>142.46</v>
      </c>
      <c r="AE18">
        <v>-59.680000000000007</v>
      </c>
      <c r="AF18">
        <v>4300.6800000000085</v>
      </c>
      <c r="AG18">
        <v>4360.3600000000088</v>
      </c>
      <c r="AH18">
        <v>59.680000000000007</v>
      </c>
      <c r="AI18">
        <v>1107.6900000000003</v>
      </c>
      <c r="AJ18">
        <v>0</v>
      </c>
      <c r="AK18">
        <v>-1107.6900000000003</v>
      </c>
      <c r="AL18">
        <v>3192.9900000000034</v>
      </c>
      <c r="AM18">
        <v>4360.3600000000088</v>
      </c>
      <c r="AN18">
        <v>1167.370000000001</v>
      </c>
      <c r="AO18">
        <v>136</v>
      </c>
    </row>
    <row r="19" spans="1:41" x14ac:dyDescent="0.35">
      <c r="A19">
        <v>2024</v>
      </c>
      <c r="B19">
        <v>1</v>
      </c>
      <c r="C19">
        <v>1</v>
      </c>
      <c r="D19" s="14">
        <v>45294</v>
      </c>
      <c r="E19" t="s">
        <v>44</v>
      </c>
      <c r="F19" t="s">
        <v>47</v>
      </c>
      <c r="G19" t="s">
        <v>49</v>
      </c>
      <c r="H19">
        <v>14710.4</v>
      </c>
      <c r="I19">
        <v>14710.4</v>
      </c>
      <c r="J19">
        <v>0</v>
      </c>
      <c r="K19">
        <v>178.13000000000002</v>
      </c>
      <c r="L19">
        <v>178.13000000000002</v>
      </c>
      <c r="M19">
        <v>0</v>
      </c>
      <c r="N19">
        <v>198.87000000000003</v>
      </c>
      <c r="O19">
        <v>198.87000000000003</v>
      </c>
      <c r="P19">
        <v>0</v>
      </c>
      <c r="Q19">
        <v>-5072.34</v>
      </c>
      <c r="R19">
        <v>-5030.87</v>
      </c>
      <c r="S19">
        <v>41.470000000000006</v>
      </c>
      <c r="T19">
        <v>-20</v>
      </c>
      <c r="U19">
        <v>-20</v>
      </c>
      <c r="V19">
        <v>0</v>
      </c>
      <c r="W19">
        <v>-5</v>
      </c>
      <c r="X19">
        <v>-5</v>
      </c>
      <c r="Y19">
        <v>0</v>
      </c>
      <c r="Z19">
        <v>9990.059999999994</v>
      </c>
      <c r="AA19">
        <v>10031.529999999992</v>
      </c>
      <c r="AB19">
        <v>41.469999999999985</v>
      </c>
      <c r="AC19">
        <v>1223.3099999999995</v>
      </c>
      <c r="AD19">
        <v>774.09999999999991</v>
      </c>
      <c r="AE19">
        <v>-449.21000000000004</v>
      </c>
      <c r="AF19">
        <v>8766.7499999999945</v>
      </c>
      <c r="AG19">
        <v>9257.4299999999948</v>
      </c>
      <c r="AH19">
        <v>490.67999999999995</v>
      </c>
      <c r="AI19">
        <v>1061.7100000000005</v>
      </c>
      <c r="AJ19">
        <v>0</v>
      </c>
      <c r="AK19">
        <v>-1061.7100000000005</v>
      </c>
      <c r="AL19">
        <v>7705.0399999999981</v>
      </c>
      <c r="AM19">
        <v>9257.4299999999948</v>
      </c>
      <c r="AN19">
        <v>1552.3899999999994</v>
      </c>
      <c r="AO19">
        <v>187</v>
      </c>
    </row>
    <row r="20" spans="1:41" x14ac:dyDescent="0.35">
      <c r="A20">
        <v>2024</v>
      </c>
      <c r="B20">
        <v>1</v>
      </c>
      <c r="C20">
        <v>1</v>
      </c>
      <c r="D20" s="14">
        <v>45294</v>
      </c>
      <c r="E20" t="s">
        <v>44</v>
      </c>
      <c r="F20" t="s">
        <v>47</v>
      </c>
      <c r="G20" t="s">
        <v>50</v>
      </c>
      <c r="H20">
        <v>61211</v>
      </c>
      <c r="I20">
        <v>61211</v>
      </c>
      <c r="J20">
        <v>0</v>
      </c>
      <c r="K20">
        <v>966.16000000000224</v>
      </c>
      <c r="L20">
        <v>966.16000000000224</v>
      </c>
      <c r="M20">
        <v>0</v>
      </c>
      <c r="N20">
        <v>1631.9900000000007</v>
      </c>
      <c r="O20">
        <v>1600.0000000000007</v>
      </c>
      <c r="P20">
        <v>-31.99</v>
      </c>
      <c r="Q20">
        <v>-17606.499999999967</v>
      </c>
      <c r="R20">
        <v>-17027.069999999996</v>
      </c>
      <c r="S20">
        <v>579.42999999999995</v>
      </c>
      <c r="T20">
        <v>-60.46</v>
      </c>
      <c r="U20">
        <v>-60.46</v>
      </c>
      <c r="V20">
        <v>0</v>
      </c>
      <c r="W20">
        <v>-64.98</v>
      </c>
      <c r="X20">
        <v>-64.98</v>
      </c>
      <c r="Y20">
        <v>0</v>
      </c>
      <c r="Z20">
        <v>46077.209999999963</v>
      </c>
      <c r="AA20">
        <v>46624.649999999921</v>
      </c>
      <c r="AB20">
        <v>547.4399999999996</v>
      </c>
      <c r="AC20">
        <v>13478.560000000019</v>
      </c>
      <c r="AD20">
        <v>6903.3500000000149</v>
      </c>
      <c r="AE20">
        <v>-6575.2100000000146</v>
      </c>
      <c r="AF20">
        <v>32598.650000000063</v>
      </c>
      <c r="AG20">
        <v>39721.300000000083</v>
      </c>
      <c r="AH20">
        <v>7122.6500000000178</v>
      </c>
      <c r="AI20">
        <v>-3260.2099999999987</v>
      </c>
      <c r="AJ20">
        <v>0</v>
      </c>
      <c r="AK20">
        <v>3260.2099999999987</v>
      </c>
      <c r="AL20">
        <v>35858.860000000052</v>
      </c>
      <c r="AM20">
        <v>39721.300000000083</v>
      </c>
      <c r="AN20">
        <v>3862.440000000011</v>
      </c>
      <c r="AO20">
        <v>762</v>
      </c>
    </row>
    <row r="21" spans="1:41" x14ac:dyDescent="0.35">
      <c r="A21">
        <v>2024</v>
      </c>
      <c r="B21">
        <v>1</v>
      </c>
      <c r="C21">
        <v>1</v>
      </c>
      <c r="D21" s="14">
        <v>45294</v>
      </c>
      <c r="E21" t="s">
        <v>44</v>
      </c>
      <c r="F21" t="s">
        <v>47</v>
      </c>
      <c r="G21" t="s">
        <v>51</v>
      </c>
      <c r="H21">
        <v>2711.25</v>
      </c>
      <c r="I21">
        <v>2711.25</v>
      </c>
      <c r="J21">
        <v>0</v>
      </c>
      <c r="K21">
        <v>28.9</v>
      </c>
      <c r="L21">
        <v>28.9</v>
      </c>
      <c r="M21">
        <v>0</v>
      </c>
      <c r="N21">
        <v>0</v>
      </c>
      <c r="O21">
        <v>0</v>
      </c>
      <c r="P21">
        <v>0</v>
      </c>
      <c r="Q21">
        <v>-349.75</v>
      </c>
      <c r="R21">
        <v>-349.75</v>
      </c>
      <c r="S21">
        <v>0</v>
      </c>
      <c r="T21">
        <v>-8</v>
      </c>
      <c r="U21">
        <v>-8</v>
      </c>
      <c r="V21">
        <v>0</v>
      </c>
      <c r="W21">
        <v>0</v>
      </c>
      <c r="X21">
        <v>0</v>
      </c>
      <c r="Y21">
        <v>0</v>
      </c>
      <c r="Z21">
        <v>2382.3999999999996</v>
      </c>
      <c r="AA21">
        <v>2382.3999999999996</v>
      </c>
      <c r="AB21">
        <v>0</v>
      </c>
      <c r="AC21">
        <v>55.39</v>
      </c>
      <c r="AD21">
        <v>17.3</v>
      </c>
      <c r="AE21">
        <v>-38.090000000000003</v>
      </c>
      <c r="AF21">
        <v>2327.0099999999998</v>
      </c>
      <c r="AG21">
        <v>2365.0999999999995</v>
      </c>
      <c r="AH21">
        <v>38.090000000000003</v>
      </c>
      <c r="AI21">
        <v>758.3300000000005</v>
      </c>
      <c r="AJ21">
        <v>0</v>
      </c>
      <c r="AK21">
        <v>-758.3300000000005</v>
      </c>
      <c r="AL21">
        <v>1568.6799999999996</v>
      </c>
      <c r="AM21">
        <v>2365.0999999999995</v>
      </c>
      <c r="AN21">
        <v>796.42000000000053</v>
      </c>
      <c r="AO21">
        <v>51</v>
      </c>
    </row>
    <row r="22" spans="1:41" x14ac:dyDescent="0.35">
      <c r="A22">
        <v>2024</v>
      </c>
      <c r="B22">
        <v>1</v>
      </c>
      <c r="C22">
        <v>1</v>
      </c>
      <c r="D22" s="14">
        <v>45295</v>
      </c>
      <c r="E22" t="s">
        <v>41</v>
      </c>
      <c r="F22" t="s">
        <v>42</v>
      </c>
      <c r="G22" t="s">
        <v>43</v>
      </c>
      <c r="H22">
        <v>236889.75</v>
      </c>
      <c r="I22">
        <v>236889.75</v>
      </c>
      <c r="J22">
        <v>0</v>
      </c>
      <c r="K22">
        <v>3050.4300000000221</v>
      </c>
      <c r="L22">
        <v>3050.4300000000226</v>
      </c>
      <c r="M22">
        <v>0</v>
      </c>
      <c r="N22">
        <v>3225.7599999999829</v>
      </c>
      <c r="O22">
        <v>3225.7599999999829</v>
      </c>
      <c r="P22">
        <v>0</v>
      </c>
      <c r="Q22">
        <v>-13202.32</v>
      </c>
      <c r="R22">
        <v>-11988.699999999999</v>
      </c>
      <c r="S22">
        <v>1213.6200000000003</v>
      </c>
      <c r="T22">
        <v>-37.340000000000011</v>
      </c>
      <c r="U22">
        <v>-37.800000000000011</v>
      </c>
      <c r="V22">
        <v>-0.46</v>
      </c>
      <c r="W22">
        <v>-189.98000000000002</v>
      </c>
      <c r="X22">
        <v>-189.98000000000002</v>
      </c>
      <c r="Y22">
        <v>0</v>
      </c>
      <c r="Z22">
        <v>229736.29999999813</v>
      </c>
      <c r="AA22">
        <v>230949.45999999816</v>
      </c>
      <c r="AB22">
        <v>1213.1600000000001</v>
      </c>
      <c r="AC22">
        <v>112966.21999999472</v>
      </c>
      <c r="AD22">
        <v>68385.029999996972</v>
      </c>
      <c r="AE22">
        <v>-44581.189999999078</v>
      </c>
      <c r="AF22">
        <v>116770.08000000223</v>
      </c>
      <c r="AG22">
        <v>162564.43000000174</v>
      </c>
      <c r="AH22">
        <v>45794.34999999906</v>
      </c>
      <c r="AI22">
        <v>-32979.929999999942</v>
      </c>
      <c r="AJ22">
        <v>0</v>
      </c>
      <c r="AK22">
        <v>32979.929999999942</v>
      </c>
      <c r="AL22">
        <v>149750.01000000114</v>
      </c>
      <c r="AM22">
        <v>162564.43000000174</v>
      </c>
      <c r="AN22">
        <v>12814.420000000098</v>
      </c>
      <c r="AO22">
        <v>4556</v>
      </c>
    </row>
    <row r="23" spans="1:41" x14ac:dyDescent="0.35">
      <c r="A23">
        <v>2024</v>
      </c>
      <c r="B23">
        <v>1</v>
      </c>
      <c r="C23">
        <v>1</v>
      </c>
      <c r="D23" s="14">
        <v>45295</v>
      </c>
      <c r="E23" t="s">
        <v>44</v>
      </c>
      <c r="F23" t="s">
        <v>42</v>
      </c>
      <c r="G23" t="s">
        <v>45</v>
      </c>
      <c r="H23">
        <v>224774.36</v>
      </c>
      <c r="I23">
        <v>224774.36</v>
      </c>
      <c r="J23">
        <v>0</v>
      </c>
      <c r="K23">
        <v>2273.0300000000148</v>
      </c>
      <c r="L23">
        <v>2272.0800000000145</v>
      </c>
      <c r="M23">
        <v>-0.95</v>
      </c>
      <c r="N23">
        <v>7244.2299999999268</v>
      </c>
      <c r="O23">
        <v>7228.239999999927</v>
      </c>
      <c r="P23">
        <v>-15.99</v>
      </c>
      <c r="Q23">
        <v>-32162.779999999959</v>
      </c>
      <c r="R23">
        <v>-31496.909999999985</v>
      </c>
      <c r="S23">
        <v>665.87000000000012</v>
      </c>
      <c r="T23">
        <v>-21.190000000000005</v>
      </c>
      <c r="U23">
        <v>-21.190000000000005</v>
      </c>
      <c r="V23">
        <v>0</v>
      </c>
      <c r="W23">
        <v>-234.56000000000003</v>
      </c>
      <c r="X23">
        <v>-234.56000000000003</v>
      </c>
      <c r="Y23">
        <v>0</v>
      </c>
      <c r="Z23">
        <v>201873.08999999968</v>
      </c>
      <c r="AA23">
        <v>202522.01999999961</v>
      </c>
      <c r="AB23">
        <v>648.93000000000006</v>
      </c>
      <c r="AC23">
        <v>55401.609999998946</v>
      </c>
      <c r="AD23">
        <v>21448.450000000026</v>
      </c>
      <c r="AE23">
        <v>-33953.159999999858</v>
      </c>
      <c r="AF23">
        <v>146471.48000000103</v>
      </c>
      <c r="AG23">
        <v>181073.57000000036</v>
      </c>
      <c r="AH23">
        <v>34602.089999999815</v>
      </c>
      <c r="AI23">
        <v>-10013.360000000013</v>
      </c>
      <c r="AJ23">
        <v>0</v>
      </c>
      <c r="AK23">
        <v>10013.360000000013</v>
      </c>
      <c r="AL23">
        <v>156484.84000000058</v>
      </c>
      <c r="AM23">
        <v>181073.57000000036</v>
      </c>
      <c r="AN23">
        <v>24588.729999999894</v>
      </c>
      <c r="AO23">
        <v>3084</v>
      </c>
    </row>
    <row r="24" spans="1:41" x14ac:dyDescent="0.35">
      <c r="A24">
        <v>2024</v>
      </c>
      <c r="B24">
        <v>1</v>
      </c>
      <c r="C24">
        <v>1</v>
      </c>
      <c r="D24" s="14">
        <v>45295</v>
      </c>
      <c r="E24" t="s">
        <v>44</v>
      </c>
      <c r="F24" t="s">
        <v>42</v>
      </c>
      <c r="G24" t="s">
        <v>46</v>
      </c>
      <c r="H24">
        <v>103024.98999999894</v>
      </c>
      <c r="I24">
        <v>103024.98999999894</v>
      </c>
      <c r="J24">
        <v>0</v>
      </c>
      <c r="K24">
        <v>649.62999999999954</v>
      </c>
      <c r="L24">
        <v>649.62999999999954</v>
      </c>
      <c r="M24">
        <v>0</v>
      </c>
      <c r="N24">
        <v>1708.9200000000008</v>
      </c>
      <c r="O24">
        <v>1695.9300000000007</v>
      </c>
      <c r="P24">
        <v>-12.99</v>
      </c>
      <c r="Q24">
        <v>-32335.590000000004</v>
      </c>
      <c r="R24">
        <v>-31770.120000000017</v>
      </c>
      <c r="S24">
        <v>565.46999999999991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73047.949999999793</v>
      </c>
      <c r="AA24">
        <v>73600.42999999976</v>
      </c>
      <c r="AB24">
        <v>552.48</v>
      </c>
      <c r="AC24">
        <v>23621.380000000012</v>
      </c>
      <c r="AD24">
        <v>8973.3000000000247</v>
      </c>
      <c r="AE24">
        <v>-14648.080000000038</v>
      </c>
      <c r="AF24">
        <v>49426.570000000305</v>
      </c>
      <c r="AG24">
        <v>64627.130000000026</v>
      </c>
      <c r="AH24">
        <v>15200.560000000027</v>
      </c>
      <c r="AI24">
        <v>-3954.08</v>
      </c>
      <c r="AJ24">
        <v>0</v>
      </c>
      <c r="AK24">
        <v>3954.08</v>
      </c>
      <c r="AL24">
        <v>53380.650000000154</v>
      </c>
      <c r="AM24">
        <v>64627.130000000026</v>
      </c>
      <c r="AN24">
        <v>11246.480000000045</v>
      </c>
      <c r="AO24">
        <v>1332</v>
      </c>
    </row>
    <row r="25" spans="1:41" x14ac:dyDescent="0.35">
      <c r="A25">
        <v>2024</v>
      </c>
      <c r="B25">
        <v>1</v>
      </c>
      <c r="C25">
        <v>1</v>
      </c>
      <c r="D25" s="14">
        <v>45295</v>
      </c>
      <c r="E25" t="s">
        <v>44</v>
      </c>
      <c r="F25" t="s">
        <v>47</v>
      </c>
      <c r="G25" t="s">
        <v>48</v>
      </c>
      <c r="H25">
        <v>6382.9000000000033</v>
      </c>
      <c r="I25">
        <v>6382.9000000000033</v>
      </c>
      <c r="J25">
        <v>0</v>
      </c>
      <c r="K25">
        <v>346.40999999999997</v>
      </c>
      <c r="L25">
        <v>285.01</v>
      </c>
      <c r="M25">
        <v>-61.4</v>
      </c>
      <c r="N25">
        <v>28.990000000000002</v>
      </c>
      <c r="O25">
        <v>28.990000000000002</v>
      </c>
      <c r="P25">
        <v>0</v>
      </c>
      <c r="Q25">
        <v>-1188.8999999999999</v>
      </c>
      <c r="R25">
        <v>-1151.8999999999999</v>
      </c>
      <c r="S25">
        <v>37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5569.4000000000015</v>
      </c>
      <c r="AA25">
        <v>5545</v>
      </c>
      <c r="AB25">
        <v>-24.4</v>
      </c>
      <c r="AC25">
        <v>142.46</v>
      </c>
      <c r="AE25">
        <v>-142.46</v>
      </c>
      <c r="AF25">
        <v>5426.9400000000014</v>
      </c>
      <c r="AG25">
        <v>5545</v>
      </c>
      <c r="AH25">
        <v>118.06000000000002</v>
      </c>
      <c r="AI25">
        <v>1619.97</v>
      </c>
      <c r="AJ25">
        <v>0</v>
      </c>
      <c r="AK25">
        <v>-1619.97</v>
      </c>
      <c r="AL25">
        <v>3806.9700000000012</v>
      </c>
      <c r="AM25">
        <v>5545</v>
      </c>
      <c r="AN25">
        <v>1738.0300000000002</v>
      </c>
      <c r="AO25">
        <v>159</v>
      </c>
    </row>
    <row r="26" spans="1:41" x14ac:dyDescent="0.35">
      <c r="A26">
        <v>2024</v>
      </c>
      <c r="B26">
        <v>1</v>
      </c>
      <c r="C26">
        <v>1</v>
      </c>
      <c r="D26" s="14">
        <v>45295</v>
      </c>
      <c r="E26" t="s">
        <v>44</v>
      </c>
      <c r="F26" t="s">
        <v>47</v>
      </c>
      <c r="G26" t="s">
        <v>49</v>
      </c>
      <c r="H26">
        <v>11522.299999999997</v>
      </c>
      <c r="I26">
        <v>11522.299999999997</v>
      </c>
      <c r="J26">
        <v>0</v>
      </c>
      <c r="K26">
        <v>224.98999999999995</v>
      </c>
      <c r="L26">
        <v>224.98999999999995</v>
      </c>
      <c r="M26">
        <v>0</v>
      </c>
      <c r="N26">
        <v>287.82000000000005</v>
      </c>
      <c r="O26">
        <v>287.82000000000005</v>
      </c>
      <c r="P26">
        <v>0</v>
      </c>
      <c r="Q26">
        <v>-4014.0699999999983</v>
      </c>
      <c r="R26">
        <v>-4008.8599999999983</v>
      </c>
      <c r="S26">
        <v>5.21</v>
      </c>
      <c r="T26">
        <v>-20.5</v>
      </c>
      <c r="U26">
        <v>-20.5</v>
      </c>
      <c r="V26">
        <v>0</v>
      </c>
      <c r="W26">
        <v>-5</v>
      </c>
      <c r="X26">
        <v>-5</v>
      </c>
      <c r="Y26">
        <v>0</v>
      </c>
      <c r="Z26">
        <v>7995.5400000000027</v>
      </c>
      <c r="AA26">
        <v>8000.7500000000027</v>
      </c>
      <c r="AB26">
        <v>5.2099999999999937</v>
      </c>
      <c r="AC26">
        <v>896.92999999999972</v>
      </c>
      <c r="AD26">
        <v>71.05</v>
      </c>
      <c r="AE26">
        <v>-825.87999999999977</v>
      </c>
      <c r="AF26">
        <v>7098.6100000000015</v>
      </c>
      <c r="AG26">
        <v>7929.7000000000025</v>
      </c>
      <c r="AH26">
        <v>831.0899999999998</v>
      </c>
      <c r="AI26">
        <v>1164.5699999999995</v>
      </c>
      <c r="AJ26">
        <v>4.9800000000000004</v>
      </c>
      <c r="AK26">
        <v>-1159.5899999999995</v>
      </c>
      <c r="AL26">
        <v>5934.0399999999991</v>
      </c>
      <c r="AM26">
        <v>7924.720000000003</v>
      </c>
      <c r="AN26">
        <v>1990.6800000000003</v>
      </c>
      <c r="AO26">
        <v>141</v>
      </c>
    </row>
    <row r="27" spans="1:41" x14ac:dyDescent="0.35">
      <c r="A27">
        <v>2024</v>
      </c>
      <c r="B27">
        <v>1</v>
      </c>
      <c r="C27">
        <v>1</v>
      </c>
      <c r="D27" s="14">
        <v>45295</v>
      </c>
      <c r="E27" t="s">
        <v>44</v>
      </c>
      <c r="F27" t="s">
        <v>47</v>
      </c>
      <c r="G27" t="s">
        <v>50</v>
      </c>
      <c r="H27">
        <v>44971.600000000006</v>
      </c>
      <c r="I27">
        <v>44971.600000000006</v>
      </c>
      <c r="J27">
        <v>0</v>
      </c>
      <c r="K27">
        <v>855.26000000000238</v>
      </c>
      <c r="L27">
        <v>855.26000000000238</v>
      </c>
      <c r="M27">
        <v>0</v>
      </c>
      <c r="N27">
        <v>1350.1700000000005</v>
      </c>
      <c r="O27">
        <v>1337.1800000000005</v>
      </c>
      <c r="P27">
        <v>-12.99</v>
      </c>
      <c r="Q27">
        <v>-11870.94</v>
      </c>
      <c r="R27">
        <v>-11662.679999999998</v>
      </c>
      <c r="S27">
        <v>208.26000000000005</v>
      </c>
      <c r="T27">
        <v>-55.46</v>
      </c>
      <c r="U27">
        <v>-55.46</v>
      </c>
      <c r="V27">
        <v>0</v>
      </c>
      <c r="W27">
        <v>-58.989999999999995</v>
      </c>
      <c r="X27">
        <v>-58.989999999999995</v>
      </c>
      <c r="Y27">
        <v>0</v>
      </c>
      <c r="Z27">
        <v>35191.639999999992</v>
      </c>
      <c r="AA27">
        <v>35386.909999999996</v>
      </c>
      <c r="AB27">
        <v>195.27</v>
      </c>
      <c r="AC27">
        <v>9569.1400000000158</v>
      </c>
      <c r="AD27">
        <v>2936.1600000000035</v>
      </c>
      <c r="AE27">
        <v>-6632.9800000000141</v>
      </c>
      <c r="AF27">
        <v>25622.500000000007</v>
      </c>
      <c r="AG27">
        <v>32450.750000000011</v>
      </c>
      <c r="AH27">
        <v>6828.2500000000146</v>
      </c>
      <c r="AI27">
        <v>-1320.3000000000009</v>
      </c>
      <c r="AJ27">
        <v>0</v>
      </c>
      <c r="AK27">
        <v>1320.3000000000009</v>
      </c>
      <c r="AL27">
        <v>26942.799999999996</v>
      </c>
      <c r="AM27">
        <v>32450.750000000011</v>
      </c>
      <c r="AN27">
        <v>5507.9500000000053</v>
      </c>
      <c r="AO27">
        <v>569</v>
      </c>
    </row>
    <row r="28" spans="1:41" x14ac:dyDescent="0.35">
      <c r="A28">
        <v>2024</v>
      </c>
      <c r="B28">
        <v>1</v>
      </c>
      <c r="C28">
        <v>1</v>
      </c>
      <c r="D28" s="14">
        <v>45295</v>
      </c>
      <c r="E28" t="s">
        <v>44</v>
      </c>
      <c r="F28" t="s">
        <v>47</v>
      </c>
      <c r="G28" t="s">
        <v>51</v>
      </c>
      <c r="H28">
        <v>3842.8</v>
      </c>
      <c r="I28">
        <v>3842.8</v>
      </c>
      <c r="J28">
        <v>0</v>
      </c>
      <c r="K28">
        <v>8.44</v>
      </c>
      <c r="L28">
        <v>8.44</v>
      </c>
      <c r="M28">
        <v>0</v>
      </c>
      <c r="N28">
        <v>0</v>
      </c>
      <c r="O28">
        <v>0</v>
      </c>
      <c r="P28">
        <v>0</v>
      </c>
      <c r="Q28">
        <v>-1112.3999999999996</v>
      </c>
      <c r="R28">
        <v>-1112.3999999999996</v>
      </c>
      <c r="S28">
        <v>0</v>
      </c>
      <c r="T28">
        <v>-0.75</v>
      </c>
      <c r="U28">
        <v>-0.75</v>
      </c>
      <c r="V28">
        <v>0</v>
      </c>
      <c r="W28">
        <v>0</v>
      </c>
      <c r="X28">
        <v>0</v>
      </c>
      <c r="Y28">
        <v>0</v>
      </c>
      <c r="Z28">
        <v>2738.0899999999988</v>
      </c>
      <c r="AA28">
        <v>2738.0899999999988</v>
      </c>
      <c r="AB28">
        <v>0</v>
      </c>
      <c r="AC28">
        <v>17.3</v>
      </c>
      <c r="AE28">
        <v>-17.3</v>
      </c>
      <c r="AF28">
        <v>2720.7899999999991</v>
      </c>
      <c r="AG28">
        <v>2738.0899999999988</v>
      </c>
      <c r="AH28">
        <v>17.300000000000004</v>
      </c>
      <c r="AI28">
        <v>697.69000000000017</v>
      </c>
      <c r="AJ28">
        <v>0</v>
      </c>
      <c r="AK28">
        <v>-697.69000000000017</v>
      </c>
      <c r="AL28">
        <v>2023.1</v>
      </c>
      <c r="AM28">
        <v>2738.0899999999988</v>
      </c>
      <c r="AN28">
        <v>714.99</v>
      </c>
      <c r="AO28">
        <v>57</v>
      </c>
    </row>
    <row r="29" spans="1:41" x14ac:dyDescent="0.35">
      <c r="A29">
        <v>2024</v>
      </c>
      <c r="B29">
        <v>1</v>
      </c>
      <c r="C29">
        <v>1</v>
      </c>
      <c r="D29" s="14">
        <v>45296</v>
      </c>
      <c r="E29" t="s">
        <v>41</v>
      </c>
      <c r="F29" t="s">
        <v>42</v>
      </c>
      <c r="G29" t="s">
        <v>43</v>
      </c>
      <c r="H29">
        <v>178397.25</v>
      </c>
      <c r="I29">
        <v>178397.25</v>
      </c>
      <c r="J29">
        <v>0</v>
      </c>
      <c r="K29">
        <v>2328.180000000028</v>
      </c>
      <c r="L29">
        <v>2328.180000000028</v>
      </c>
      <c r="M29">
        <v>0</v>
      </c>
      <c r="N29">
        <v>2779.01999999999</v>
      </c>
      <c r="O29">
        <v>2750.0399999999904</v>
      </c>
      <c r="P29">
        <v>-28.98</v>
      </c>
      <c r="Q29">
        <v>-9259.49</v>
      </c>
      <c r="R29">
        <v>-8861.5499999999993</v>
      </c>
      <c r="S29">
        <v>397.94000000000005</v>
      </c>
      <c r="T29">
        <v>-19.040000000000003</v>
      </c>
      <c r="U29">
        <v>-19.040000000000003</v>
      </c>
      <c r="V29">
        <v>0</v>
      </c>
      <c r="W29">
        <v>-127.49</v>
      </c>
      <c r="X29">
        <v>-127.49</v>
      </c>
      <c r="Y29">
        <v>0</v>
      </c>
      <c r="Z29">
        <v>174098.43000000005</v>
      </c>
      <c r="AA29">
        <v>174467.39000000004</v>
      </c>
      <c r="AB29">
        <v>368.96000000000004</v>
      </c>
      <c r="AC29">
        <v>97216.099999995</v>
      </c>
      <c r="AD29">
        <v>29611.249999999942</v>
      </c>
      <c r="AE29">
        <v>-67604.849999996863</v>
      </c>
      <c r="AF29">
        <v>76882.330000002868</v>
      </c>
      <c r="AG29">
        <v>144856.14000000214</v>
      </c>
      <c r="AH29">
        <v>67973.809999996825</v>
      </c>
      <c r="AI29">
        <v>-13858.85999999997</v>
      </c>
      <c r="AJ29">
        <v>0</v>
      </c>
      <c r="AK29">
        <v>13858.85999999997</v>
      </c>
      <c r="AL29">
        <v>90741.190000001909</v>
      </c>
      <c r="AM29">
        <v>144856.14000000214</v>
      </c>
      <c r="AN29">
        <v>54114.949999997618</v>
      </c>
      <c r="AO29">
        <v>3420</v>
      </c>
    </row>
    <row r="30" spans="1:41" x14ac:dyDescent="0.35">
      <c r="A30">
        <v>2024</v>
      </c>
      <c r="B30">
        <v>1</v>
      </c>
      <c r="C30">
        <v>1</v>
      </c>
      <c r="D30" s="14">
        <v>45296</v>
      </c>
      <c r="E30" t="s">
        <v>44</v>
      </c>
      <c r="F30" t="s">
        <v>42</v>
      </c>
      <c r="G30" t="s">
        <v>45</v>
      </c>
      <c r="H30">
        <v>152787</v>
      </c>
      <c r="I30">
        <v>152787</v>
      </c>
      <c r="J30">
        <v>0</v>
      </c>
      <c r="K30">
        <v>1286.4300000000078</v>
      </c>
      <c r="L30">
        <v>1286.4300000000078</v>
      </c>
      <c r="M30">
        <v>0</v>
      </c>
      <c r="N30">
        <v>5616.2999999999493</v>
      </c>
      <c r="O30">
        <v>5600.3099999999495</v>
      </c>
      <c r="P30">
        <v>-15.99</v>
      </c>
      <c r="Q30">
        <v>-20148.159999999971</v>
      </c>
      <c r="R30">
        <v>-19776.80999999999</v>
      </c>
      <c r="S30">
        <v>371.35</v>
      </c>
      <c r="T30">
        <v>-28.34</v>
      </c>
      <c r="U30">
        <v>-28.34</v>
      </c>
      <c r="V30">
        <v>0</v>
      </c>
      <c r="W30">
        <v>-166.07999999999998</v>
      </c>
      <c r="X30">
        <v>-161.07999999999998</v>
      </c>
      <c r="Y30">
        <v>5</v>
      </c>
      <c r="Z30">
        <v>139347.15000000052</v>
      </c>
      <c r="AA30">
        <v>139707.5100000005</v>
      </c>
      <c r="AB30">
        <v>360.35999999999996</v>
      </c>
      <c r="AC30">
        <v>40885.109999999397</v>
      </c>
      <c r="AD30">
        <v>19935.999999999989</v>
      </c>
      <c r="AE30">
        <v>-20949.110000000008</v>
      </c>
      <c r="AF30">
        <v>98462.040000001434</v>
      </c>
      <c r="AG30">
        <v>119771.51000000119</v>
      </c>
      <c r="AH30">
        <v>21309.469999999983</v>
      </c>
      <c r="AI30">
        <v>-9416.8499999999858</v>
      </c>
      <c r="AJ30">
        <v>0</v>
      </c>
      <c r="AK30">
        <v>9416.8499999999858</v>
      </c>
      <c r="AL30">
        <v>107878.89000000067</v>
      </c>
      <c r="AM30">
        <v>119771.51000000119</v>
      </c>
      <c r="AN30">
        <v>11892.620000000064</v>
      </c>
      <c r="AO30">
        <v>2123</v>
      </c>
    </row>
    <row r="31" spans="1:41" x14ac:dyDescent="0.35">
      <c r="A31">
        <v>2024</v>
      </c>
      <c r="B31">
        <v>1</v>
      </c>
      <c r="C31">
        <v>1</v>
      </c>
      <c r="D31" s="14">
        <v>45296</v>
      </c>
      <c r="E31" t="s">
        <v>44</v>
      </c>
      <c r="F31" t="s">
        <v>42</v>
      </c>
      <c r="G31" t="s">
        <v>46</v>
      </c>
      <c r="H31">
        <v>74561.399999999849</v>
      </c>
      <c r="I31">
        <v>74561.399999999849</v>
      </c>
      <c r="J31">
        <v>0</v>
      </c>
      <c r="K31">
        <v>670.3100000000004</v>
      </c>
      <c r="L31">
        <v>670.3100000000004</v>
      </c>
      <c r="M31">
        <v>0</v>
      </c>
      <c r="N31">
        <v>1237.2000000000005</v>
      </c>
      <c r="O31">
        <v>1237.2000000000005</v>
      </c>
      <c r="P31">
        <v>0</v>
      </c>
      <c r="Q31">
        <v>-23116.060000000067</v>
      </c>
      <c r="R31">
        <v>-22765.910000000073</v>
      </c>
      <c r="S31">
        <v>350.14999999999992</v>
      </c>
      <c r="T31">
        <v>0</v>
      </c>
      <c r="U31">
        <v>0</v>
      </c>
      <c r="V31">
        <v>0</v>
      </c>
      <c r="W31">
        <v>-10</v>
      </c>
      <c r="X31">
        <v>-10</v>
      </c>
      <c r="Y31">
        <v>0</v>
      </c>
      <c r="Z31">
        <v>53342.849999999831</v>
      </c>
      <c r="AA31">
        <v>53692.999999999833</v>
      </c>
      <c r="AB31">
        <v>350.14999999999986</v>
      </c>
      <c r="AC31">
        <v>16391.450000000055</v>
      </c>
      <c r="AD31">
        <v>7567.4700000000157</v>
      </c>
      <c r="AE31">
        <v>-8823.9800000000232</v>
      </c>
      <c r="AF31">
        <v>36951.400000000089</v>
      </c>
      <c r="AG31">
        <v>46125.529999999955</v>
      </c>
      <c r="AH31">
        <v>9174.130000000021</v>
      </c>
      <c r="AI31">
        <v>-2973.5699999999983</v>
      </c>
      <c r="AJ31">
        <v>0</v>
      </c>
      <c r="AK31">
        <v>2973.5699999999983</v>
      </c>
      <c r="AL31">
        <v>39924.970000000169</v>
      </c>
      <c r="AM31">
        <v>46125.529999999955</v>
      </c>
      <c r="AN31">
        <v>6200.560000000024</v>
      </c>
      <c r="AO31">
        <v>978</v>
      </c>
    </row>
    <row r="32" spans="1:41" x14ac:dyDescent="0.35">
      <c r="A32">
        <v>2024</v>
      </c>
      <c r="B32">
        <v>1</v>
      </c>
      <c r="C32">
        <v>1</v>
      </c>
      <c r="D32" s="14">
        <v>45296</v>
      </c>
      <c r="E32" t="s">
        <v>44</v>
      </c>
      <c r="F32" t="s">
        <v>47</v>
      </c>
      <c r="G32" t="s">
        <v>48</v>
      </c>
      <c r="H32">
        <v>13603.649999999934</v>
      </c>
      <c r="I32">
        <v>13603.649999999934</v>
      </c>
      <c r="J32">
        <v>0</v>
      </c>
      <c r="K32">
        <v>565.75</v>
      </c>
      <c r="L32">
        <v>565.75</v>
      </c>
      <c r="M32">
        <v>0</v>
      </c>
      <c r="N32">
        <v>56.97</v>
      </c>
      <c r="O32">
        <v>56.97</v>
      </c>
      <c r="P32">
        <v>0</v>
      </c>
      <c r="Q32">
        <v>-2400.25</v>
      </c>
      <c r="R32">
        <v>-2400.25</v>
      </c>
      <c r="S32">
        <v>0</v>
      </c>
      <c r="T32">
        <v>-5</v>
      </c>
      <c r="U32">
        <v>-5</v>
      </c>
      <c r="V32">
        <v>0</v>
      </c>
      <c r="W32">
        <v>0</v>
      </c>
      <c r="X32">
        <v>0</v>
      </c>
      <c r="Y32">
        <v>0</v>
      </c>
      <c r="Z32">
        <v>11821.11999999995</v>
      </c>
      <c r="AA32">
        <v>11821.11999999995</v>
      </c>
      <c r="AB32">
        <v>0</v>
      </c>
      <c r="AE32">
        <v>0</v>
      </c>
      <c r="AF32">
        <v>11821.11999999995</v>
      </c>
      <c r="AG32">
        <v>11821.11999999995</v>
      </c>
      <c r="AH32">
        <v>0</v>
      </c>
      <c r="AI32">
        <v>3441.7200000000021</v>
      </c>
      <c r="AJ32">
        <v>0</v>
      </c>
      <c r="AK32">
        <v>-3441.7200000000021</v>
      </c>
      <c r="AL32">
        <v>8379.4000000000051</v>
      </c>
      <c r="AM32">
        <v>11821.11999999995</v>
      </c>
      <c r="AN32">
        <v>3441.7200000000021</v>
      </c>
      <c r="AO32">
        <v>344</v>
      </c>
    </row>
    <row r="33" spans="1:41" x14ac:dyDescent="0.35">
      <c r="A33">
        <v>2024</v>
      </c>
      <c r="B33">
        <v>1</v>
      </c>
      <c r="C33">
        <v>1</v>
      </c>
      <c r="D33" s="14">
        <v>45296</v>
      </c>
      <c r="E33" t="s">
        <v>44</v>
      </c>
      <c r="F33" t="s">
        <v>47</v>
      </c>
      <c r="G33" t="s">
        <v>49</v>
      </c>
      <c r="H33">
        <v>8481.0499999999993</v>
      </c>
      <c r="I33">
        <v>8481.0499999999993</v>
      </c>
      <c r="J33">
        <v>0</v>
      </c>
      <c r="K33">
        <v>85.969999999999985</v>
      </c>
      <c r="L33">
        <v>85.969999999999985</v>
      </c>
      <c r="M33">
        <v>0</v>
      </c>
      <c r="N33">
        <v>82.949999999999989</v>
      </c>
      <c r="O33">
        <v>82.949999999999989</v>
      </c>
      <c r="P33">
        <v>0</v>
      </c>
      <c r="Q33">
        <v>-3072.0499999999988</v>
      </c>
      <c r="R33">
        <v>-3072.0499999999988</v>
      </c>
      <c r="S33">
        <v>0</v>
      </c>
      <c r="T33">
        <v>-10</v>
      </c>
      <c r="U33">
        <v>-10</v>
      </c>
      <c r="V33">
        <v>0</v>
      </c>
      <c r="W33">
        <v>-15.99</v>
      </c>
      <c r="X33">
        <v>-15.99</v>
      </c>
      <c r="Y33">
        <v>0</v>
      </c>
      <c r="Z33">
        <v>5551.9299999999994</v>
      </c>
      <c r="AA33">
        <v>5551.9299999999994</v>
      </c>
      <c r="AB33">
        <v>0</v>
      </c>
      <c r="AC33">
        <v>347.96000000000004</v>
      </c>
      <c r="AD33">
        <v>276.91000000000003</v>
      </c>
      <c r="AE33">
        <v>-71.050000000000011</v>
      </c>
      <c r="AF33">
        <v>5203.9699999999993</v>
      </c>
      <c r="AG33">
        <v>5275.0199999999986</v>
      </c>
      <c r="AH33">
        <v>71.049999999999983</v>
      </c>
      <c r="AI33">
        <v>1120.7999999999997</v>
      </c>
      <c r="AJ33">
        <v>0</v>
      </c>
      <c r="AK33">
        <v>-1120.7999999999997</v>
      </c>
      <c r="AL33">
        <v>4083.17</v>
      </c>
      <c r="AM33">
        <v>5275.0199999999986</v>
      </c>
      <c r="AN33">
        <v>1191.8499999999997</v>
      </c>
      <c r="AO33">
        <v>103</v>
      </c>
    </row>
    <row r="34" spans="1:41" x14ac:dyDescent="0.35">
      <c r="A34">
        <v>2024</v>
      </c>
      <c r="B34">
        <v>1</v>
      </c>
      <c r="C34">
        <v>1</v>
      </c>
      <c r="D34" s="14">
        <v>45296</v>
      </c>
      <c r="E34" t="s">
        <v>44</v>
      </c>
      <c r="F34" t="s">
        <v>47</v>
      </c>
      <c r="G34" t="s">
        <v>50</v>
      </c>
      <c r="H34">
        <v>31832.5</v>
      </c>
      <c r="I34">
        <v>31832.5</v>
      </c>
      <c r="J34">
        <v>0</v>
      </c>
      <c r="K34">
        <v>568.86999999999978</v>
      </c>
      <c r="L34">
        <v>568.86999999999978</v>
      </c>
      <c r="M34">
        <v>0</v>
      </c>
      <c r="N34">
        <v>1074.3300000000004</v>
      </c>
      <c r="O34">
        <v>1074.3300000000004</v>
      </c>
      <c r="P34">
        <v>0</v>
      </c>
      <c r="Q34">
        <v>-7697.9100000000008</v>
      </c>
      <c r="R34">
        <v>-7643.44</v>
      </c>
      <c r="S34">
        <v>54.470000000000006</v>
      </c>
      <c r="T34">
        <v>-65</v>
      </c>
      <c r="U34">
        <v>-65</v>
      </c>
      <c r="V34">
        <v>0</v>
      </c>
      <c r="W34">
        <v>-35</v>
      </c>
      <c r="X34">
        <v>-35</v>
      </c>
      <c r="Y34">
        <v>0</v>
      </c>
      <c r="Z34">
        <v>25677.790000000045</v>
      </c>
      <c r="AA34">
        <v>25732.260000000042</v>
      </c>
      <c r="AB34">
        <v>54.470000000000006</v>
      </c>
      <c r="AC34">
        <v>5839.6400000000103</v>
      </c>
      <c r="AD34">
        <v>2949.9900000000021</v>
      </c>
      <c r="AE34">
        <v>-2889.6500000000019</v>
      </c>
      <c r="AF34">
        <v>19838.150000000012</v>
      </c>
      <c r="AG34">
        <v>22782.270000000026</v>
      </c>
      <c r="AH34">
        <v>2944.1200000000026</v>
      </c>
      <c r="AI34">
        <v>-1499.7899999999984</v>
      </c>
      <c r="AJ34">
        <v>0</v>
      </c>
      <c r="AK34">
        <v>1499.7899999999984</v>
      </c>
      <c r="AL34">
        <v>21337.940000000024</v>
      </c>
      <c r="AM34">
        <v>22782.270000000026</v>
      </c>
      <c r="AN34">
        <v>1444.3300000000002</v>
      </c>
      <c r="AO34">
        <v>403</v>
      </c>
    </row>
    <row r="35" spans="1:41" x14ac:dyDescent="0.35">
      <c r="A35">
        <v>2024</v>
      </c>
      <c r="B35">
        <v>1</v>
      </c>
      <c r="C35">
        <v>1</v>
      </c>
      <c r="D35" s="14">
        <v>45296</v>
      </c>
      <c r="E35" t="s">
        <v>44</v>
      </c>
      <c r="F35" t="s">
        <v>47</v>
      </c>
      <c r="G35" t="s">
        <v>51</v>
      </c>
      <c r="H35">
        <v>4979.6500000000005</v>
      </c>
      <c r="I35">
        <v>4979.6500000000005</v>
      </c>
      <c r="J35">
        <v>0</v>
      </c>
      <c r="K35">
        <v>41</v>
      </c>
      <c r="L35">
        <v>41</v>
      </c>
      <c r="M35">
        <v>0</v>
      </c>
      <c r="N35">
        <v>0</v>
      </c>
      <c r="O35">
        <v>0</v>
      </c>
      <c r="P35">
        <v>0</v>
      </c>
      <c r="Q35">
        <v>-749.0999999999998</v>
      </c>
      <c r="R35">
        <v>-749.0999999999998</v>
      </c>
      <c r="S35">
        <v>0</v>
      </c>
      <c r="T35">
        <v>-16</v>
      </c>
      <c r="U35">
        <v>-16</v>
      </c>
      <c r="V35">
        <v>0</v>
      </c>
      <c r="W35">
        <v>0</v>
      </c>
      <c r="X35">
        <v>0</v>
      </c>
      <c r="Y35">
        <v>0</v>
      </c>
      <c r="Z35">
        <v>4255.55</v>
      </c>
      <c r="AA35">
        <v>4255.55</v>
      </c>
      <c r="AB35">
        <v>0</v>
      </c>
      <c r="AC35">
        <v>14</v>
      </c>
      <c r="AD35">
        <v>14</v>
      </c>
      <c r="AE35">
        <v>0</v>
      </c>
      <c r="AF35">
        <v>4241.5499999999993</v>
      </c>
      <c r="AG35">
        <v>4241.5499999999993</v>
      </c>
      <c r="AH35">
        <v>0</v>
      </c>
      <c r="AI35">
        <v>1179.9400000000003</v>
      </c>
      <c r="AJ35">
        <v>0</v>
      </c>
      <c r="AK35">
        <v>-1179.9400000000003</v>
      </c>
      <c r="AL35">
        <v>3061.6099999999997</v>
      </c>
      <c r="AM35">
        <v>4241.5499999999993</v>
      </c>
      <c r="AN35">
        <v>1179.9400000000003</v>
      </c>
      <c r="AO35">
        <v>94</v>
      </c>
    </row>
    <row r="36" spans="1:41" x14ac:dyDescent="0.35">
      <c r="A36">
        <v>2024</v>
      </c>
      <c r="B36">
        <v>1</v>
      </c>
      <c r="C36">
        <v>1</v>
      </c>
      <c r="D36" s="14">
        <v>45297</v>
      </c>
      <c r="E36" t="s">
        <v>41</v>
      </c>
      <c r="F36" t="s">
        <v>42</v>
      </c>
      <c r="G36" t="s">
        <v>43</v>
      </c>
      <c r="H36">
        <v>114617.5</v>
      </c>
      <c r="I36">
        <v>114617.5</v>
      </c>
      <c r="J36">
        <v>0</v>
      </c>
      <c r="K36">
        <v>1526.200000000013</v>
      </c>
      <c r="L36">
        <v>1526.200000000013</v>
      </c>
      <c r="M36">
        <v>0</v>
      </c>
      <c r="N36">
        <v>1836.660000000001</v>
      </c>
      <c r="O36">
        <v>1836.660000000001</v>
      </c>
      <c r="P36">
        <v>0</v>
      </c>
      <c r="Q36">
        <v>-6013.75</v>
      </c>
      <c r="R36">
        <v>-5725.75</v>
      </c>
      <c r="S36">
        <v>288</v>
      </c>
      <c r="T36">
        <v>-3.0700000000000003</v>
      </c>
      <c r="U36">
        <v>-3.0700000000000003</v>
      </c>
      <c r="V36">
        <v>0</v>
      </c>
      <c r="W36">
        <v>-100</v>
      </c>
      <c r="X36">
        <v>-100</v>
      </c>
      <c r="Y36">
        <v>0</v>
      </c>
      <c r="Z36">
        <v>111863.54000000098</v>
      </c>
      <c r="AA36">
        <v>112151.54000000098</v>
      </c>
      <c r="AB36">
        <v>288</v>
      </c>
      <c r="AC36">
        <v>55596.06999999869</v>
      </c>
      <c r="AD36">
        <v>26378.719999999885</v>
      </c>
      <c r="AE36">
        <v>-29217.349999999948</v>
      </c>
      <c r="AF36">
        <v>56267.470000001049</v>
      </c>
      <c r="AG36">
        <v>85772.820000000414</v>
      </c>
      <c r="AH36">
        <v>29505.349999999948</v>
      </c>
      <c r="AI36">
        <v>-12708.970000000007</v>
      </c>
      <c r="AJ36">
        <v>0</v>
      </c>
      <c r="AK36">
        <v>12708.970000000007</v>
      </c>
      <c r="AL36">
        <v>68976.440000000861</v>
      </c>
      <c r="AM36">
        <v>85772.820000000414</v>
      </c>
      <c r="AN36">
        <v>16796.38</v>
      </c>
      <c r="AO36">
        <v>2193</v>
      </c>
    </row>
    <row r="37" spans="1:41" x14ac:dyDescent="0.35">
      <c r="A37">
        <v>2024</v>
      </c>
      <c r="B37">
        <v>1</v>
      </c>
      <c r="C37">
        <v>1</v>
      </c>
      <c r="D37" s="14">
        <v>45297</v>
      </c>
      <c r="E37" t="s">
        <v>44</v>
      </c>
      <c r="F37" t="s">
        <v>42</v>
      </c>
      <c r="G37" t="s">
        <v>45</v>
      </c>
      <c r="H37">
        <v>114601</v>
      </c>
      <c r="I37">
        <v>114601</v>
      </c>
      <c r="J37">
        <v>0</v>
      </c>
      <c r="K37">
        <v>969.05000000000609</v>
      </c>
      <c r="L37">
        <v>969.05000000000609</v>
      </c>
      <c r="M37">
        <v>0</v>
      </c>
      <c r="N37">
        <v>4414.0999999999676</v>
      </c>
      <c r="O37">
        <v>4395.1099999999678</v>
      </c>
      <c r="P37">
        <v>-18.989999999999998</v>
      </c>
      <c r="Q37">
        <v>-15022.399999999991</v>
      </c>
      <c r="R37">
        <v>-14824.829999999994</v>
      </c>
      <c r="S37">
        <v>197.57000000000008</v>
      </c>
      <c r="T37">
        <v>-28.9</v>
      </c>
      <c r="U37">
        <v>-28.9</v>
      </c>
      <c r="V37">
        <v>0</v>
      </c>
      <c r="W37">
        <v>-91.47999999999999</v>
      </c>
      <c r="X37">
        <v>-91.47999999999999</v>
      </c>
      <c r="Y37">
        <v>0</v>
      </c>
      <c r="Z37">
        <v>104841.37000000037</v>
      </c>
      <c r="AA37">
        <v>105019.95000000043</v>
      </c>
      <c r="AB37">
        <v>178.57999999999993</v>
      </c>
      <c r="AC37">
        <v>31869.229999999905</v>
      </c>
      <c r="AD37">
        <v>12149.450000000008</v>
      </c>
      <c r="AE37">
        <v>-19719.779999999995</v>
      </c>
      <c r="AF37">
        <v>72972.14000000064</v>
      </c>
      <c r="AG37">
        <v>92870.500000000218</v>
      </c>
      <c r="AH37">
        <v>19898.359999999986</v>
      </c>
      <c r="AI37">
        <v>-6112.8800000000056</v>
      </c>
      <c r="AJ37">
        <v>0</v>
      </c>
      <c r="AK37">
        <v>6112.8800000000056</v>
      </c>
      <c r="AL37">
        <v>79085.020000000615</v>
      </c>
      <c r="AM37">
        <v>92870.500000000218</v>
      </c>
      <c r="AN37">
        <v>13785.480000000023</v>
      </c>
      <c r="AO37">
        <v>1597</v>
      </c>
    </row>
    <row r="38" spans="1:41" x14ac:dyDescent="0.35">
      <c r="A38">
        <v>2024</v>
      </c>
      <c r="B38">
        <v>1</v>
      </c>
      <c r="C38">
        <v>1</v>
      </c>
      <c r="D38" s="14">
        <v>45297</v>
      </c>
      <c r="E38" t="s">
        <v>44</v>
      </c>
      <c r="F38" t="s">
        <v>42</v>
      </c>
      <c r="G38" t="s">
        <v>46</v>
      </c>
      <c r="H38">
        <v>60393.940000000082</v>
      </c>
      <c r="I38">
        <v>60393.940000000082</v>
      </c>
      <c r="J38">
        <v>0</v>
      </c>
      <c r="K38">
        <v>439.69999999999925</v>
      </c>
      <c r="L38">
        <v>439.69999999999925</v>
      </c>
      <c r="M38">
        <v>0</v>
      </c>
      <c r="N38">
        <v>1116.2900000000004</v>
      </c>
      <c r="O38">
        <v>1116.2900000000004</v>
      </c>
      <c r="P38">
        <v>0</v>
      </c>
      <c r="Q38">
        <v>-18433.060000000052</v>
      </c>
      <c r="R38">
        <v>-18194.990000000045</v>
      </c>
      <c r="S38">
        <v>238.07000000000005</v>
      </c>
      <c r="T38">
        <v>0</v>
      </c>
      <c r="U38">
        <v>0</v>
      </c>
      <c r="V38">
        <v>0</v>
      </c>
      <c r="W38">
        <v>-10</v>
      </c>
      <c r="X38">
        <v>-10</v>
      </c>
      <c r="Y38">
        <v>0</v>
      </c>
      <c r="Z38">
        <v>43506.86999999993</v>
      </c>
      <c r="AA38">
        <v>43744.939999999915</v>
      </c>
      <c r="AB38">
        <v>238.07000000000011</v>
      </c>
      <c r="AC38">
        <v>12425.970000000034</v>
      </c>
      <c r="AD38">
        <v>5110.6200000000117</v>
      </c>
      <c r="AE38">
        <v>-7315.3500000000167</v>
      </c>
      <c r="AF38">
        <v>31080.900000000045</v>
      </c>
      <c r="AG38">
        <v>38634.320000000029</v>
      </c>
      <c r="AH38">
        <v>7553.4200000000183</v>
      </c>
      <c r="AI38">
        <v>-1940.4500000000005</v>
      </c>
      <c r="AJ38">
        <v>0</v>
      </c>
      <c r="AK38">
        <v>1940.4500000000005</v>
      </c>
      <c r="AL38">
        <v>33021.35000000002</v>
      </c>
      <c r="AM38">
        <v>38634.320000000029</v>
      </c>
      <c r="AN38">
        <v>5612.970000000013</v>
      </c>
      <c r="AO38">
        <v>790</v>
      </c>
    </row>
    <row r="39" spans="1:41" x14ac:dyDescent="0.35">
      <c r="A39">
        <v>2024</v>
      </c>
      <c r="B39">
        <v>1</v>
      </c>
      <c r="C39">
        <v>1</v>
      </c>
      <c r="D39" s="14">
        <v>45297</v>
      </c>
      <c r="E39" t="s">
        <v>44</v>
      </c>
      <c r="F39" t="s">
        <v>47</v>
      </c>
      <c r="G39" t="s">
        <v>48</v>
      </c>
      <c r="H39">
        <v>7498.5800000000118</v>
      </c>
      <c r="I39">
        <v>7498.5800000000118</v>
      </c>
      <c r="J39">
        <v>0</v>
      </c>
      <c r="K39">
        <v>276.47999999999996</v>
      </c>
      <c r="L39">
        <v>276.47999999999996</v>
      </c>
      <c r="M39">
        <v>0</v>
      </c>
      <c r="N39">
        <v>15.99</v>
      </c>
      <c r="O39">
        <v>15.99</v>
      </c>
      <c r="P39">
        <v>0</v>
      </c>
      <c r="Q39">
        <v>-683.9500000000005</v>
      </c>
      <c r="R39">
        <v>-683.9500000000005</v>
      </c>
      <c r="S39">
        <v>0</v>
      </c>
      <c r="T39">
        <v>-8</v>
      </c>
      <c r="U39">
        <v>-8</v>
      </c>
      <c r="V39">
        <v>0</v>
      </c>
      <c r="W39">
        <v>-5</v>
      </c>
      <c r="X39">
        <v>-5</v>
      </c>
      <c r="Y39">
        <v>0</v>
      </c>
      <c r="Z39">
        <v>7094.1000000000031</v>
      </c>
      <c r="AA39">
        <v>7094.1000000000031</v>
      </c>
      <c r="AB39">
        <v>0</v>
      </c>
      <c r="AC39">
        <v>12.3</v>
      </c>
      <c r="AD39">
        <v>12.3</v>
      </c>
      <c r="AE39">
        <v>0</v>
      </c>
      <c r="AF39">
        <v>7081.8000000000029</v>
      </c>
      <c r="AG39">
        <v>7081.8000000000029</v>
      </c>
      <c r="AH39">
        <v>0</v>
      </c>
      <c r="AI39">
        <v>2321.1200000000003</v>
      </c>
      <c r="AJ39">
        <v>0</v>
      </c>
      <c r="AK39">
        <v>-2321.1200000000003</v>
      </c>
      <c r="AL39">
        <v>4760.6800000000048</v>
      </c>
      <c r="AM39">
        <v>7081.8000000000029</v>
      </c>
      <c r="AN39">
        <v>2321.1200000000003</v>
      </c>
      <c r="AO39">
        <v>254</v>
      </c>
    </row>
    <row r="40" spans="1:41" x14ac:dyDescent="0.35">
      <c r="A40">
        <v>2024</v>
      </c>
      <c r="B40">
        <v>1</v>
      </c>
      <c r="C40">
        <v>1</v>
      </c>
      <c r="D40" s="14">
        <v>45297</v>
      </c>
      <c r="E40" t="s">
        <v>44</v>
      </c>
      <c r="F40" t="s">
        <v>47</v>
      </c>
      <c r="G40" t="s">
        <v>49</v>
      </c>
      <c r="H40">
        <v>7720.3500000000013</v>
      </c>
      <c r="I40">
        <v>7720.3500000000013</v>
      </c>
      <c r="J40">
        <v>0</v>
      </c>
      <c r="K40">
        <v>103.91999999999997</v>
      </c>
      <c r="L40">
        <v>103.91999999999997</v>
      </c>
      <c r="M40">
        <v>0</v>
      </c>
      <c r="N40">
        <v>44.980000000000004</v>
      </c>
      <c r="O40">
        <v>44.980000000000004</v>
      </c>
      <c r="P40">
        <v>0</v>
      </c>
      <c r="Q40">
        <v>-2526.5600000000004</v>
      </c>
      <c r="R40">
        <v>-2521.3500000000004</v>
      </c>
      <c r="S40">
        <v>5.2100000000000009</v>
      </c>
      <c r="T40">
        <v>-10</v>
      </c>
      <c r="U40">
        <v>-10</v>
      </c>
      <c r="V40">
        <v>0</v>
      </c>
      <c r="W40">
        <v>-20.990000000000002</v>
      </c>
      <c r="X40">
        <v>-20.990000000000002</v>
      </c>
      <c r="Y40">
        <v>0</v>
      </c>
      <c r="Z40">
        <v>5311.7000000000035</v>
      </c>
      <c r="AA40">
        <v>5316.9100000000035</v>
      </c>
      <c r="AB40">
        <v>5.2100000000000009</v>
      </c>
      <c r="AC40">
        <v>515.72</v>
      </c>
      <c r="AD40">
        <v>235.67000000000002</v>
      </c>
      <c r="AE40">
        <v>-280.05</v>
      </c>
      <c r="AF40">
        <v>4795.9800000000032</v>
      </c>
      <c r="AG40">
        <v>5081.2400000000034</v>
      </c>
      <c r="AH40">
        <v>285.26000000000005</v>
      </c>
      <c r="AI40">
        <v>647.57999999999993</v>
      </c>
      <c r="AJ40">
        <v>11.27</v>
      </c>
      <c r="AK40">
        <v>-636.30999999999995</v>
      </c>
      <c r="AL40">
        <v>4148.4000000000005</v>
      </c>
      <c r="AM40">
        <v>5069.970000000003</v>
      </c>
      <c r="AN40">
        <v>921.57000000000016</v>
      </c>
      <c r="AO40">
        <v>102</v>
      </c>
    </row>
    <row r="41" spans="1:41" x14ac:dyDescent="0.35">
      <c r="A41">
        <v>2024</v>
      </c>
      <c r="B41">
        <v>1</v>
      </c>
      <c r="C41">
        <v>1</v>
      </c>
      <c r="D41" s="14">
        <v>45297</v>
      </c>
      <c r="E41" t="s">
        <v>44</v>
      </c>
      <c r="F41" t="s">
        <v>47</v>
      </c>
      <c r="G41" t="s">
        <v>50</v>
      </c>
      <c r="H41">
        <v>23703.1</v>
      </c>
      <c r="I41">
        <v>23703.1</v>
      </c>
      <c r="J41">
        <v>0</v>
      </c>
      <c r="K41">
        <v>599.90000000000009</v>
      </c>
      <c r="L41">
        <v>599.90000000000009</v>
      </c>
      <c r="M41">
        <v>0</v>
      </c>
      <c r="N41">
        <v>795.48000000000036</v>
      </c>
      <c r="O41">
        <v>779.49000000000035</v>
      </c>
      <c r="P41">
        <v>-15.99</v>
      </c>
      <c r="Q41">
        <v>-5755.61</v>
      </c>
      <c r="R41">
        <v>-5710.4000000000005</v>
      </c>
      <c r="S41">
        <v>45.21</v>
      </c>
      <c r="T41">
        <v>-51.95</v>
      </c>
      <c r="U41">
        <v>-51.95</v>
      </c>
      <c r="V41">
        <v>0</v>
      </c>
      <c r="W41">
        <v>-49.09</v>
      </c>
      <c r="X41">
        <v>-49.09</v>
      </c>
      <c r="Y41">
        <v>0</v>
      </c>
      <c r="Z41">
        <v>19241.829999999991</v>
      </c>
      <c r="AA41">
        <v>19271.049999999988</v>
      </c>
      <c r="AB41">
        <v>29.220000000000002</v>
      </c>
      <c r="AC41">
        <v>4420.0200000000068</v>
      </c>
      <c r="AD41">
        <v>1504.3699999999994</v>
      </c>
      <c r="AE41">
        <v>-2915.6500000000015</v>
      </c>
      <c r="AF41">
        <v>14821.80999999999</v>
      </c>
      <c r="AG41">
        <v>17766.679999999997</v>
      </c>
      <c r="AH41">
        <v>2944.8700000000017</v>
      </c>
      <c r="AI41">
        <v>-891.81000000000017</v>
      </c>
      <c r="AJ41">
        <v>0</v>
      </c>
      <c r="AK41">
        <v>891.81000000000017</v>
      </c>
      <c r="AL41">
        <v>15713.619999999988</v>
      </c>
      <c r="AM41">
        <v>17766.679999999997</v>
      </c>
      <c r="AN41">
        <v>2053.0599999999986</v>
      </c>
      <c r="AO41">
        <v>296</v>
      </c>
    </row>
    <row r="42" spans="1:41" x14ac:dyDescent="0.35">
      <c r="A42">
        <v>2024</v>
      </c>
      <c r="B42">
        <v>1</v>
      </c>
      <c r="C42">
        <v>1</v>
      </c>
      <c r="D42" s="14">
        <v>45297</v>
      </c>
      <c r="E42" t="s">
        <v>44</v>
      </c>
      <c r="F42" t="s">
        <v>47</v>
      </c>
      <c r="G42" t="s">
        <v>51</v>
      </c>
      <c r="H42">
        <v>2745.1000000000008</v>
      </c>
      <c r="I42">
        <v>2745.1000000000008</v>
      </c>
      <c r="J42">
        <v>0</v>
      </c>
      <c r="K42">
        <v>40</v>
      </c>
      <c r="L42">
        <v>40</v>
      </c>
      <c r="M42">
        <v>0</v>
      </c>
      <c r="N42">
        <v>0</v>
      </c>
      <c r="O42">
        <v>0</v>
      </c>
      <c r="P42">
        <v>0</v>
      </c>
      <c r="Q42">
        <v>-382.81000000000006</v>
      </c>
      <c r="R42">
        <v>-382.81000000000006</v>
      </c>
      <c r="S42">
        <v>0</v>
      </c>
      <c r="T42">
        <v>-8</v>
      </c>
      <c r="U42">
        <v>-8</v>
      </c>
      <c r="V42">
        <v>0</v>
      </c>
      <c r="W42">
        <v>0</v>
      </c>
      <c r="X42">
        <v>0</v>
      </c>
      <c r="Y42">
        <v>0</v>
      </c>
      <c r="Z42">
        <v>2394.2900000000009</v>
      </c>
      <c r="AA42">
        <v>2394.2900000000009</v>
      </c>
      <c r="AB42">
        <v>0</v>
      </c>
      <c r="AC42">
        <v>21.92</v>
      </c>
      <c r="AD42">
        <v>7.92</v>
      </c>
      <c r="AE42">
        <v>-14</v>
      </c>
      <c r="AF42">
        <v>2372.3700000000003</v>
      </c>
      <c r="AG42">
        <v>2386.3700000000008</v>
      </c>
      <c r="AH42">
        <v>14</v>
      </c>
      <c r="AI42">
        <v>697.84</v>
      </c>
      <c r="AJ42">
        <v>0</v>
      </c>
      <c r="AK42">
        <v>-697.84</v>
      </c>
      <c r="AL42">
        <v>1674.53</v>
      </c>
      <c r="AM42">
        <v>2386.3700000000008</v>
      </c>
      <c r="AN42">
        <v>711.84</v>
      </c>
      <c r="AO42">
        <v>50</v>
      </c>
    </row>
    <row r="43" spans="1:41" x14ac:dyDescent="0.35">
      <c r="A43">
        <v>2024</v>
      </c>
      <c r="B43">
        <v>1</v>
      </c>
      <c r="C43">
        <v>2</v>
      </c>
      <c r="D43" s="14">
        <v>45298</v>
      </c>
      <c r="E43" t="s">
        <v>41</v>
      </c>
      <c r="F43" t="s">
        <v>42</v>
      </c>
      <c r="G43" t="s">
        <v>43</v>
      </c>
      <c r="H43">
        <v>104404</v>
      </c>
      <c r="I43">
        <v>104404</v>
      </c>
      <c r="J43">
        <v>0</v>
      </c>
      <c r="K43">
        <v>1538.8500000000163</v>
      </c>
      <c r="L43">
        <v>1538.8500000000163</v>
      </c>
      <c r="M43">
        <v>0</v>
      </c>
      <c r="N43">
        <v>1772.7300000000009</v>
      </c>
      <c r="O43">
        <v>1772.7300000000009</v>
      </c>
      <c r="P43">
        <v>0</v>
      </c>
      <c r="Q43">
        <v>-5993.5</v>
      </c>
      <c r="R43">
        <v>-5399.5</v>
      </c>
      <c r="S43">
        <v>594</v>
      </c>
      <c r="T43">
        <v>-4.22</v>
      </c>
      <c r="U43">
        <v>-4.22</v>
      </c>
      <c r="V43">
        <v>0</v>
      </c>
      <c r="W43">
        <v>-115</v>
      </c>
      <c r="X43">
        <v>-115</v>
      </c>
      <c r="Y43">
        <v>0</v>
      </c>
      <c r="Z43">
        <v>101602.86000000071</v>
      </c>
      <c r="AA43">
        <v>102196.86000000073</v>
      </c>
      <c r="AB43">
        <v>594</v>
      </c>
      <c r="AC43">
        <v>44056.32999999934</v>
      </c>
      <c r="AD43">
        <v>17761.769999999993</v>
      </c>
      <c r="AE43">
        <v>-26294.559999999892</v>
      </c>
      <c r="AF43">
        <v>57546.530000000719</v>
      </c>
      <c r="AG43">
        <v>84435.090000000666</v>
      </c>
      <c r="AH43">
        <v>26888.559999999885</v>
      </c>
      <c r="AI43">
        <v>-8563.7700000000114</v>
      </c>
      <c r="AJ43">
        <v>0</v>
      </c>
      <c r="AK43">
        <v>8563.7700000000114</v>
      </c>
      <c r="AL43">
        <v>66110.300000000643</v>
      </c>
      <c r="AM43">
        <v>84435.090000000666</v>
      </c>
      <c r="AN43">
        <v>18324.78999999999</v>
      </c>
      <c r="AO43">
        <v>2018</v>
      </c>
    </row>
    <row r="44" spans="1:41" x14ac:dyDescent="0.35">
      <c r="A44">
        <v>2024</v>
      </c>
      <c r="B44">
        <v>1</v>
      </c>
      <c r="C44">
        <v>2</v>
      </c>
      <c r="D44" s="14">
        <v>45298</v>
      </c>
      <c r="E44" t="s">
        <v>44</v>
      </c>
      <c r="F44" t="s">
        <v>42</v>
      </c>
      <c r="G44" t="s">
        <v>45</v>
      </c>
      <c r="H44">
        <v>107001</v>
      </c>
      <c r="I44">
        <v>107001</v>
      </c>
      <c r="J44">
        <v>0</v>
      </c>
      <c r="K44">
        <v>1151.4200000000055</v>
      </c>
      <c r="L44">
        <v>1151.4200000000055</v>
      </c>
      <c r="M44">
        <v>0</v>
      </c>
      <c r="N44">
        <v>4707.8599999999624</v>
      </c>
      <c r="O44">
        <v>4707.8599999999624</v>
      </c>
      <c r="P44">
        <v>0</v>
      </c>
      <c r="Q44">
        <v>-13912.789999999988</v>
      </c>
      <c r="R44">
        <v>-13887.169999999996</v>
      </c>
      <c r="S44">
        <v>25.620000000000019</v>
      </c>
      <c r="T44">
        <v>-14.970000000000002</v>
      </c>
      <c r="U44">
        <v>-14.970000000000002</v>
      </c>
      <c r="V44">
        <v>0</v>
      </c>
      <c r="W44">
        <v>-142.67000000000002</v>
      </c>
      <c r="X44">
        <v>-142.67000000000002</v>
      </c>
      <c r="Y44">
        <v>0</v>
      </c>
      <c r="Z44">
        <v>98789.850000000341</v>
      </c>
      <c r="AA44">
        <v>98815.470000000365</v>
      </c>
      <c r="AB44">
        <v>25.619999999999933</v>
      </c>
      <c r="AC44">
        <v>23426.78999999995</v>
      </c>
      <c r="AD44">
        <v>11400.92000000002</v>
      </c>
      <c r="AE44">
        <v>-12025.870000000012</v>
      </c>
      <c r="AF44">
        <v>75363.060000000696</v>
      </c>
      <c r="AG44">
        <v>87414.550000000629</v>
      </c>
      <c r="AH44">
        <v>12051.490000000005</v>
      </c>
      <c r="AI44">
        <v>-5926.6700000000046</v>
      </c>
      <c r="AJ44">
        <v>0</v>
      </c>
      <c r="AK44">
        <v>5926.6700000000046</v>
      </c>
      <c r="AL44">
        <v>81289.730000000302</v>
      </c>
      <c r="AM44">
        <v>87414.550000000629</v>
      </c>
      <c r="AN44">
        <v>6124.8200000000252</v>
      </c>
      <c r="AO44">
        <v>1489</v>
      </c>
    </row>
    <row r="45" spans="1:41" x14ac:dyDescent="0.35">
      <c r="A45">
        <v>2024</v>
      </c>
      <c r="B45">
        <v>1</v>
      </c>
      <c r="C45">
        <v>2</v>
      </c>
      <c r="D45" s="14">
        <v>45298</v>
      </c>
      <c r="E45" t="s">
        <v>44</v>
      </c>
      <c r="F45" t="s">
        <v>42</v>
      </c>
      <c r="G45" t="s">
        <v>46</v>
      </c>
      <c r="H45">
        <v>45754.610000000059</v>
      </c>
      <c r="I45">
        <v>45754.610000000059</v>
      </c>
      <c r="J45">
        <v>0</v>
      </c>
      <c r="K45">
        <v>210.72000000000023</v>
      </c>
      <c r="L45">
        <v>210.72000000000023</v>
      </c>
      <c r="M45">
        <v>0</v>
      </c>
      <c r="N45">
        <v>985.39000000000044</v>
      </c>
      <c r="O45">
        <v>985.39000000000044</v>
      </c>
      <c r="P45">
        <v>0</v>
      </c>
      <c r="Q45">
        <v>-14302.720000000038</v>
      </c>
      <c r="R45">
        <v>-14373.300000000036</v>
      </c>
      <c r="S45">
        <v>-70.580000000000013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32648.000000000004</v>
      </c>
      <c r="AA45">
        <v>32577.42</v>
      </c>
      <c r="AB45">
        <v>-70.580000000000013</v>
      </c>
      <c r="AC45">
        <v>9131.7000000000262</v>
      </c>
      <c r="AD45">
        <v>4110.6000000000076</v>
      </c>
      <c r="AE45">
        <v>-5021.1000000000113</v>
      </c>
      <c r="AF45">
        <v>23516.300000000039</v>
      </c>
      <c r="AG45">
        <v>28466.820000000014</v>
      </c>
      <c r="AH45">
        <v>4950.5200000000114</v>
      </c>
      <c r="AI45">
        <v>-2010.2499999999986</v>
      </c>
      <c r="AJ45">
        <v>0</v>
      </c>
      <c r="AK45">
        <v>2010.2499999999986</v>
      </c>
      <c r="AL45">
        <v>25526.550000000028</v>
      </c>
      <c r="AM45">
        <v>28466.820000000014</v>
      </c>
      <c r="AN45">
        <v>2940.2700000000041</v>
      </c>
      <c r="AO45">
        <v>586</v>
      </c>
    </row>
    <row r="46" spans="1:41" x14ac:dyDescent="0.35">
      <c r="A46">
        <v>2024</v>
      </c>
      <c r="B46">
        <v>1</v>
      </c>
      <c r="C46">
        <v>2</v>
      </c>
      <c r="D46" s="14">
        <v>45298</v>
      </c>
      <c r="E46" t="s">
        <v>44</v>
      </c>
      <c r="F46" t="s">
        <v>47</v>
      </c>
      <c r="G46" t="s">
        <v>48</v>
      </c>
      <c r="H46">
        <v>9836.5499999999993</v>
      </c>
      <c r="I46">
        <v>9836.5499999999993</v>
      </c>
      <c r="J46">
        <v>0</v>
      </c>
      <c r="K46">
        <v>55.7</v>
      </c>
      <c r="L46">
        <v>55.7</v>
      </c>
      <c r="M46">
        <v>0</v>
      </c>
      <c r="N46">
        <v>31.98</v>
      </c>
      <c r="O46">
        <v>31.98</v>
      </c>
      <c r="P46">
        <v>0</v>
      </c>
      <c r="Q46">
        <v>-2961.099999999999</v>
      </c>
      <c r="R46">
        <v>-2961.099999999999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6963.1299999999956</v>
      </c>
      <c r="AA46">
        <v>6963.1299999999956</v>
      </c>
      <c r="AB46">
        <v>0</v>
      </c>
      <c r="AC46">
        <v>12.3</v>
      </c>
      <c r="AE46">
        <v>-12.3</v>
      </c>
      <c r="AF46">
        <v>6950.8299999999954</v>
      </c>
      <c r="AG46">
        <v>6963.1299999999956</v>
      </c>
      <c r="AH46">
        <v>12.299999999999997</v>
      </c>
      <c r="AI46">
        <v>2205.8800000000006</v>
      </c>
      <c r="AJ46">
        <v>0</v>
      </c>
      <c r="AK46">
        <v>-2205.8800000000006</v>
      </c>
      <c r="AL46">
        <v>4744.9499999999989</v>
      </c>
      <c r="AM46">
        <v>6963.1299999999956</v>
      </c>
      <c r="AN46">
        <v>2218.1800000000007</v>
      </c>
      <c r="AO46">
        <v>135</v>
      </c>
    </row>
    <row r="47" spans="1:41" x14ac:dyDescent="0.35">
      <c r="A47">
        <v>2024</v>
      </c>
      <c r="B47">
        <v>1</v>
      </c>
      <c r="C47">
        <v>2</v>
      </c>
      <c r="D47" s="14">
        <v>45298</v>
      </c>
      <c r="E47" t="s">
        <v>44</v>
      </c>
      <c r="F47" t="s">
        <v>47</v>
      </c>
      <c r="G47" t="s">
        <v>49</v>
      </c>
      <c r="H47">
        <v>6426</v>
      </c>
      <c r="I47">
        <v>6426</v>
      </c>
      <c r="J47">
        <v>0</v>
      </c>
      <c r="K47">
        <v>156.11999999999995</v>
      </c>
      <c r="L47">
        <v>156.11999999999995</v>
      </c>
      <c r="M47">
        <v>0</v>
      </c>
      <c r="N47">
        <v>155.90999999999997</v>
      </c>
      <c r="O47">
        <v>155.90999999999997</v>
      </c>
      <c r="P47">
        <v>0</v>
      </c>
      <c r="Q47">
        <v>-1943.6499999999996</v>
      </c>
      <c r="R47">
        <v>-1715.6499999999999</v>
      </c>
      <c r="S47">
        <v>228</v>
      </c>
      <c r="T47">
        <v>-25.5</v>
      </c>
      <c r="U47">
        <v>-25.5</v>
      </c>
      <c r="V47">
        <v>0</v>
      </c>
      <c r="W47">
        <v>-10</v>
      </c>
      <c r="X47">
        <v>-10</v>
      </c>
      <c r="Y47">
        <v>0</v>
      </c>
      <c r="Z47">
        <v>4758.8799999999992</v>
      </c>
      <c r="AA47">
        <v>4986.8799999999983</v>
      </c>
      <c r="AB47">
        <v>228</v>
      </c>
      <c r="AC47">
        <v>378.34999999999997</v>
      </c>
      <c r="AD47">
        <v>142.68</v>
      </c>
      <c r="AE47">
        <v>-235.67000000000002</v>
      </c>
      <c r="AF47">
        <v>4380.53</v>
      </c>
      <c r="AG47">
        <v>4844.199999999998</v>
      </c>
      <c r="AH47">
        <v>463.67000000000007</v>
      </c>
      <c r="AI47">
        <v>1119.5200000000002</v>
      </c>
      <c r="AJ47">
        <v>0</v>
      </c>
      <c r="AK47">
        <v>-1119.5200000000002</v>
      </c>
      <c r="AL47">
        <v>3261.0100000000007</v>
      </c>
      <c r="AM47">
        <v>4844.199999999998</v>
      </c>
      <c r="AN47">
        <v>1583.1900000000003</v>
      </c>
      <c r="AO47">
        <v>90</v>
      </c>
    </row>
    <row r="48" spans="1:41" x14ac:dyDescent="0.35">
      <c r="A48">
        <v>2024</v>
      </c>
      <c r="B48">
        <v>1</v>
      </c>
      <c r="C48">
        <v>2</v>
      </c>
      <c r="D48" s="14">
        <v>45298</v>
      </c>
      <c r="E48" t="s">
        <v>44</v>
      </c>
      <c r="F48" t="s">
        <v>47</v>
      </c>
      <c r="G48" t="s">
        <v>50</v>
      </c>
      <c r="H48">
        <v>18536</v>
      </c>
      <c r="I48">
        <v>18536</v>
      </c>
      <c r="J48">
        <v>0</v>
      </c>
      <c r="K48">
        <v>380.57999999999993</v>
      </c>
      <c r="L48">
        <v>380.57999999999993</v>
      </c>
      <c r="M48">
        <v>0</v>
      </c>
      <c r="N48">
        <v>831.45000000000039</v>
      </c>
      <c r="O48">
        <v>831.45000000000039</v>
      </c>
      <c r="P48">
        <v>0</v>
      </c>
      <c r="Q48">
        <v>-4309.58</v>
      </c>
      <c r="R48">
        <v>-4223.6900000000005</v>
      </c>
      <c r="S48">
        <v>85.890000000000015</v>
      </c>
      <c r="T48">
        <v>-26.46</v>
      </c>
      <c r="U48">
        <v>-26.46</v>
      </c>
      <c r="V48">
        <v>0</v>
      </c>
      <c r="W48">
        <v>-34.090000000000003</v>
      </c>
      <c r="X48">
        <v>-34.090000000000003</v>
      </c>
      <c r="Y48">
        <v>0</v>
      </c>
      <c r="Z48">
        <v>15377.899999999991</v>
      </c>
      <c r="AA48">
        <v>15463.789999999988</v>
      </c>
      <c r="AB48">
        <v>85.889999999999972</v>
      </c>
      <c r="AC48">
        <v>2685.4600000000023</v>
      </c>
      <c r="AD48">
        <v>1181.0900000000001</v>
      </c>
      <c r="AE48">
        <v>-1504.3699999999994</v>
      </c>
      <c r="AF48">
        <v>12692.44</v>
      </c>
      <c r="AG48">
        <v>14282.69999999999</v>
      </c>
      <c r="AH48">
        <v>1590.2599999999993</v>
      </c>
      <c r="AI48">
        <v>-708.72999999999968</v>
      </c>
      <c r="AJ48">
        <v>0</v>
      </c>
      <c r="AK48">
        <v>708.72999999999968</v>
      </c>
      <c r="AL48">
        <v>13401.170000000007</v>
      </c>
      <c r="AM48">
        <v>14282.69999999999</v>
      </c>
      <c r="AN48">
        <v>881.5300000000002</v>
      </c>
      <c r="AO48">
        <v>230</v>
      </c>
    </row>
    <row r="49" spans="1:41" x14ac:dyDescent="0.35">
      <c r="A49">
        <v>2024</v>
      </c>
      <c r="B49">
        <v>1</v>
      </c>
      <c r="C49">
        <v>2</v>
      </c>
      <c r="D49" s="14">
        <v>45298</v>
      </c>
      <c r="E49" t="s">
        <v>44</v>
      </c>
      <c r="F49" t="s">
        <v>47</v>
      </c>
      <c r="G49" t="s">
        <v>51</v>
      </c>
      <c r="H49">
        <v>2011.4</v>
      </c>
      <c r="I49">
        <v>2011.4</v>
      </c>
      <c r="J49">
        <v>0</v>
      </c>
      <c r="K49">
        <v>120</v>
      </c>
      <c r="L49">
        <v>120</v>
      </c>
      <c r="M49">
        <v>0</v>
      </c>
      <c r="N49">
        <v>0</v>
      </c>
      <c r="O49">
        <v>0</v>
      </c>
      <c r="P49">
        <v>0</v>
      </c>
      <c r="Q49">
        <v>-335.85</v>
      </c>
      <c r="R49">
        <v>-335.85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1795.5500000000004</v>
      </c>
      <c r="AA49">
        <v>1795.5500000000004</v>
      </c>
      <c r="AB49">
        <v>0</v>
      </c>
      <c r="AC49">
        <v>7.92</v>
      </c>
      <c r="AE49">
        <v>-7.92</v>
      </c>
      <c r="AF49">
        <v>1787.6300000000003</v>
      </c>
      <c r="AG49">
        <v>1795.5500000000004</v>
      </c>
      <c r="AH49">
        <v>7.9200000000000017</v>
      </c>
      <c r="AI49">
        <v>389.20000000000016</v>
      </c>
      <c r="AJ49">
        <v>0</v>
      </c>
      <c r="AK49">
        <v>-389.20000000000016</v>
      </c>
      <c r="AL49">
        <v>1398.4300000000005</v>
      </c>
      <c r="AM49">
        <v>1795.5500000000004</v>
      </c>
      <c r="AN49">
        <v>397.12000000000018</v>
      </c>
      <c r="AO49">
        <v>37</v>
      </c>
    </row>
    <row r="50" spans="1:41" x14ac:dyDescent="0.35">
      <c r="A50">
        <v>2024</v>
      </c>
      <c r="B50">
        <v>1</v>
      </c>
      <c r="C50">
        <v>2</v>
      </c>
      <c r="D50" s="14">
        <v>45299</v>
      </c>
      <c r="E50" t="s">
        <v>41</v>
      </c>
      <c r="F50" t="s">
        <v>42</v>
      </c>
      <c r="G50" t="s">
        <v>43</v>
      </c>
      <c r="H50">
        <v>91265.25</v>
      </c>
      <c r="I50">
        <v>91265.25</v>
      </c>
      <c r="J50">
        <v>0</v>
      </c>
      <c r="K50">
        <v>1293.6100000000081</v>
      </c>
      <c r="L50">
        <v>1293.6100000000079</v>
      </c>
      <c r="M50">
        <v>0</v>
      </c>
      <c r="N50">
        <v>1383.9400000000007</v>
      </c>
      <c r="O50">
        <v>1367.9500000000007</v>
      </c>
      <c r="P50">
        <v>-15.99</v>
      </c>
      <c r="Q50">
        <v>-5170.5</v>
      </c>
      <c r="R50">
        <v>-4615.5</v>
      </c>
      <c r="S50">
        <v>555</v>
      </c>
      <c r="T50">
        <v>-14.330000000000002</v>
      </c>
      <c r="U50">
        <v>-14.330000000000002</v>
      </c>
      <c r="V50">
        <v>0</v>
      </c>
      <c r="W50">
        <v>-55</v>
      </c>
      <c r="X50">
        <v>-55</v>
      </c>
      <c r="Y50">
        <v>0</v>
      </c>
      <c r="Z50">
        <v>88702.970000000263</v>
      </c>
      <c r="AA50">
        <v>89241.980000000272</v>
      </c>
      <c r="AB50">
        <v>539.01</v>
      </c>
      <c r="AC50">
        <v>30141.179999999658</v>
      </c>
      <c r="AD50">
        <v>12669.770000000019</v>
      </c>
      <c r="AE50">
        <v>-17471.409999999985</v>
      </c>
      <c r="AF50">
        <v>58561.790000000648</v>
      </c>
      <c r="AG50">
        <v>76572.210000000283</v>
      </c>
      <c r="AH50">
        <v>18010.419999999969</v>
      </c>
      <c r="AI50">
        <v>-5915.4700000000084</v>
      </c>
      <c r="AJ50">
        <v>0</v>
      </c>
      <c r="AK50">
        <v>5915.4700000000084</v>
      </c>
      <c r="AL50">
        <v>64477.260000000511</v>
      </c>
      <c r="AM50">
        <v>76572.210000000283</v>
      </c>
      <c r="AN50">
        <v>12094.950000000028</v>
      </c>
      <c r="AO50">
        <v>1756</v>
      </c>
    </row>
    <row r="51" spans="1:41" x14ac:dyDescent="0.35">
      <c r="A51">
        <v>2024</v>
      </c>
      <c r="B51">
        <v>1</v>
      </c>
      <c r="C51">
        <v>2</v>
      </c>
      <c r="D51" s="14">
        <v>45299</v>
      </c>
      <c r="E51" t="s">
        <v>44</v>
      </c>
      <c r="F51" t="s">
        <v>42</v>
      </c>
      <c r="G51" t="s">
        <v>45</v>
      </c>
      <c r="H51">
        <v>107867</v>
      </c>
      <c r="I51">
        <v>107867</v>
      </c>
      <c r="J51">
        <v>0</v>
      </c>
      <c r="K51">
        <v>1013.2400000000034</v>
      </c>
      <c r="L51">
        <v>1013.2400000000034</v>
      </c>
      <c r="M51">
        <v>0</v>
      </c>
      <c r="N51">
        <v>3586.4799999999777</v>
      </c>
      <c r="O51">
        <v>3586.4799999999777</v>
      </c>
      <c r="P51">
        <v>0</v>
      </c>
      <c r="Q51">
        <v>-13716.379999999992</v>
      </c>
      <c r="R51">
        <v>-13509.149999999998</v>
      </c>
      <c r="S51">
        <v>207.23000000000008</v>
      </c>
      <c r="T51">
        <v>-6.54</v>
      </c>
      <c r="U51">
        <v>-6.54</v>
      </c>
      <c r="V51">
        <v>0</v>
      </c>
      <c r="W51">
        <v>-109.49</v>
      </c>
      <c r="X51">
        <v>-109.49</v>
      </c>
      <c r="Y51">
        <v>0</v>
      </c>
      <c r="Z51">
        <v>98634.310000000274</v>
      </c>
      <c r="AA51">
        <v>98841.540000000299</v>
      </c>
      <c r="AB51">
        <v>207.23</v>
      </c>
      <c r="AC51">
        <v>18694.899999999961</v>
      </c>
      <c r="AD51">
        <v>7434.8100000000077</v>
      </c>
      <c r="AE51">
        <v>-11260.090000000017</v>
      </c>
      <c r="AF51">
        <v>79939.410000000586</v>
      </c>
      <c r="AG51">
        <v>91406.730000000403</v>
      </c>
      <c r="AH51">
        <v>11467.320000000012</v>
      </c>
      <c r="AI51">
        <v>-3749.5100000000007</v>
      </c>
      <c r="AJ51">
        <v>0</v>
      </c>
      <c r="AK51">
        <v>3749.5100000000007</v>
      </c>
      <c r="AL51">
        <v>83688.92000000058</v>
      </c>
      <c r="AM51">
        <v>91406.730000000403</v>
      </c>
      <c r="AN51">
        <v>7717.810000000045</v>
      </c>
      <c r="AO51">
        <v>1525</v>
      </c>
    </row>
    <row r="52" spans="1:41" x14ac:dyDescent="0.35">
      <c r="A52">
        <v>2024</v>
      </c>
      <c r="B52">
        <v>1</v>
      </c>
      <c r="C52">
        <v>2</v>
      </c>
      <c r="D52" s="14">
        <v>45299</v>
      </c>
      <c r="E52" t="s">
        <v>44</v>
      </c>
      <c r="F52" t="s">
        <v>42</v>
      </c>
      <c r="G52" t="s">
        <v>46</v>
      </c>
      <c r="H52">
        <v>40551.010000000046</v>
      </c>
      <c r="I52">
        <v>40551.010000000046</v>
      </c>
      <c r="J52">
        <v>0</v>
      </c>
      <c r="K52">
        <v>247.63000000000002</v>
      </c>
      <c r="L52">
        <v>247.63000000000002</v>
      </c>
      <c r="M52">
        <v>0</v>
      </c>
      <c r="N52">
        <v>892.45000000000039</v>
      </c>
      <c r="O52">
        <v>892.45000000000039</v>
      </c>
      <c r="P52">
        <v>0</v>
      </c>
      <c r="Q52">
        <v>-12980.220000000027</v>
      </c>
      <c r="R52">
        <v>-12803.30000000003</v>
      </c>
      <c r="S52">
        <v>176.92</v>
      </c>
      <c r="T52">
        <v>0</v>
      </c>
      <c r="U52">
        <v>0</v>
      </c>
      <c r="V52">
        <v>0</v>
      </c>
      <c r="W52">
        <v>-10</v>
      </c>
      <c r="X52">
        <v>-10</v>
      </c>
      <c r="Y52">
        <v>0</v>
      </c>
      <c r="Z52">
        <v>28700.87</v>
      </c>
      <c r="AA52">
        <v>28877.790000000008</v>
      </c>
      <c r="AB52">
        <v>176.92000000000002</v>
      </c>
      <c r="AC52">
        <v>6859.7200000000166</v>
      </c>
      <c r="AD52">
        <v>2839.3900000000026</v>
      </c>
      <c r="AE52">
        <v>-4020.3300000000067</v>
      </c>
      <c r="AF52">
        <v>21841.150000000009</v>
      </c>
      <c r="AG52">
        <v>26038.400000000012</v>
      </c>
      <c r="AH52">
        <v>4197.2500000000064</v>
      </c>
      <c r="AI52">
        <v>-1375.9599999999994</v>
      </c>
      <c r="AJ52">
        <v>0</v>
      </c>
      <c r="AK52">
        <v>1375.9599999999994</v>
      </c>
      <c r="AL52">
        <v>23217.110000000011</v>
      </c>
      <c r="AM52">
        <v>26038.400000000012</v>
      </c>
      <c r="AN52">
        <v>2821.2900000000036</v>
      </c>
      <c r="AO52">
        <v>517</v>
      </c>
    </row>
    <row r="53" spans="1:41" x14ac:dyDescent="0.35">
      <c r="A53">
        <v>2024</v>
      </c>
      <c r="B53">
        <v>1</v>
      </c>
      <c r="C53">
        <v>2</v>
      </c>
      <c r="D53" s="14">
        <v>45299</v>
      </c>
      <c r="E53" t="s">
        <v>44</v>
      </c>
      <c r="F53" t="s">
        <v>47</v>
      </c>
      <c r="G53" t="s">
        <v>48</v>
      </c>
      <c r="H53">
        <v>440.43</v>
      </c>
      <c r="I53">
        <v>440.43</v>
      </c>
      <c r="J53">
        <v>0</v>
      </c>
      <c r="K53">
        <v>1.41</v>
      </c>
      <c r="L53">
        <v>1.41</v>
      </c>
      <c r="M53">
        <v>0</v>
      </c>
      <c r="N53">
        <v>0</v>
      </c>
      <c r="O53">
        <v>0</v>
      </c>
      <c r="P53">
        <v>0</v>
      </c>
      <c r="Q53">
        <v>-174.07999999999998</v>
      </c>
      <c r="R53">
        <v>-174.07999999999998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267.76</v>
      </c>
      <c r="AA53">
        <v>267.76</v>
      </c>
      <c r="AB53">
        <v>0</v>
      </c>
      <c r="AC53">
        <v>9.620000000000001</v>
      </c>
      <c r="AD53">
        <v>9.620000000000001</v>
      </c>
      <c r="AE53">
        <v>0</v>
      </c>
      <c r="AF53">
        <v>258.14000000000004</v>
      </c>
      <c r="AG53">
        <v>258.14000000000004</v>
      </c>
      <c r="AH53">
        <v>0</v>
      </c>
      <c r="AI53">
        <v>42.78</v>
      </c>
      <c r="AJ53">
        <v>0</v>
      </c>
      <c r="AK53">
        <v>-42.78</v>
      </c>
      <c r="AL53">
        <v>215.36</v>
      </c>
      <c r="AM53">
        <v>258.14000000000004</v>
      </c>
      <c r="AN53">
        <v>42.779999999999994</v>
      </c>
      <c r="AO53">
        <v>6</v>
      </c>
    </row>
    <row r="54" spans="1:41" x14ac:dyDescent="0.35">
      <c r="A54">
        <v>2024</v>
      </c>
      <c r="B54">
        <v>1</v>
      </c>
      <c r="C54">
        <v>2</v>
      </c>
      <c r="D54" s="14">
        <v>45299</v>
      </c>
      <c r="E54" t="s">
        <v>44</v>
      </c>
      <c r="F54" t="s">
        <v>47</v>
      </c>
      <c r="G54" t="s">
        <v>49</v>
      </c>
      <c r="H54">
        <v>1070</v>
      </c>
      <c r="I54">
        <v>1070</v>
      </c>
      <c r="J54">
        <v>0</v>
      </c>
      <c r="K54">
        <v>32.450000000000003</v>
      </c>
      <c r="L54">
        <v>32.450000000000003</v>
      </c>
      <c r="M54">
        <v>0</v>
      </c>
      <c r="N54">
        <v>59.96</v>
      </c>
      <c r="O54">
        <v>59.96</v>
      </c>
      <c r="P54">
        <v>0</v>
      </c>
      <c r="Q54">
        <v>-340.90999999999997</v>
      </c>
      <c r="R54">
        <v>-330.7</v>
      </c>
      <c r="S54">
        <v>10.210000000000001</v>
      </c>
      <c r="T54">
        <v>0</v>
      </c>
      <c r="U54">
        <v>0</v>
      </c>
      <c r="V54">
        <v>0</v>
      </c>
      <c r="W54">
        <v>-10</v>
      </c>
      <c r="X54">
        <v>-10</v>
      </c>
      <c r="Y54">
        <v>0</v>
      </c>
      <c r="Z54">
        <v>811.5</v>
      </c>
      <c r="AA54">
        <v>821.71</v>
      </c>
      <c r="AB54">
        <v>10.210000000000001</v>
      </c>
      <c r="AC54">
        <v>126.73</v>
      </c>
      <c r="AD54">
        <v>30.05</v>
      </c>
      <c r="AE54">
        <v>-96.68</v>
      </c>
      <c r="AF54">
        <v>684.7700000000001</v>
      </c>
      <c r="AG54">
        <v>791.66000000000008</v>
      </c>
      <c r="AH54">
        <v>106.89</v>
      </c>
      <c r="AI54">
        <v>17.54</v>
      </c>
      <c r="AJ54">
        <v>0</v>
      </c>
      <c r="AK54">
        <v>-17.54</v>
      </c>
      <c r="AL54">
        <v>667.23</v>
      </c>
      <c r="AM54">
        <v>791.66000000000008</v>
      </c>
      <c r="AN54">
        <v>124.42999999999998</v>
      </c>
      <c r="AO54">
        <v>13</v>
      </c>
    </row>
    <row r="55" spans="1:41" x14ac:dyDescent="0.35">
      <c r="A55">
        <v>2024</v>
      </c>
      <c r="B55">
        <v>1</v>
      </c>
      <c r="C55">
        <v>2</v>
      </c>
      <c r="D55" s="14">
        <v>45299</v>
      </c>
      <c r="E55" t="s">
        <v>44</v>
      </c>
      <c r="F55" t="s">
        <v>47</v>
      </c>
      <c r="G55" t="s">
        <v>50</v>
      </c>
      <c r="H55">
        <v>14462.5</v>
      </c>
      <c r="I55">
        <v>14462.5</v>
      </c>
      <c r="J55">
        <v>0</v>
      </c>
      <c r="K55">
        <v>156.68999999999991</v>
      </c>
      <c r="L55">
        <v>156.68999999999991</v>
      </c>
      <c r="M55">
        <v>0</v>
      </c>
      <c r="N55">
        <v>595.62000000000023</v>
      </c>
      <c r="O55">
        <v>595.62000000000023</v>
      </c>
      <c r="P55">
        <v>0</v>
      </c>
      <c r="Q55">
        <v>-3462.4100000000003</v>
      </c>
      <c r="R55">
        <v>-3428.36</v>
      </c>
      <c r="S55">
        <v>34.050000000000004</v>
      </c>
      <c r="T55">
        <v>0</v>
      </c>
      <c r="U55">
        <v>0</v>
      </c>
      <c r="V55">
        <v>0</v>
      </c>
      <c r="W55">
        <v>-20</v>
      </c>
      <c r="X55">
        <v>-20</v>
      </c>
      <c r="Y55">
        <v>0</v>
      </c>
      <c r="Z55">
        <v>11732.4</v>
      </c>
      <c r="AA55">
        <v>11766.449999999999</v>
      </c>
      <c r="AB55">
        <v>34.049999999999983</v>
      </c>
      <c r="AC55">
        <v>1692.48</v>
      </c>
      <c r="AD55">
        <v>549.73</v>
      </c>
      <c r="AE55">
        <v>-1142.7500000000002</v>
      </c>
      <c r="AF55">
        <v>10039.919999999998</v>
      </c>
      <c r="AG55">
        <v>11216.719999999994</v>
      </c>
      <c r="AH55">
        <v>1176.8000000000002</v>
      </c>
      <c r="AI55">
        <v>-364.39999999999992</v>
      </c>
      <c r="AJ55">
        <v>0</v>
      </c>
      <c r="AK55">
        <v>364.39999999999992</v>
      </c>
      <c r="AL55">
        <v>10404.319999999996</v>
      </c>
      <c r="AM55">
        <v>11216.719999999994</v>
      </c>
      <c r="AN55">
        <v>812.39999999999986</v>
      </c>
      <c r="AO55">
        <v>177</v>
      </c>
    </row>
    <row r="56" spans="1:41" x14ac:dyDescent="0.35">
      <c r="A56">
        <v>2024</v>
      </c>
      <c r="B56">
        <v>1</v>
      </c>
      <c r="C56">
        <v>2</v>
      </c>
      <c r="D56" s="14">
        <v>45299</v>
      </c>
      <c r="E56" t="s">
        <v>44</v>
      </c>
      <c r="F56" t="s">
        <v>47</v>
      </c>
      <c r="G56" t="s">
        <v>51</v>
      </c>
      <c r="H56">
        <v>70</v>
      </c>
      <c r="I56">
        <v>70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-27.3</v>
      </c>
      <c r="R56">
        <v>-27.3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42.7</v>
      </c>
      <c r="AA56">
        <v>42.7</v>
      </c>
      <c r="AB56">
        <v>0</v>
      </c>
      <c r="AE56">
        <v>0</v>
      </c>
      <c r="AF56">
        <v>42.7</v>
      </c>
      <c r="AG56">
        <v>42.7</v>
      </c>
      <c r="AH56">
        <v>0</v>
      </c>
      <c r="AI56">
        <v>24.71</v>
      </c>
      <c r="AJ56">
        <v>0</v>
      </c>
      <c r="AK56">
        <v>-24.71</v>
      </c>
      <c r="AL56">
        <v>17.989999999999998</v>
      </c>
      <c r="AM56">
        <v>42.7</v>
      </c>
      <c r="AN56">
        <v>24.710000000000004</v>
      </c>
      <c r="AO56">
        <v>1</v>
      </c>
    </row>
    <row r="57" spans="1:41" x14ac:dyDescent="0.35">
      <c r="A57">
        <v>2024</v>
      </c>
      <c r="B57">
        <v>1</v>
      </c>
      <c r="C57">
        <v>2</v>
      </c>
      <c r="D57" s="14">
        <v>45300</v>
      </c>
      <c r="E57" t="s">
        <v>41</v>
      </c>
      <c r="F57" t="s">
        <v>42</v>
      </c>
      <c r="G57" t="s">
        <v>43</v>
      </c>
      <c r="H57">
        <v>103913.75</v>
      </c>
      <c r="I57">
        <v>103913.75</v>
      </c>
      <c r="J57">
        <v>0</v>
      </c>
      <c r="K57">
        <v>1546.1900000000194</v>
      </c>
      <c r="L57">
        <v>1546.1900000000194</v>
      </c>
      <c r="M57">
        <v>0</v>
      </c>
      <c r="N57">
        <v>1294.0500000000006</v>
      </c>
      <c r="O57">
        <v>1294.0500000000006</v>
      </c>
      <c r="P57">
        <v>0</v>
      </c>
      <c r="Q57">
        <v>-6004.88</v>
      </c>
      <c r="R57">
        <v>-5563.88</v>
      </c>
      <c r="S57">
        <v>441</v>
      </c>
      <c r="T57">
        <v>-30.44</v>
      </c>
      <c r="U57">
        <v>-30.44</v>
      </c>
      <c r="V57">
        <v>0</v>
      </c>
      <c r="W57">
        <v>-40</v>
      </c>
      <c r="X57">
        <v>-40</v>
      </c>
      <c r="Y57">
        <v>0</v>
      </c>
      <c r="Z57">
        <v>100678.67000000071</v>
      </c>
      <c r="AA57">
        <v>101119.67000000074</v>
      </c>
      <c r="AB57">
        <v>441</v>
      </c>
      <c r="AC57">
        <v>35923.649999998976</v>
      </c>
      <c r="AD57">
        <v>23127.64999999963</v>
      </c>
      <c r="AE57">
        <v>-12796.000000000009</v>
      </c>
      <c r="AF57">
        <v>64755.020000000921</v>
      </c>
      <c r="AG57">
        <v>77992.020000000441</v>
      </c>
      <c r="AH57">
        <v>13237.000000000007</v>
      </c>
      <c r="AI57">
        <v>-10357.670000000004</v>
      </c>
      <c r="AJ57">
        <v>0</v>
      </c>
      <c r="AK57">
        <v>10357.670000000004</v>
      </c>
      <c r="AL57">
        <v>75112.690000000192</v>
      </c>
      <c r="AM57">
        <v>77992.020000000441</v>
      </c>
      <c r="AN57">
        <v>2879.3300000000113</v>
      </c>
      <c r="AO57">
        <v>2015</v>
      </c>
    </row>
    <row r="58" spans="1:41" x14ac:dyDescent="0.35">
      <c r="A58">
        <v>2024</v>
      </c>
      <c r="B58">
        <v>1</v>
      </c>
      <c r="C58">
        <v>2</v>
      </c>
      <c r="D58" s="14">
        <v>45300</v>
      </c>
      <c r="E58" t="s">
        <v>44</v>
      </c>
      <c r="F58" t="s">
        <v>42</v>
      </c>
      <c r="G58" t="s">
        <v>45</v>
      </c>
      <c r="H58">
        <v>87124.5</v>
      </c>
      <c r="I58">
        <v>87124.5</v>
      </c>
      <c r="J58">
        <v>0</v>
      </c>
      <c r="K58">
        <v>838.51000000000283</v>
      </c>
      <c r="L58">
        <v>838.51000000000283</v>
      </c>
      <c r="M58">
        <v>0</v>
      </c>
      <c r="N58">
        <v>2913.9399999999878</v>
      </c>
      <c r="O58">
        <v>2913.9399999999878</v>
      </c>
      <c r="P58">
        <v>0</v>
      </c>
      <c r="Q58">
        <v>-11138.989999999998</v>
      </c>
      <c r="R58">
        <v>-10931.26</v>
      </c>
      <c r="S58">
        <v>207.73000000000002</v>
      </c>
      <c r="T58">
        <v>-13.500000000000002</v>
      </c>
      <c r="U58">
        <v>-13.500000000000002</v>
      </c>
      <c r="V58">
        <v>0</v>
      </c>
      <c r="W58">
        <v>-110.3</v>
      </c>
      <c r="X58">
        <v>-110.3</v>
      </c>
      <c r="Y58">
        <v>0</v>
      </c>
      <c r="Z58">
        <v>79614.160000000062</v>
      </c>
      <c r="AA58">
        <v>79821.890000000058</v>
      </c>
      <c r="AB58">
        <v>207.73</v>
      </c>
      <c r="AC58">
        <v>12496.820000000009</v>
      </c>
      <c r="AD58">
        <v>5076.4600000000073</v>
      </c>
      <c r="AE58">
        <v>-7420.3600000000097</v>
      </c>
      <c r="AF58">
        <v>67117.340000000229</v>
      </c>
      <c r="AG58">
        <v>74745.430000000095</v>
      </c>
      <c r="AH58">
        <v>7628.0900000000101</v>
      </c>
      <c r="AI58">
        <v>-2754.159999999998</v>
      </c>
      <c r="AJ58">
        <v>0</v>
      </c>
      <c r="AK58">
        <v>2754.159999999998</v>
      </c>
      <c r="AL58">
        <v>69871.500000000189</v>
      </c>
      <c r="AM58">
        <v>74745.430000000095</v>
      </c>
      <c r="AN58">
        <v>4873.9300000000057</v>
      </c>
      <c r="AO58">
        <v>1250</v>
      </c>
    </row>
    <row r="59" spans="1:41" x14ac:dyDescent="0.35">
      <c r="A59">
        <v>2024</v>
      </c>
      <c r="B59">
        <v>1</v>
      </c>
      <c r="C59">
        <v>2</v>
      </c>
      <c r="D59" s="14">
        <v>45300</v>
      </c>
      <c r="E59" t="s">
        <v>44</v>
      </c>
      <c r="F59" t="s">
        <v>42</v>
      </c>
      <c r="G59" t="s">
        <v>46</v>
      </c>
      <c r="H59">
        <v>44808.450000000063</v>
      </c>
      <c r="I59">
        <v>44808.450000000063</v>
      </c>
      <c r="J59">
        <v>0</v>
      </c>
      <c r="K59">
        <v>271.08000000000004</v>
      </c>
      <c r="L59">
        <v>271.08000000000004</v>
      </c>
      <c r="M59">
        <v>0</v>
      </c>
      <c r="N59">
        <v>966.41000000000042</v>
      </c>
      <c r="O59">
        <v>966.41000000000042</v>
      </c>
      <c r="P59">
        <v>0</v>
      </c>
      <c r="Q59">
        <v>-13422.770000000033</v>
      </c>
      <c r="R59">
        <v>-13115.130000000036</v>
      </c>
      <c r="S59">
        <v>307.64000000000016</v>
      </c>
      <c r="T59">
        <v>0</v>
      </c>
      <c r="U59">
        <v>0</v>
      </c>
      <c r="V59">
        <v>0</v>
      </c>
      <c r="W59">
        <v>-15</v>
      </c>
      <c r="X59">
        <v>-15</v>
      </c>
      <c r="Y59">
        <v>0</v>
      </c>
      <c r="Z59">
        <v>32608.170000000006</v>
      </c>
      <c r="AA59">
        <v>32915.810000000019</v>
      </c>
      <c r="AB59">
        <v>307.6400000000001</v>
      </c>
      <c r="AC59">
        <v>6829.0400000000191</v>
      </c>
      <c r="AD59">
        <v>3994.7400000000057</v>
      </c>
      <c r="AE59">
        <v>-2834.3000000000034</v>
      </c>
      <c r="AF59">
        <v>25779.130000000056</v>
      </c>
      <c r="AG59">
        <v>28921.07000000004</v>
      </c>
      <c r="AH59">
        <v>3141.9400000000046</v>
      </c>
      <c r="AI59">
        <v>-1479.16</v>
      </c>
      <c r="AJ59">
        <v>0</v>
      </c>
      <c r="AK59">
        <v>1479.16</v>
      </c>
      <c r="AL59">
        <v>27258.290000000034</v>
      </c>
      <c r="AM59">
        <v>28921.07000000004</v>
      </c>
      <c r="AN59">
        <v>1662.7800000000022</v>
      </c>
      <c r="AO59">
        <v>593</v>
      </c>
    </row>
    <row r="60" spans="1:41" x14ac:dyDescent="0.35">
      <c r="A60">
        <v>2024</v>
      </c>
      <c r="B60">
        <v>1</v>
      </c>
      <c r="C60">
        <v>2</v>
      </c>
      <c r="D60" s="14">
        <v>45300</v>
      </c>
      <c r="E60" t="s">
        <v>44</v>
      </c>
      <c r="F60" t="s">
        <v>47</v>
      </c>
      <c r="G60" t="s">
        <v>48</v>
      </c>
      <c r="H60">
        <v>3039.5300000000061</v>
      </c>
      <c r="I60">
        <v>3039.5300000000061</v>
      </c>
      <c r="J60">
        <v>0</v>
      </c>
      <c r="K60">
        <v>554.01</v>
      </c>
      <c r="L60">
        <v>584.71</v>
      </c>
      <c r="M60">
        <v>30.7</v>
      </c>
      <c r="N60">
        <v>0</v>
      </c>
      <c r="O60">
        <v>0</v>
      </c>
      <c r="P60">
        <v>0</v>
      </c>
      <c r="Q60">
        <v>-278.72999999999996</v>
      </c>
      <c r="R60">
        <v>-278.72999999999996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3314.8100000000072</v>
      </c>
      <c r="AA60">
        <v>3345.5100000000075</v>
      </c>
      <c r="AB60">
        <v>30.7</v>
      </c>
      <c r="AC60">
        <v>9.620000000000001</v>
      </c>
      <c r="AE60">
        <v>-9.620000000000001</v>
      </c>
      <c r="AF60">
        <v>3305.1900000000073</v>
      </c>
      <c r="AG60">
        <v>3345.5100000000075</v>
      </c>
      <c r="AH60">
        <v>40.320000000000007</v>
      </c>
      <c r="AI60">
        <v>1054.4899999999975</v>
      </c>
      <c r="AJ60">
        <v>0</v>
      </c>
      <c r="AK60">
        <v>-1054.4899999999975</v>
      </c>
      <c r="AL60">
        <v>2250.6999999999985</v>
      </c>
      <c r="AM60">
        <v>3345.5100000000075</v>
      </c>
      <c r="AN60">
        <v>1094.8099999999974</v>
      </c>
      <c r="AO60">
        <v>133</v>
      </c>
    </row>
    <row r="61" spans="1:41" x14ac:dyDescent="0.35">
      <c r="A61">
        <v>2024</v>
      </c>
      <c r="B61">
        <v>1</v>
      </c>
      <c r="C61">
        <v>2</v>
      </c>
      <c r="D61" s="14">
        <v>45300</v>
      </c>
      <c r="E61" t="s">
        <v>44</v>
      </c>
      <c r="F61" t="s">
        <v>47</v>
      </c>
      <c r="G61" t="s">
        <v>49</v>
      </c>
      <c r="H61">
        <v>3977.2000000000007</v>
      </c>
      <c r="I61">
        <v>3977.2000000000007</v>
      </c>
      <c r="J61">
        <v>0</v>
      </c>
      <c r="K61">
        <v>45.77000000000001</v>
      </c>
      <c r="L61">
        <v>45.77000000000001</v>
      </c>
      <c r="M61">
        <v>0</v>
      </c>
      <c r="N61">
        <v>123.92999999999998</v>
      </c>
      <c r="O61">
        <v>123.92999999999998</v>
      </c>
      <c r="P61">
        <v>0</v>
      </c>
      <c r="Q61">
        <v>-1552.6700000000003</v>
      </c>
      <c r="R61">
        <v>-1552.6700000000003</v>
      </c>
      <c r="S61">
        <v>0</v>
      </c>
      <c r="T61">
        <v>0</v>
      </c>
      <c r="U61">
        <v>0</v>
      </c>
      <c r="V61">
        <v>0</v>
      </c>
      <c r="W61">
        <v>-5</v>
      </c>
      <c r="X61">
        <v>-5</v>
      </c>
      <c r="Y61">
        <v>0</v>
      </c>
      <c r="Z61">
        <v>2589.2299999999996</v>
      </c>
      <c r="AA61">
        <v>2589.2299999999996</v>
      </c>
      <c r="AB61">
        <v>0</v>
      </c>
      <c r="AC61">
        <v>121.93</v>
      </c>
      <c r="AD61">
        <v>91.88000000000001</v>
      </c>
      <c r="AE61">
        <v>-30.05</v>
      </c>
      <c r="AF61">
        <v>2467.2999999999997</v>
      </c>
      <c r="AG61">
        <v>2497.35</v>
      </c>
      <c r="AH61">
        <v>30.049999999999997</v>
      </c>
      <c r="AI61">
        <v>487.12999999999994</v>
      </c>
      <c r="AJ61">
        <v>0</v>
      </c>
      <c r="AK61">
        <v>-487.12999999999994</v>
      </c>
      <c r="AL61">
        <v>1980.1700000000005</v>
      </c>
      <c r="AM61">
        <v>2497.35</v>
      </c>
      <c r="AN61">
        <v>517.18000000000006</v>
      </c>
      <c r="AO61">
        <v>48</v>
      </c>
    </row>
    <row r="62" spans="1:41" x14ac:dyDescent="0.35">
      <c r="A62">
        <v>2024</v>
      </c>
      <c r="B62">
        <v>1</v>
      </c>
      <c r="C62">
        <v>2</v>
      </c>
      <c r="D62" s="14">
        <v>45300</v>
      </c>
      <c r="E62" t="s">
        <v>44</v>
      </c>
      <c r="F62" t="s">
        <v>47</v>
      </c>
      <c r="G62" t="s">
        <v>50</v>
      </c>
      <c r="H62">
        <v>16095.679999999997</v>
      </c>
      <c r="I62">
        <v>16095.679999999997</v>
      </c>
      <c r="J62">
        <v>0</v>
      </c>
      <c r="K62">
        <v>294.55999999999995</v>
      </c>
      <c r="L62">
        <v>294.55999999999995</v>
      </c>
      <c r="M62">
        <v>0</v>
      </c>
      <c r="N62">
        <v>626.61000000000024</v>
      </c>
      <c r="O62">
        <v>626.61000000000024</v>
      </c>
      <c r="P62">
        <v>0</v>
      </c>
      <c r="Q62">
        <v>-3869.3900000000003</v>
      </c>
      <c r="R62">
        <v>-3810.1800000000003</v>
      </c>
      <c r="S62">
        <v>59.21</v>
      </c>
      <c r="T62">
        <v>-20</v>
      </c>
      <c r="U62">
        <v>-20</v>
      </c>
      <c r="V62">
        <v>0</v>
      </c>
      <c r="W62">
        <v>-80.959999999999994</v>
      </c>
      <c r="X62">
        <v>-80.959999999999994</v>
      </c>
      <c r="Y62">
        <v>0</v>
      </c>
      <c r="Z62">
        <v>13046.499999999989</v>
      </c>
      <c r="AA62">
        <v>13105.709999999988</v>
      </c>
      <c r="AB62">
        <v>59.209999999999994</v>
      </c>
      <c r="AC62">
        <v>1297.3600000000008</v>
      </c>
      <c r="AD62">
        <v>747.63</v>
      </c>
      <c r="AE62">
        <v>-549.73</v>
      </c>
      <c r="AF62">
        <v>11749.13999999999</v>
      </c>
      <c r="AG62">
        <v>12358.079999999987</v>
      </c>
      <c r="AH62">
        <v>608.94000000000005</v>
      </c>
      <c r="AI62">
        <v>-478.75999999999982</v>
      </c>
      <c r="AJ62">
        <v>0</v>
      </c>
      <c r="AK62">
        <v>478.75999999999982</v>
      </c>
      <c r="AL62">
        <v>12227.899999999992</v>
      </c>
      <c r="AM62">
        <v>12358.079999999987</v>
      </c>
      <c r="AN62">
        <v>130.17999999999992</v>
      </c>
      <c r="AO62">
        <v>202</v>
      </c>
    </row>
    <row r="63" spans="1:41" x14ac:dyDescent="0.35">
      <c r="A63">
        <v>2024</v>
      </c>
      <c r="B63">
        <v>1</v>
      </c>
      <c r="C63">
        <v>2</v>
      </c>
      <c r="D63" s="14">
        <v>45300</v>
      </c>
      <c r="E63" t="s">
        <v>44</v>
      </c>
      <c r="F63" t="s">
        <v>47</v>
      </c>
      <c r="G63" t="s">
        <v>51</v>
      </c>
      <c r="H63">
        <v>1787.3999999999999</v>
      </c>
      <c r="I63">
        <v>1787.3999999999999</v>
      </c>
      <c r="J63">
        <v>0</v>
      </c>
      <c r="K63">
        <v>10</v>
      </c>
      <c r="L63">
        <v>10</v>
      </c>
      <c r="M63">
        <v>0</v>
      </c>
      <c r="N63">
        <v>0</v>
      </c>
      <c r="O63">
        <v>0</v>
      </c>
      <c r="P63">
        <v>0</v>
      </c>
      <c r="Q63">
        <v>-272.25</v>
      </c>
      <c r="R63">
        <v>-272.25</v>
      </c>
      <c r="S63">
        <v>0</v>
      </c>
      <c r="T63">
        <v>-4</v>
      </c>
      <c r="U63">
        <v>-4</v>
      </c>
      <c r="V63">
        <v>0</v>
      </c>
      <c r="W63">
        <v>0</v>
      </c>
      <c r="X63">
        <v>0</v>
      </c>
      <c r="Y63">
        <v>0</v>
      </c>
      <c r="Z63">
        <v>1521.1499999999999</v>
      </c>
      <c r="AA63">
        <v>1521.1499999999999</v>
      </c>
      <c r="AB63">
        <v>0</v>
      </c>
      <c r="AC63">
        <v>17.3</v>
      </c>
      <c r="AD63">
        <v>17.3</v>
      </c>
      <c r="AE63">
        <v>0</v>
      </c>
      <c r="AF63">
        <v>1503.85</v>
      </c>
      <c r="AG63">
        <v>1503.85</v>
      </c>
      <c r="AH63">
        <v>0</v>
      </c>
      <c r="AI63">
        <v>441.19000000000005</v>
      </c>
      <c r="AJ63">
        <v>0</v>
      </c>
      <c r="AK63">
        <v>-441.19000000000005</v>
      </c>
      <c r="AL63">
        <v>1062.6600000000003</v>
      </c>
      <c r="AM63">
        <v>1503.85</v>
      </c>
      <c r="AN63">
        <v>441.19000000000005</v>
      </c>
      <c r="AO63">
        <v>30</v>
      </c>
    </row>
    <row r="64" spans="1:41" x14ac:dyDescent="0.35">
      <c r="A64">
        <v>2024</v>
      </c>
      <c r="B64">
        <v>1</v>
      </c>
      <c r="C64">
        <v>2</v>
      </c>
      <c r="D64" s="14">
        <v>45301</v>
      </c>
      <c r="E64" t="s">
        <v>41</v>
      </c>
      <c r="F64" t="s">
        <v>42</v>
      </c>
      <c r="G64" t="s">
        <v>43</v>
      </c>
      <c r="H64">
        <v>115821.25</v>
      </c>
      <c r="I64">
        <v>115821.25</v>
      </c>
      <c r="J64">
        <v>0</v>
      </c>
      <c r="K64">
        <v>1810.0900000000127</v>
      </c>
      <c r="L64">
        <v>1810.0900000000127</v>
      </c>
      <c r="M64">
        <v>0</v>
      </c>
      <c r="N64">
        <v>1622.8600000000008</v>
      </c>
      <c r="O64">
        <v>1622.8600000000008</v>
      </c>
      <c r="P64">
        <v>0</v>
      </c>
      <c r="Q64">
        <v>-6292.5</v>
      </c>
      <c r="R64">
        <v>-6050.5</v>
      </c>
      <c r="S64">
        <v>242</v>
      </c>
      <c r="T64">
        <v>-22.65</v>
      </c>
      <c r="U64">
        <v>-22.65</v>
      </c>
      <c r="V64">
        <v>0</v>
      </c>
      <c r="W64">
        <v>-105</v>
      </c>
      <c r="X64">
        <v>-105</v>
      </c>
      <c r="Y64">
        <v>0</v>
      </c>
      <c r="Z64">
        <v>112834.05000000125</v>
      </c>
      <c r="AA64">
        <v>113076.05000000125</v>
      </c>
      <c r="AB64">
        <v>242</v>
      </c>
      <c r="AC64">
        <v>38776.579999998903</v>
      </c>
      <c r="AD64">
        <v>15797.460000000034</v>
      </c>
      <c r="AE64">
        <v>-22979.119999999628</v>
      </c>
      <c r="AF64">
        <v>74057.470000001005</v>
      </c>
      <c r="AG64">
        <v>97278.590000001102</v>
      </c>
      <c r="AH64">
        <v>23221.119999999624</v>
      </c>
      <c r="AI64">
        <v>-6777.7799999999952</v>
      </c>
      <c r="AJ64">
        <v>0</v>
      </c>
      <c r="AK64">
        <v>6777.7799999999952</v>
      </c>
      <c r="AL64">
        <v>80835.250000000349</v>
      </c>
      <c r="AM64">
        <v>97278.590000001102</v>
      </c>
      <c r="AN64">
        <v>16443.340000000029</v>
      </c>
      <c r="AO64">
        <v>2242</v>
      </c>
    </row>
    <row r="65" spans="1:41" x14ac:dyDescent="0.35">
      <c r="A65">
        <v>2024</v>
      </c>
      <c r="B65">
        <v>1</v>
      </c>
      <c r="C65">
        <v>2</v>
      </c>
      <c r="D65" s="14">
        <v>45301</v>
      </c>
      <c r="E65" t="s">
        <v>44</v>
      </c>
      <c r="F65" t="s">
        <v>42</v>
      </c>
      <c r="G65" t="s">
        <v>45</v>
      </c>
      <c r="H65">
        <v>96708</v>
      </c>
      <c r="I65">
        <v>96708</v>
      </c>
      <c r="J65">
        <v>0</v>
      </c>
      <c r="K65">
        <v>1135.7100000000069</v>
      </c>
      <c r="L65">
        <v>1135.7100000000069</v>
      </c>
      <c r="M65">
        <v>0</v>
      </c>
      <c r="N65">
        <v>3874.3699999999744</v>
      </c>
      <c r="O65">
        <v>3874.3699999999744</v>
      </c>
      <c r="P65">
        <v>0</v>
      </c>
      <c r="Q65">
        <v>-12592.309999999998</v>
      </c>
      <c r="R65">
        <v>-12422.21</v>
      </c>
      <c r="S65">
        <v>170.10000000000002</v>
      </c>
      <c r="T65">
        <v>-15.090000000000002</v>
      </c>
      <c r="U65">
        <v>-15.090000000000002</v>
      </c>
      <c r="V65">
        <v>0</v>
      </c>
      <c r="W65">
        <v>-137.07999999999998</v>
      </c>
      <c r="X65">
        <v>-137.07999999999998</v>
      </c>
      <c r="Y65">
        <v>0</v>
      </c>
      <c r="Z65">
        <v>88973.600000000282</v>
      </c>
      <c r="AA65">
        <v>89143.700000000288</v>
      </c>
      <c r="AB65">
        <v>170.10000000000002</v>
      </c>
      <c r="AC65">
        <v>12775.290000000012</v>
      </c>
      <c r="AD65">
        <v>7895.6300000000192</v>
      </c>
      <c r="AE65">
        <v>-4879.660000000008</v>
      </c>
      <c r="AF65">
        <v>76198.31000000026</v>
      </c>
      <c r="AG65">
        <v>81248.070000000327</v>
      </c>
      <c r="AH65">
        <v>5049.7600000000093</v>
      </c>
      <c r="AI65">
        <v>-3905.6700000000023</v>
      </c>
      <c r="AJ65">
        <v>0</v>
      </c>
      <c r="AK65">
        <v>3905.6700000000023</v>
      </c>
      <c r="AL65">
        <v>80103.979999999952</v>
      </c>
      <c r="AM65">
        <v>81248.070000000327</v>
      </c>
      <c r="AN65">
        <v>1144.0899999999995</v>
      </c>
      <c r="AO65">
        <v>1380</v>
      </c>
    </row>
    <row r="66" spans="1:41" x14ac:dyDescent="0.35">
      <c r="A66">
        <v>2024</v>
      </c>
      <c r="B66">
        <v>1</v>
      </c>
      <c r="C66">
        <v>2</v>
      </c>
      <c r="D66" s="14">
        <v>45301</v>
      </c>
      <c r="E66" t="s">
        <v>44</v>
      </c>
      <c r="F66" t="s">
        <v>42</v>
      </c>
      <c r="G66" t="s">
        <v>46</v>
      </c>
      <c r="H66">
        <v>57556.410000000084</v>
      </c>
      <c r="I66">
        <v>57556.410000000084</v>
      </c>
      <c r="J66">
        <v>0</v>
      </c>
      <c r="K66">
        <v>397.42999999999898</v>
      </c>
      <c r="L66">
        <v>397.42999999999898</v>
      </c>
      <c r="M66">
        <v>0</v>
      </c>
      <c r="N66">
        <v>1042.3500000000004</v>
      </c>
      <c r="O66">
        <v>1042.3500000000004</v>
      </c>
      <c r="P66">
        <v>0</v>
      </c>
      <c r="Q66">
        <v>-17978.210000000054</v>
      </c>
      <c r="R66">
        <v>-17677.140000000054</v>
      </c>
      <c r="S66">
        <v>301.07000000000011</v>
      </c>
      <c r="T66">
        <v>-5.95</v>
      </c>
      <c r="U66">
        <v>-5.95</v>
      </c>
      <c r="V66">
        <v>0</v>
      </c>
      <c r="W66">
        <v>-25.990000000000002</v>
      </c>
      <c r="X66">
        <v>-25.990000000000002</v>
      </c>
      <c r="Y66">
        <v>0</v>
      </c>
      <c r="Z66">
        <v>40986.039999999972</v>
      </c>
      <c r="AA66">
        <v>41287.109999999942</v>
      </c>
      <c r="AB66">
        <v>301.07000000000016</v>
      </c>
      <c r="AC66">
        <v>8930.6200000000263</v>
      </c>
      <c r="AD66">
        <v>5011.2800000000125</v>
      </c>
      <c r="AE66">
        <v>-3919.340000000007</v>
      </c>
      <c r="AF66">
        <v>32055.4200000001</v>
      </c>
      <c r="AG66">
        <v>36275.830000000045</v>
      </c>
      <c r="AH66">
        <v>4220.4100000000089</v>
      </c>
      <c r="AI66">
        <v>-1934.5999999999985</v>
      </c>
      <c r="AJ66">
        <v>0</v>
      </c>
      <c r="AK66">
        <v>1934.5999999999985</v>
      </c>
      <c r="AL66">
        <v>33990.020000000077</v>
      </c>
      <c r="AM66">
        <v>36275.830000000045</v>
      </c>
      <c r="AN66">
        <v>2285.8100000000009</v>
      </c>
      <c r="AO66">
        <v>753</v>
      </c>
    </row>
    <row r="67" spans="1:41" x14ac:dyDescent="0.35">
      <c r="A67">
        <v>2024</v>
      </c>
      <c r="B67">
        <v>1</v>
      </c>
      <c r="C67">
        <v>2</v>
      </c>
      <c r="D67" s="14">
        <v>45301</v>
      </c>
      <c r="E67" t="s">
        <v>44</v>
      </c>
      <c r="F67" t="s">
        <v>47</v>
      </c>
      <c r="G67" t="s">
        <v>48</v>
      </c>
      <c r="H67">
        <v>17206.499999999949</v>
      </c>
      <c r="I67">
        <v>17206.499999999949</v>
      </c>
      <c r="J67">
        <v>0</v>
      </c>
      <c r="K67">
        <v>523.19999999999993</v>
      </c>
      <c r="L67">
        <v>523.19999999999993</v>
      </c>
      <c r="M67">
        <v>0</v>
      </c>
      <c r="N67">
        <v>0</v>
      </c>
      <c r="O67">
        <v>0</v>
      </c>
      <c r="P67">
        <v>0</v>
      </c>
      <c r="Q67">
        <v>-4620.4999999999991</v>
      </c>
      <c r="R67">
        <v>-4620.4999999999991</v>
      </c>
      <c r="S67">
        <v>0</v>
      </c>
      <c r="T67">
        <v>-12.2</v>
      </c>
      <c r="U67">
        <v>-12.2</v>
      </c>
      <c r="V67">
        <v>0</v>
      </c>
      <c r="W67">
        <v>0</v>
      </c>
      <c r="X67">
        <v>0</v>
      </c>
      <c r="Y67">
        <v>0</v>
      </c>
      <c r="Z67">
        <v>13096.999999999953</v>
      </c>
      <c r="AA67">
        <v>13096.999999999953</v>
      </c>
      <c r="AB67">
        <v>0</v>
      </c>
      <c r="AC67">
        <v>6.5</v>
      </c>
      <c r="AD67">
        <v>6.5</v>
      </c>
      <c r="AE67">
        <v>0</v>
      </c>
      <c r="AF67">
        <v>13090.499999999953</v>
      </c>
      <c r="AG67">
        <v>13090.499999999953</v>
      </c>
      <c r="AH67">
        <v>0</v>
      </c>
      <c r="AI67">
        <v>2249.089999999997</v>
      </c>
      <c r="AJ67">
        <v>0</v>
      </c>
      <c r="AK67">
        <v>-2249.089999999997</v>
      </c>
      <c r="AL67">
        <v>10841.409999999987</v>
      </c>
      <c r="AM67">
        <v>13090.499999999953</v>
      </c>
      <c r="AN67">
        <v>2249.089999999997</v>
      </c>
      <c r="AO67">
        <v>462</v>
      </c>
    </row>
    <row r="68" spans="1:41" x14ac:dyDescent="0.35">
      <c r="A68">
        <v>2024</v>
      </c>
      <c r="B68">
        <v>1</v>
      </c>
      <c r="C68">
        <v>2</v>
      </c>
      <c r="D68" s="14">
        <v>45301</v>
      </c>
      <c r="E68" t="s">
        <v>44</v>
      </c>
      <c r="F68" t="s">
        <v>47</v>
      </c>
      <c r="G68" t="s">
        <v>49</v>
      </c>
      <c r="H68">
        <v>10457.25</v>
      </c>
      <c r="I68">
        <v>10457.25</v>
      </c>
      <c r="J68">
        <v>0</v>
      </c>
      <c r="K68">
        <v>168.96</v>
      </c>
      <c r="L68">
        <v>168.96</v>
      </c>
      <c r="M68">
        <v>0</v>
      </c>
      <c r="N68">
        <v>85.949999999999989</v>
      </c>
      <c r="O68">
        <v>85.949999999999989</v>
      </c>
      <c r="P68">
        <v>0</v>
      </c>
      <c r="Q68">
        <v>-3825.2999999999993</v>
      </c>
      <c r="R68">
        <v>-3820.2999999999993</v>
      </c>
      <c r="S68">
        <v>5</v>
      </c>
      <c r="T68">
        <v>-5</v>
      </c>
      <c r="U68">
        <v>-5</v>
      </c>
      <c r="V68">
        <v>0</v>
      </c>
      <c r="W68">
        <v>-5</v>
      </c>
      <c r="X68">
        <v>-5</v>
      </c>
      <c r="Y68">
        <v>0</v>
      </c>
      <c r="Z68">
        <v>6876.86</v>
      </c>
      <c r="AA68">
        <v>6881.86</v>
      </c>
      <c r="AB68">
        <v>5</v>
      </c>
      <c r="AC68">
        <v>206.43</v>
      </c>
      <c r="AD68">
        <v>114.55000000000001</v>
      </c>
      <c r="AE68">
        <v>-91.88</v>
      </c>
      <c r="AF68">
        <v>6670.4299999999994</v>
      </c>
      <c r="AG68">
        <v>6767.3099999999995</v>
      </c>
      <c r="AH68">
        <v>96.88000000000001</v>
      </c>
      <c r="AI68">
        <v>1204.7599999999998</v>
      </c>
      <c r="AJ68">
        <v>0</v>
      </c>
      <c r="AK68">
        <v>-1204.7599999999998</v>
      </c>
      <c r="AL68">
        <v>5465.6700000000019</v>
      </c>
      <c r="AM68">
        <v>6767.3099999999995</v>
      </c>
      <c r="AN68">
        <v>1301.6399999999994</v>
      </c>
      <c r="AO68">
        <v>131</v>
      </c>
    </row>
    <row r="69" spans="1:41" x14ac:dyDescent="0.35">
      <c r="A69">
        <v>2024</v>
      </c>
      <c r="B69">
        <v>1</v>
      </c>
      <c r="C69">
        <v>2</v>
      </c>
      <c r="D69" s="14">
        <v>45301</v>
      </c>
      <c r="E69" t="s">
        <v>44</v>
      </c>
      <c r="F69" t="s">
        <v>47</v>
      </c>
      <c r="G69" t="s">
        <v>50</v>
      </c>
      <c r="H69">
        <v>20043.580000000002</v>
      </c>
      <c r="I69">
        <v>20043.580000000002</v>
      </c>
      <c r="J69">
        <v>0</v>
      </c>
      <c r="K69">
        <v>425.5599999999996</v>
      </c>
      <c r="L69">
        <v>425.5599999999996</v>
      </c>
      <c r="M69">
        <v>0</v>
      </c>
      <c r="N69">
        <v>794.50000000000034</v>
      </c>
      <c r="O69">
        <v>794.50000000000034</v>
      </c>
      <c r="P69">
        <v>0</v>
      </c>
      <c r="Q69">
        <v>-5039.9600000000009</v>
      </c>
      <c r="R69">
        <v>-5029.9600000000009</v>
      </c>
      <c r="S69">
        <v>10</v>
      </c>
      <c r="T69">
        <v>-60</v>
      </c>
      <c r="U69">
        <v>-60</v>
      </c>
      <c r="V69">
        <v>0</v>
      </c>
      <c r="W69">
        <v>-25</v>
      </c>
      <c r="X69">
        <v>-25</v>
      </c>
      <c r="Y69">
        <v>0</v>
      </c>
      <c r="Z69">
        <v>16138.679999999975</v>
      </c>
      <c r="AA69">
        <v>16148.679999999975</v>
      </c>
      <c r="AB69">
        <v>10</v>
      </c>
      <c r="AC69">
        <v>1596.1299999999997</v>
      </c>
      <c r="AD69">
        <v>848.49999999999977</v>
      </c>
      <c r="AE69">
        <v>-747.63000000000011</v>
      </c>
      <c r="AF69">
        <v>14542.549999999981</v>
      </c>
      <c r="AG69">
        <v>15300.179999999978</v>
      </c>
      <c r="AH69">
        <v>757.63000000000011</v>
      </c>
      <c r="AI69">
        <v>-649.05999999999983</v>
      </c>
      <c r="AJ69">
        <v>0</v>
      </c>
      <c r="AK69">
        <v>649.05999999999983</v>
      </c>
      <c r="AL69">
        <v>15191.609999999999</v>
      </c>
      <c r="AM69">
        <v>15300.179999999978</v>
      </c>
      <c r="AN69">
        <v>108.56999999999994</v>
      </c>
      <c r="AO69">
        <v>251</v>
      </c>
    </row>
    <row r="70" spans="1:41" x14ac:dyDescent="0.35">
      <c r="A70">
        <v>2024</v>
      </c>
      <c r="B70">
        <v>1</v>
      </c>
      <c r="C70">
        <v>2</v>
      </c>
      <c r="D70" s="14">
        <v>45301</v>
      </c>
      <c r="E70" t="s">
        <v>44</v>
      </c>
      <c r="F70" t="s">
        <v>47</v>
      </c>
      <c r="G70" t="s">
        <v>51</v>
      </c>
      <c r="H70">
        <v>5432.4500000000025</v>
      </c>
      <c r="I70">
        <v>5432.4500000000025</v>
      </c>
      <c r="J70">
        <v>0</v>
      </c>
      <c r="K70">
        <v>60</v>
      </c>
      <c r="L70">
        <v>60</v>
      </c>
      <c r="M70">
        <v>0</v>
      </c>
      <c r="N70">
        <v>0</v>
      </c>
      <c r="O70">
        <v>0</v>
      </c>
      <c r="P70">
        <v>0</v>
      </c>
      <c r="Q70">
        <v>-615.75000000000011</v>
      </c>
      <c r="R70">
        <v>-615.75000000000011</v>
      </c>
      <c r="S70">
        <v>0</v>
      </c>
      <c r="T70">
        <v>-24</v>
      </c>
      <c r="U70">
        <v>-24</v>
      </c>
      <c r="V70">
        <v>0</v>
      </c>
      <c r="W70">
        <v>0</v>
      </c>
      <c r="X70">
        <v>0</v>
      </c>
      <c r="Y70">
        <v>0</v>
      </c>
      <c r="Z70">
        <v>4852.7000000000025</v>
      </c>
      <c r="AA70">
        <v>4852.7000000000025</v>
      </c>
      <c r="AB70">
        <v>0</v>
      </c>
      <c r="AC70">
        <v>17.3</v>
      </c>
      <c r="AE70">
        <v>-17.3</v>
      </c>
      <c r="AF70">
        <v>4835.4000000000024</v>
      </c>
      <c r="AG70">
        <v>4852.7000000000025</v>
      </c>
      <c r="AH70">
        <v>17.299999999999997</v>
      </c>
      <c r="AI70">
        <v>1525.9899999999993</v>
      </c>
      <c r="AJ70">
        <v>0</v>
      </c>
      <c r="AK70">
        <v>-1525.9899999999993</v>
      </c>
      <c r="AL70">
        <v>3309.4100000000017</v>
      </c>
      <c r="AM70">
        <v>4852.7000000000025</v>
      </c>
      <c r="AN70">
        <v>1543.2899999999993</v>
      </c>
      <c r="AO70">
        <v>103</v>
      </c>
    </row>
    <row r="71" spans="1:41" x14ac:dyDescent="0.35">
      <c r="A71">
        <v>2024</v>
      </c>
      <c r="B71">
        <v>1</v>
      </c>
      <c r="C71">
        <v>2</v>
      </c>
      <c r="D71" s="14">
        <v>45302</v>
      </c>
      <c r="E71" t="s">
        <v>41</v>
      </c>
      <c r="F71" t="s">
        <v>42</v>
      </c>
      <c r="G71" t="s">
        <v>43</v>
      </c>
      <c r="H71">
        <v>108810</v>
      </c>
      <c r="I71">
        <v>108810</v>
      </c>
      <c r="J71">
        <v>0</v>
      </c>
      <c r="K71">
        <v>1627.9000000000169</v>
      </c>
      <c r="L71">
        <v>1627.9000000000169</v>
      </c>
      <c r="M71">
        <v>0</v>
      </c>
      <c r="N71">
        <v>1812.620000000001</v>
      </c>
      <c r="O71">
        <v>1805.630000000001</v>
      </c>
      <c r="P71">
        <v>-6.99</v>
      </c>
      <c r="Q71">
        <v>-5997</v>
      </c>
      <c r="R71">
        <v>-5603</v>
      </c>
      <c r="S71">
        <v>394</v>
      </c>
      <c r="T71">
        <v>-9.43</v>
      </c>
      <c r="U71">
        <v>-9.43</v>
      </c>
      <c r="V71">
        <v>0</v>
      </c>
      <c r="W71">
        <v>-109.5</v>
      </c>
      <c r="X71">
        <v>-109.5</v>
      </c>
      <c r="Y71">
        <v>0</v>
      </c>
      <c r="Z71">
        <v>106134.59000000087</v>
      </c>
      <c r="AA71">
        <v>106521.60000000088</v>
      </c>
      <c r="AB71">
        <v>387.01</v>
      </c>
      <c r="AC71">
        <v>31387.309999999481</v>
      </c>
      <c r="AD71">
        <v>15646.679999999946</v>
      </c>
      <c r="AE71">
        <v>-15740.630000000034</v>
      </c>
      <c r="AF71">
        <v>74747.280000000668</v>
      </c>
      <c r="AG71">
        <v>90874.920000000435</v>
      </c>
      <c r="AH71">
        <v>16127.640000000034</v>
      </c>
      <c r="AI71">
        <v>-6775.0599999999913</v>
      </c>
      <c r="AJ71">
        <v>0</v>
      </c>
      <c r="AK71">
        <v>6775.0599999999913</v>
      </c>
      <c r="AL71">
        <v>81522.340000000593</v>
      </c>
      <c r="AM71">
        <v>90874.920000000435</v>
      </c>
      <c r="AN71">
        <v>9352.5800000000818</v>
      </c>
      <c r="AO71">
        <v>2084</v>
      </c>
    </row>
    <row r="72" spans="1:41" x14ac:dyDescent="0.35">
      <c r="A72">
        <v>2024</v>
      </c>
      <c r="B72">
        <v>1</v>
      </c>
      <c r="C72">
        <v>2</v>
      </c>
      <c r="D72" s="14">
        <v>45302</v>
      </c>
      <c r="E72" t="s">
        <v>44</v>
      </c>
      <c r="F72" t="s">
        <v>42</v>
      </c>
      <c r="G72" t="s">
        <v>45</v>
      </c>
      <c r="H72">
        <v>127148.93</v>
      </c>
      <c r="I72">
        <v>127148.93</v>
      </c>
      <c r="J72">
        <v>0</v>
      </c>
      <c r="K72">
        <v>1103.7700000000063</v>
      </c>
      <c r="L72">
        <v>1103.7700000000063</v>
      </c>
      <c r="M72">
        <v>0</v>
      </c>
      <c r="N72">
        <v>4430.9599999999655</v>
      </c>
      <c r="O72">
        <v>4385.9899999999661</v>
      </c>
      <c r="P72">
        <v>-44.97</v>
      </c>
      <c r="Q72">
        <v>-16049.699999999995</v>
      </c>
      <c r="R72">
        <v>-15899.65</v>
      </c>
      <c r="S72">
        <v>150.05000000000001</v>
      </c>
      <c r="T72">
        <v>-14.29</v>
      </c>
      <c r="U72">
        <v>-14.29</v>
      </c>
      <c r="V72">
        <v>0</v>
      </c>
      <c r="W72">
        <v>-80.5</v>
      </c>
      <c r="X72">
        <v>-80.5</v>
      </c>
      <c r="Y72">
        <v>0</v>
      </c>
      <c r="Z72">
        <v>116539.17000000073</v>
      </c>
      <c r="AA72">
        <v>116644.25000000074</v>
      </c>
      <c r="AB72">
        <v>105.07999999999998</v>
      </c>
      <c r="AC72">
        <v>20913.669999999842</v>
      </c>
      <c r="AD72">
        <v>13051.590000000002</v>
      </c>
      <c r="AE72">
        <v>-7862.0800000000208</v>
      </c>
      <c r="AF72">
        <v>95625.500000000815</v>
      </c>
      <c r="AG72">
        <v>103592.66000000077</v>
      </c>
      <c r="AH72">
        <v>7967.1600000000226</v>
      </c>
      <c r="AI72">
        <v>-6060.6000000000085</v>
      </c>
      <c r="AJ72">
        <v>0</v>
      </c>
      <c r="AK72">
        <v>6060.6000000000085</v>
      </c>
      <c r="AL72">
        <v>101686.10000000046</v>
      </c>
      <c r="AM72">
        <v>103592.66000000077</v>
      </c>
      <c r="AN72">
        <v>1906.5599999999972</v>
      </c>
      <c r="AO72">
        <v>1829</v>
      </c>
    </row>
    <row r="73" spans="1:41" x14ac:dyDescent="0.35">
      <c r="A73">
        <v>2024</v>
      </c>
      <c r="B73">
        <v>1</v>
      </c>
      <c r="C73">
        <v>2</v>
      </c>
      <c r="D73" s="14">
        <v>45302</v>
      </c>
      <c r="E73" t="s">
        <v>44</v>
      </c>
      <c r="F73" t="s">
        <v>42</v>
      </c>
      <c r="G73" t="s">
        <v>46</v>
      </c>
      <c r="H73">
        <v>66469.23000000004</v>
      </c>
      <c r="I73">
        <v>66469.23000000004</v>
      </c>
      <c r="J73">
        <v>0</v>
      </c>
      <c r="K73">
        <v>523.39999999999804</v>
      </c>
      <c r="L73">
        <v>523.39999999999804</v>
      </c>
      <c r="M73">
        <v>0</v>
      </c>
      <c r="N73">
        <v>1180.2400000000005</v>
      </c>
      <c r="O73">
        <v>1180.2400000000005</v>
      </c>
      <c r="P73">
        <v>0</v>
      </c>
      <c r="Q73">
        <v>-20933.960000000061</v>
      </c>
      <c r="R73">
        <v>-20673.590000000066</v>
      </c>
      <c r="S73">
        <v>260.37000000000012</v>
      </c>
      <c r="T73">
        <v>-0.95</v>
      </c>
      <c r="U73">
        <v>-0.95</v>
      </c>
      <c r="V73">
        <v>0</v>
      </c>
      <c r="W73">
        <v>-30.990000000000002</v>
      </c>
      <c r="X73">
        <v>-30.990000000000002</v>
      </c>
      <c r="Y73">
        <v>0</v>
      </c>
      <c r="Z73">
        <v>47206.969999999899</v>
      </c>
      <c r="AA73">
        <v>47467.339999999895</v>
      </c>
      <c r="AB73">
        <v>260.37</v>
      </c>
      <c r="AC73">
        <v>10294.810000000023</v>
      </c>
      <c r="AD73">
        <v>5349.5800000000072</v>
      </c>
      <c r="AE73">
        <v>-4945.2300000000123</v>
      </c>
      <c r="AF73">
        <v>36912.160000000134</v>
      </c>
      <c r="AG73">
        <v>42117.760000000017</v>
      </c>
      <c r="AH73">
        <v>5205.6000000000131</v>
      </c>
      <c r="AI73">
        <v>-1950.1499999999974</v>
      </c>
      <c r="AJ73">
        <v>0</v>
      </c>
      <c r="AK73">
        <v>1950.1499999999974</v>
      </c>
      <c r="AL73">
        <v>38862.310000000114</v>
      </c>
      <c r="AM73">
        <v>42117.760000000017</v>
      </c>
      <c r="AN73">
        <v>3255.4500000000089</v>
      </c>
      <c r="AO73">
        <v>856</v>
      </c>
    </row>
    <row r="74" spans="1:41" x14ac:dyDescent="0.35">
      <c r="A74">
        <v>2024</v>
      </c>
      <c r="B74">
        <v>1</v>
      </c>
      <c r="C74">
        <v>2</v>
      </c>
      <c r="D74" s="14">
        <v>45302</v>
      </c>
      <c r="E74" t="s">
        <v>44</v>
      </c>
      <c r="F74" t="s">
        <v>47</v>
      </c>
      <c r="G74" t="s">
        <v>48</v>
      </c>
      <c r="H74">
        <v>13119.179999999964</v>
      </c>
      <c r="I74">
        <v>13119.179999999964</v>
      </c>
      <c r="J74">
        <v>0</v>
      </c>
      <c r="K74">
        <v>563.79999999999995</v>
      </c>
      <c r="L74">
        <v>563.79999999999995</v>
      </c>
      <c r="M74">
        <v>0</v>
      </c>
      <c r="N74">
        <v>0</v>
      </c>
      <c r="O74">
        <v>0</v>
      </c>
      <c r="P74">
        <v>0</v>
      </c>
      <c r="Q74">
        <v>-3906.6799999999989</v>
      </c>
      <c r="R74">
        <v>-3906.6799999999989</v>
      </c>
      <c r="S74">
        <v>0</v>
      </c>
      <c r="T74">
        <v>-66</v>
      </c>
      <c r="U74">
        <v>-66</v>
      </c>
      <c r="V74">
        <v>0</v>
      </c>
      <c r="W74">
        <v>0</v>
      </c>
      <c r="X74">
        <v>0</v>
      </c>
      <c r="Y74">
        <v>0</v>
      </c>
      <c r="Z74">
        <v>9710.2999999999774</v>
      </c>
      <c r="AA74">
        <v>9710.2999999999774</v>
      </c>
      <c r="AB74">
        <v>0</v>
      </c>
      <c r="AC74">
        <v>37.92</v>
      </c>
      <c r="AD74">
        <v>31.42</v>
      </c>
      <c r="AE74">
        <v>-6.5</v>
      </c>
      <c r="AF74">
        <v>9672.3799999999774</v>
      </c>
      <c r="AG74">
        <v>9678.8799999999774</v>
      </c>
      <c r="AH74">
        <v>6.5</v>
      </c>
      <c r="AI74">
        <v>2096.6299999999992</v>
      </c>
      <c r="AJ74">
        <v>0</v>
      </c>
      <c r="AK74">
        <v>-2096.6299999999992</v>
      </c>
      <c r="AL74">
        <v>7575.7500000000109</v>
      </c>
      <c r="AM74">
        <v>9678.8799999999774</v>
      </c>
      <c r="AN74">
        <v>2103.1299999999992</v>
      </c>
      <c r="AO74">
        <v>323</v>
      </c>
    </row>
    <row r="75" spans="1:41" x14ac:dyDescent="0.35">
      <c r="A75">
        <v>2024</v>
      </c>
      <c r="B75">
        <v>1</v>
      </c>
      <c r="C75">
        <v>2</v>
      </c>
      <c r="D75" s="14">
        <v>45302</v>
      </c>
      <c r="E75" t="s">
        <v>44</v>
      </c>
      <c r="F75" t="s">
        <v>47</v>
      </c>
      <c r="G75" t="s">
        <v>49</v>
      </c>
      <c r="H75">
        <v>13832.349999999999</v>
      </c>
      <c r="I75">
        <v>13832.349999999999</v>
      </c>
      <c r="J75">
        <v>0</v>
      </c>
      <c r="K75">
        <v>251.57999999999998</v>
      </c>
      <c r="L75">
        <v>251.57999999999998</v>
      </c>
      <c r="M75">
        <v>0</v>
      </c>
      <c r="N75">
        <v>257.84000000000003</v>
      </c>
      <c r="O75">
        <v>257.84000000000003</v>
      </c>
      <c r="P75">
        <v>0</v>
      </c>
      <c r="Q75">
        <v>-4356.4000000000015</v>
      </c>
      <c r="R75">
        <v>-4356.4000000000015</v>
      </c>
      <c r="S75">
        <v>0</v>
      </c>
      <c r="T75">
        <v>-56.5</v>
      </c>
      <c r="U75">
        <v>-56.5</v>
      </c>
      <c r="V75">
        <v>0</v>
      </c>
      <c r="W75">
        <v>-15</v>
      </c>
      <c r="X75">
        <v>-15</v>
      </c>
      <c r="Y75">
        <v>0</v>
      </c>
      <c r="Z75">
        <v>9913.8700000000044</v>
      </c>
      <c r="AA75">
        <v>9913.8700000000044</v>
      </c>
      <c r="AB75">
        <v>0</v>
      </c>
      <c r="AC75">
        <v>242.64999999999998</v>
      </c>
      <c r="AD75">
        <v>106.85000000000001</v>
      </c>
      <c r="AE75">
        <v>-135.80000000000001</v>
      </c>
      <c r="AF75">
        <v>9671.2200000000048</v>
      </c>
      <c r="AG75">
        <v>9807.0200000000059</v>
      </c>
      <c r="AH75">
        <v>135.80000000000001</v>
      </c>
      <c r="AI75">
        <v>2094.1700000000005</v>
      </c>
      <c r="AJ75">
        <v>22.22</v>
      </c>
      <c r="AK75">
        <v>-2071.9500000000003</v>
      </c>
      <c r="AL75">
        <v>7577.0500000000038</v>
      </c>
      <c r="AM75">
        <v>9784.8000000000065</v>
      </c>
      <c r="AN75">
        <v>2207.7499999999991</v>
      </c>
      <c r="AO75">
        <v>188</v>
      </c>
    </row>
    <row r="76" spans="1:41" x14ac:dyDescent="0.35">
      <c r="A76">
        <v>2024</v>
      </c>
      <c r="B76">
        <v>1</v>
      </c>
      <c r="C76">
        <v>2</v>
      </c>
      <c r="D76" s="14">
        <v>45302</v>
      </c>
      <c r="E76" t="s">
        <v>44</v>
      </c>
      <c r="F76" t="s">
        <v>47</v>
      </c>
      <c r="G76" t="s">
        <v>50</v>
      </c>
      <c r="H76">
        <v>22095.05</v>
      </c>
      <c r="I76">
        <v>22095.05</v>
      </c>
      <c r="J76">
        <v>0</v>
      </c>
      <c r="K76">
        <v>563.05999999999995</v>
      </c>
      <c r="L76">
        <v>563.05999999999995</v>
      </c>
      <c r="M76">
        <v>0</v>
      </c>
      <c r="N76">
        <v>945.42000000000041</v>
      </c>
      <c r="O76">
        <v>945.42000000000041</v>
      </c>
      <c r="P76">
        <v>0</v>
      </c>
      <c r="Q76">
        <v>-5810.27</v>
      </c>
      <c r="R76">
        <v>-5768.35</v>
      </c>
      <c r="S76">
        <v>41.92</v>
      </c>
      <c r="T76">
        <v>-30</v>
      </c>
      <c r="U76">
        <v>-30</v>
      </c>
      <c r="V76">
        <v>0</v>
      </c>
      <c r="W76">
        <v>-35.99</v>
      </c>
      <c r="X76">
        <v>-35.99</v>
      </c>
      <c r="Y76">
        <v>0</v>
      </c>
      <c r="Z76">
        <v>17727.269999999982</v>
      </c>
      <c r="AA76">
        <v>17769.189999999984</v>
      </c>
      <c r="AB76">
        <v>41.92</v>
      </c>
      <c r="AC76">
        <v>1989.1000000000006</v>
      </c>
      <c r="AD76">
        <v>1146.1900000000005</v>
      </c>
      <c r="AE76">
        <v>-842.9100000000002</v>
      </c>
      <c r="AF76">
        <v>15738.169999999996</v>
      </c>
      <c r="AG76">
        <v>16622.999999999985</v>
      </c>
      <c r="AH76">
        <v>884.83000000000015</v>
      </c>
      <c r="AI76">
        <v>-713.75000000000045</v>
      </c>
      <c r="AJ76">
        <v>0</v>
      </c>
      <c r="AK76">
        <v>713.75000000000045</v>
      </c>
      <c r="AL76">
        <v>16451.920000000016</v>
      </c>
      <c r="AM76">
        <v>16622.999999999985</v>
      </c>
      <c r="AN76">
        <v>171.07999999999979</v>
      </c>
      <c r="AO76">
        <v>276</v>
      </c>
    </row>
    <row r="77" spans="1:41" x14ac:dyDescent="0.35">
      <c r="A77">
        <v>2024</v>
      </c>
      <c r="B77">
        <v>1</v>
      </c>
      <c r="C77">
        <v>2</v>
      </c>
      <c r="D77" s="14">
        <v>45302</v>
      </c>
      <c r="E77" t="s">
        <v>44</v>
      </c>
      <c r="F77" t="s">
        <v>47</v>
      </c>
      <c r="G77" t="s">
        <v>51</v>
      </c>
      <c r="H77">
        <v>5445.6500000000005</v>
      </c>
      <c r="I77">
        <v>5445.6500000000005</v>
      </c>
      <c r="J77">
        <v>0</v>
      </c>
      <c r="K77">
        <v>20</v>
      </c>
      <c r="L77">
        <v>20</v>
      </c>
      <c r="M77">
        <v>0</v>
      </c>
      <c r="N77">
        <v>0</v>
      </c>
      <c r="O77">
        <v>0</v>
      </c>
      <c r="P77">
        <v>0</v>
      </c>
      <c r="Q77">
        <v>-671.99999999999989</v>
      </c>
      <c r="R77">
        <v>-671.99999999999989</v>
      </c>
      <c r="S77">
        <v>0</v>
      </c>
      <c r="T77">
        <v>-8</v>
      </c>
      <c r="U77">
        <v>-8</v>
      </c>
      <c r="V77">
        <v>0</v>
      </c>
      <c r="W77">
        <v>0</v>
      </c>
      <c r="X77">
        <v>0</v>
      </c>
      <c r="Y77">
        <v>0</v>
      </c>
      <c r="Z77">
        <v>4785.6499999999996</v>
      </c>
      <c r="AA77">
        <v>4785.6499999999996</v>
      </c>
      <c r="AB77">
        <v>0</v>
      </c>
      <c r="AC77">
        <v>14.5</v>
      </c>
      <c r="AD77">
        <v>14.5</v>
      </c>
      <c r="AE77">
        <v>0</v>
      </c>
      <c r="AF77">
        <v>4771.1499999999996</v>
      </c>
      <c r="AG77">
        <v>4771.1499999999996</v>
      </c>
      <c r="AH77">
        <v>0</v>
      </c>
      <c r="AI77">
        <v>1233.7099999999998</v>
      </c>
      <c r="AJ77">
        <v>0</v>
      </c>
      <c r="AK77">
        <v>-1233.7099999999998</v>
      </c>
      <c r="AL77">
        <v>3537.439999999996</v>
      </c>
      <c r="AM77">
        <v>4771.1499999999996</v>
      </c>
      <c r="AN77">
        <v>1233.7099999999996</v>
      </c>
      <c r="AO77">
        <v>101</v>
      </c>
    </row>
    <row r="78" spans="1:41" x14ac:dyDescent="0.35">
      <c r="A78">
        <v>2024</v>
      </c>
      <c r="B78">
        <v>1</v>
      </c>
      <c r="C78">
        <v>2</v>
      </c>
      <c r="D78" s="14">
        <v>45303</v>
      </c>
      <c r="E78" t="s">
        <v>41</v>
      </c>
      <c r="F78" t="s">
        <v>42</v>
      </c>
      <c r="G78" t="s">
        <v>43</v>
      </c>
      <c r="H78">
        <v>118197.75</v>
      </c>
      <c r="I78">
        <v>118197.75</v>
      </c>
      <c r="J78">
        <v>0</v>
      </c>
      <c r="K78">
        <v>1755.610000000017</v>
      </c>
      <c r="L78">
        <v>1748.6100000000163</v>
      </c>
      <c r="M78">
        <v>-7</v>
      </c>
      <c r="N78">
        <v>1762.620000000001</v>
      </c>
      <c r="O78">
        <v>1753.630000000001</v>
      </c>
      <c r="P78">
        <v>-8.99</v>
      </c>
      <c r="Q78">
        <v>-6407.75</v>
      </c>
      <c r="R78">
        <v>-6070.75</v>
      </c>
      <c r="S78">
        <v>337</v>
      </c>
      <c r="T78">
        <v>-14.97</v>
      </c>
      <c r="U78">
        <v>-14.97</v>
      </c>
      <c r="V78">
        <v>0</v>
      </c>
      <c r="W78">
        <v>-123</v>
      </c>
      <c r="X78">
        <v>-118</v>
      </c>
      <c r="Y78">
        <v>5</v>
      </c>
      <c r="Z78">
        <v>115170.26000000139</v>
      </c>
      <c r="AA78">
        <v>115496.27000000139</v>
      </c>
      <c r="AB78">
        <v>326.01</v>
      </c>
      <c r="AC78">
        <v>37763.61999999918</v>
      </c>
      <c r="AD78">
        <v>22166.999999999854</v>
      </c>
      <c r="AE78">
        <v>-15596.619999999968</v>
      </c>
      <c r="AF78">
        <v>77406.640000000538</v>
      </c>
      <c r="AG78">
        <v>93329.270000000557</v>
      </c>
      <c r="AH78">
        <v>15922.629999999966</v>
      </c>
      <c r="AI78">
        <v>-9814.379999999981</v>
      </c>
      <c r="AJ78">
        <v>0</v>
      </c>
      <c r="AK78">
        <v>9814.379999999981</v>
      </c>
      <c r="AL78">
        <v>87221.02000000015</v>
      </c>
      <c r="AM78">
        <v>93329.270000000557</v>
      </c>
      <c r="AN78">
        <v>6108.2500000000309</v>
      </c>
      <c r="AO78">
        <v>2252</v>
      </c>
    </row>
    <row r="79" spans="1:41" x14ac:dyDescent="0.35">
      <c r="A79">
        <v>2024</v>
      </c>
      <c r="B79">
        <v>1</v>
      </c>
      <c r="C79">
        <v>2</v>
      </c>
      <c r="D79" s="14">
        <v>45303</v>
      </c>
      <c r="E79" t="s">
        <v>44</v>
      </c>
      <c r="F79" t="s">
        <v>42</v>
      </c>
      <c r="G79" t="s">
        <v>45</v>
      </c>
      <c r="H79">
        <v>135779.35999999999</v>
      </c>
      <c r="I79">
        <v>135779.35999999999</v>
      </c>
      <c r="J79">
        <v>0</v>
      </c>
      <c r="K79">
        <v>1162.8600000000079</v>
      </c>
      <c r="L79">
        <v>1162.8600000000079</v>
      </c>
      <c r="M79">
        <v>0</v>
      </c>
      <c r="N79">
        <v>4956.6199999999581</v>
      </c>
      <c r="O79">
        <v>4956.6199999999581</v>
      </c>
      <c r="P79">
        <v>0</v>
      </c>
      <c r="Q79">
        <v>-17066.629999999994</v>
      </c>
      <c r="R79">
        <v>-16907.949999999997</v>
      </c>
      <c r="S79">
        <v>158.68</v>
      </c>
      <c r="T79">
        <v>-11.76</v>
      </c>
      <c r="U79">
        <v>-11.76</v>
      </c>
      <c r="V79">
        <v>0</v>
      </c>
      <c r="W79">
        <v>-112.88</v>
      </c>
      <c r="X79">
        <v>-112.88</v>
      </c>
      <c r="Y79">
        <v>0</v>
      </c>
      <c r="Z79">
        <v>124707.57000000088</v>
      </c>
      <c r="AA79">
        <v>124866.25000000089</v>
      </c>
      <c r="AB79">
        <v>158.68</v>
      </c>
      <c r="AC79">
        <v>22692.929999999818</v>
      </c>
      <c r="AD79">
        <v>9892.65</v>
      </c>
      <c r="AE79">
        <v>-12800.28</v>
      </c>
      <c r="AF79">
        <v>102014.64000000071</v>
      </c>
      <c r="AG79">
        <v>114973.60000000065</v>
      </c>
      <c r="AH79">
        <v>12958.96</v>
      </c>
      <c r="AI79">
        <v>-4838.950000000008</v>
      </c>
      <c r="AJ79">
        <v>0</v>
      </c>
      <c r="AK79">
        <v>4838.950000000008</v>
      </c>
      <c r="AL79">
        <v>106853.59000000036</v>
      </c>
      <c r="AM79">
        <v>114973.60000000065</v>
      </c>
      <c r="AN79">
        <v>8120.0100000000157</v>
      </c>
      <c r="AO79">
        <v>1955</v>
      </c>
    </row>
    <row r="80" spans="1:41" x14ac:dyDescent="0.35">
      <c r="A80">
        <v>2024</v>
      </c>
      <c r="B80">
        <v>1</v>
      </c>
      <c r="C80">
        <v>2</v>
      </c>
      <c r="D80" s="14">
        <v>45303</v>
      </c>
      <c r="E80" t="s">
        <v>44</v>
      </c>
      <c r="F80" t="s">
        <v>42</v>
      </c>
      <c r="G80" t="s">
        <v>46</v>
      </c>
      <c r="H80">
        <v>59831.720000000059</v>
      </c>
      <c r="I80">
        <v>59831.720000000059</v>
      </c>
      <c r="J80">
        <v>0</v>
      </c>
      <c r="K80">
        <v>511.58999999999901</v>
      </c>
      <c r="L80">
        <v>511.58999999999901</v>
      </c>
      <c r="M80">
        <v>0</v>
      </c>
      <c r="N80">
        <v>1216.2200000000005</v>
      </c>
      <c r="O80">
        <v>1216.2200000000005</v>
      </c>
      <c r="P80">
        <v>0</v>
      </c>
      <c r="Q80">
        <v>-18534.880000000041</v>
      </c>
      <c r="R80">
        <v>-18487.740000000042</v>
      </c>
      <c r="S80">
        <v>47.14</v>
      </c>
      <c r="T80">
        <v>0</v>
      </c>
      <c r="U80">
        <v>0</v>
      </c>
      <c r="V80">
        <v>0</v>
      </c>
      <c r="W80">
        <v>-35.99</v>
      </c>
      <c r="X80">
        <v>-35.99</v>
      </c>
      <c r="Y80">
        <v>0</v>
      </c>
      <c r="Z80">
        <v>42988.659999999953</v>
      </c>
      <c r="AA80">
        <v>43035.799999999959</v>
      </c>
      <c r="AB80">
        <v>47.140000000000008</v>
      </c>
      <c r="AC80">
        <v>9048.2900000000172</v>
      </c>
      <c r="AD80">
        <v>3849.9000000000033</v>
      </c>
      <c r="AE80">
        <v>-5198.3900000000058</v>
      </c>
      <c r="AF80">
        <v>33940.370000000104</v>
      </c>
      <c r="AG80">
        <v>39185.900000000031</v>
      </c>
      <c r="AH80">
        <v>5245.5300000000061</v>
      </c>
      <c r="AI80">
        <v>-980.23999999999978</v>
      </c>
      <c r="AJ80">
        <v>0</v>
      </c>
      <c r="AK80">
        <v>980.23999999999978</v>
      </c>
      <c r="AL80">
        <v>34920.610000000037</v>
      </c>
      <c r="AM80">
        <v>39185.900000000031</v>
      </c>
      <c r="AN80">
        <v>4265.2900000000018</v>
      </c>
      <c r="AO80">
        <v>776</v>
      </c>
    </row>
    <row r="81" spans="1:41" x14ac:dyDescent="0.35">
      <c r="A81">
        <v>2024</v>
      </c>
      <c r="B81">
        <v>1</v>
      </c>
      <c r="C81">
        <v>2</v>
      </c>
      <c r="D81" s="14">
        <v>45303</v>
      </c>
      <c r="E81" t="s">
        <v>44</v>
      </c>
      <c r="F81" t="s">
        <v>47</v>
      </c>
      <c r="G81" t="s">
        <v>48</v>
      </c>
      <c r="H81">
        <v>21415.439999999966</v>
      </c>
      <c r="I81">
        <v>21415.439999999966</v>
      </c>
      <c r="J81">
        <v>0</v>
      </c>
      <c r="K81">
        <v>487.86999999999989</v>
      </c>
      <c r="L81">
        <v>487.86999999999989</v>
      </c>
      <c r="M81">
        <v>0</v>
      </c>
      <c r="N81">
        <v>15.99</v>
      </c>
      <c r="O81">
        <v>15.99</v>
      </c>
      <c r="P81">
        <v>0</v>
      </c>
      <c r="Q81">
        <v>-5342.4800000000059</v>
      </c>
      <c r="R81">
        <v>-5342.4800000000059</v>
      </c>
      <c r="S81">
        <v>0</v>
      </c>
      <c r="T81">
        <v>-5.5</v>
      </c>
      <c r="U81">
        <v>-5.5</v>
      </c>
      <c r="V81">
        <v>0</v>
      </c>
      <c r="W81">
        <v>0</v>
      </c>
      <c r="X81">
        <v>0</v>
      </c>
      <c r="Y81">
        <v>0</v>
      </c>
      <c r="Z81">
        <v>16571.319999999949</v>
      </c>
      <c r="AA81">
        <v>16571.319999999949</v>
      </c>
      <c r="AB81">
        <v>0</v>
      </c>
      <c r="AC81">
        <v>42.67</v>
      </c>
      <c r="AD81">
        <v>11.25</v>
      </c>
      <c r="AE81">
        <v>-31.42</v>
      </c>
      <c r="AF81">
        <v>16528.649999999951</v>
      </c>
      <c r="AG81">
        <v>16560.069999999949</v>
      </c>
      <c r="AH81">
        <v>31.42</v>
      </c>
      <c r="AI81">
        <v>4454.7000000000044</v>
      </c>
      <c r="AJ81">
        <v>0</v>
      </c>
      <c r="AK81">
        <v>-4454.7000000000044</v>
      </c>
      <c r="AL81">
        <v>12073.949999999966</v>
      </c>
      <c r="AM81">
        <v>16560.069999999949</v>
      </c>
      <c r="AN81">
        <v>4486.1200000000053</v>
      </c>
      <c r="AO81">
        <v>463</v>
      </c>
    </row>
    <row r="82" spans="1:41" x14ac:dyDescent="0.35">
      <c r="A82">
        <v>2024</v>
      </c>
      <c r="B82">
        <v>1</v>
      </c>
      <c r="C82">
        <v>2</v>
      </c>
      <c r="D82" s="14">
        <v>45303</v>
      </c>
      <c r="E82" t="s">
        <v>44</v>
      </c>
      <c r="F82" t="s">
        <v>47</v>
      </c>
      <c r="G82" t="s">
        <v>49</v>
      </c>
      <c r="H82">
        <v>10182.099999999999</v>
      </c>
      <c r="I82">
        <v>10182.099999999999</v>
      </c>
      <c r="J82">
        <v>0</v>
      </c>
      <c r="K82">
        <v>201.3</v>
      </c>
      <c r="L82">
        <v>201.3</v>
      </c>
      <c r="M82">
        <v>0</v>
      </c>
      <c r="N82">
        <v>50.97</v>
      </c>
      <c r="O82">
        <v>50.97</v>
      </c>
      <c r="P82">
        <v>0</v>
      </c>
      <c r="Q82">
        <v>-3625.8399999999983</v>
      </c>
      <c r="R82">
        <v>-3625.8399999999983</v>
      </c>
      <c r="S82">
        <v>0</v>
      </c>
      <c r="T82">
        <v>-40</v>
      </c>
      <c r="U82">
        <v>-40</v>
      </c>
      <c r="V82">
        <v>0</v>
      </c>
      <c r="W82">
        <v>-5</v>
      </c>
      <c r="X82">
        <v>-5</v>
      </c>
      <c r="Y82">
        <v>0</v>
      </c>
      <c r="Z82">
        <v>6763.5300000000034</v>
      </c>
      <c r="AA82">
        <v>6763.5300000000034</v>
      </c>
      <c r="AB82">
        <v>0</v>
      </c>
      <c r="AC82">
        <v>248.24</v>
      </c>
      <c r="AD82">
        <v>119.92999999999999</v>
      </c>
      <c r="AE82">
        <v>-128.31000000000003</v>
      </c>
      <c r="AF82">
        <v>6515.2900000000045</v>
      </c>
      <c r="AG82">
        <v>6643.6000000000031</v>
      </c>
      <c r="AH82">
        <v>128.31000000000003</v>
      </c>
      <c r="AI82">
        <v>1463.3799999999994</v>
      </c>
      <c r="AJ82">
        <v>22.11</v>
      </c>
      <c r="AK82">
        <v>-1441.2699999999995</v>
      </c>
      <c r="AL82">
        <v>5051.9099999999989</v>
      </c>
      <c r="AM82">
        <v>6621.4900000000025</v>
      </c>
      <c r="AN82">
        <v>1569.579999999999</v>
      </c>
      <c r="AO82">
        <v>128</v>
      </c>
    </row>
    <row r="83" spans="1:41" x14ac:dyDescent="0.35">
      <c r="A83">
        <v>2024</v>
      </c>
      <c r="B83">
        <v>1</v>
      </c>
      <c r="C83">
        <v>2</v>
      </c>
      <c r="D83" s="14">
        <v>45303</v>
      </c>
      <c r="E83" t="s">
        <v>44</v>
      </c>
      <c r="F83" t="s">
        <v>47</v>
      </c>
      <c r="G83" t="s">
        <v>50</v>
      </c>
      <c r="H83">
        <v>26678.05</v>
      </c>
      <c r="I83">
        <v>26678.05</v>
      </c>
      <c r="J83">
        <v>0</v>
      </c>
      <c r="K83">
        <v>458.79999999999922</v>
      </c>
      <c r="L83">
        <v>458.79999999999922</v>
      </c>
      <c r="M83">
        <v>0</v>
      </c>
      <c r="N83">
        <v>1226.2600000000004</v>
      </c>
      <c r="O83">
        <v>1226.2600000000004</v>
      </c>
      <c r="P83">
        <v>0</v>
      </c>
      <c r="Q83">
        <v>-6540.9800000000005</v>
      </c>
      <c r="R83">
        <v>-6482.1399999999994</v>
      </c>
      <c r="S83">
        <v>58.84</v>
      </c>
      <c r="T83">
        <v>-15</v>
      </c>
      <c r="U83">
        <v>-15</v>
      </c>
      <c r="V83">
        <v>0</v>
      </c>
      <c r="W83">
        <v>-30</v>
      </c>
      <c r="X83">
        <v>-30</v>
      </c>
      <c r="Y83">
        <v>0</v>
      </c>
      <c r="Z83">
        <v>21777.130000000026</v>
      </c>
      <c r="AA83">
        <v>21835.970000000027</v>
      </c>
      <c r="AB83">
        <v>58.839999999999982</v>
      </c>
      <c r="AC83">
        <v>2494.1400000000008</v>
      </c>
      <c r="AD83">
        <v>1334.1999999999996</v>
      </c>
      <c r="AE83">
        <v>-1159.94</v>
      </c>
      <c r="AF83">
        <v>19282.990000000016</v>
      </c>
      <c r="AG83">
        <v>20501.770000000022</v>
      </c>
      <c r="AH83">
        <v>1218.78</v>
      </c>
      <c r="AI83">
        <v>-830.7100000000006</v>
      </c>
      <c r="AJ83">
        <v>0</v>
      </c>
      <c r="AK83">
        <v>830.7100000000006</v>
      </c>
      <c r="AL83">
        <v>20113.700000000012</v>
      </c>
      <c r="AM83">
        <v>20501.770000000022</v>
      </c>
      <c r="AN83">
        <v>388.07000000000039</v>
      </c>
      <c r="AO83">
        <v>338</v>
      </c>
    </row>
    <row r="84" spans="1:41" x14ac:dyDescent="0.35">
      <c r="A84">
        <v>2024</v>
      </c>
      <c r="B84">
        <v>1</v>
      </c>
      <c r="C84">
        <v>2</v>
      </c>
      <c r="D84" s="14">
        <v>45303</v>
      </c>
      <c r="E84" t="s">
        <v>44</v>
      </c>
      <c r="F84" t="s">
        <v>47</v>
      </c>
      <c r="G84" t="s">
        <v>51</v>
      </c>
      <c r="H84">
        <v>3503.8500000000008</v>
      </c>
      <c r="I84">
        <v>3503.8500000000008</v>
      </c>
      <c r="J84">
        <v>0</v>
      </c>
      <c r="K84">
        <v>29.75</v>
      </c>
      <c r="L84">
        <v>29.75</v>
      </c>
      <c r="M84">
        <v>0</v>
      </c>
      <c r="N84">
        <v>0</v>
      </c>
      <c r="O84">
        <v>0</v>
      </c>
      <c r="P84">
        <v>0</v>
      </c>
      <c r="Q84">
        <v>-533.44999999999993</v>
      </c>
      <c r="R84">
        <v>-533.44999999999993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3000.15</v>
      </c>
      <c r="AA84">
        <v>3000.15</v>
      </c>
      <c r="AB84">
        <v>0</v>
      </c>
      <c r="AC84">
        <v>14.5</v>
      </c>
      <c r="AE84">
        <v>-14.5</v>
      </c>
      <c r="AF84">
        <v>2985.65</v>
      </c>
      <c r="AG84">
        <v>3000.15</v>
      </c>
      <c r="AH84">
        <v>14.5</v>
      </c>
      <c r="AI84">
        <v>694.06000000000029</v>
      </c>
      <c r="AJ84">
        <v>0</v>
      </c>
      <c r="AK84">
        <v>-694.06000000000029</v>
      </c>
      <c r="AL84">
        <v>2291.5900000000006</v>
      </c>
      <c r="AM84">
        <v>3000.15</v>
      </c>
      <c r="AN84">
        <v>708.5600000000004</v>
      </c>
      <c r="AO84">
        <v>65</v>
      </c>
    </row>
    <row r="85" spans="1:41" x14ac:dyDescent="0.35">
      <c r="A85">
        <v>2024</v>
      </c>
      <c r="B85">
        <v>1</v>
      </c>
      <c r="C85">
        <v>2</v>
      </c>
      <c r="D85" s="14">
        <v>45304</v>
      </c>
      <c r="E85" t="s">
        <v>41</v>
      </c>
      <c r="F85" t="s">
        <v>42</v>
      </c>
      <c r="G85" t="s">
        <v>43</v>
      </c>
      <c r="H85">
        <v>97467</v>
      </c>
      <c r="I85">
        <v>97467</v>
      </c>
      <c r="J85">
        <v>0</v>
      </c>
      <c r="K85">
        <v>1350.250000000015</v>
      </c>
      <c r="L85">
        <v>1350.250000000015</v>
      </c>
      <c r="M85">
        <v>0</v>
      </c>
      <c r="N85">
        <v>1743.7300000000009</v>
      </c>
      <c r="O85">
        <v>1743.7300000000009</v>
      </c>
      <c r="P85">
        <v>0</v>
      </c>
      <c r="Q85">
        <v>-5057.25</v>
      </c>
      <c r="R85">
        <v>-4767.25</v>
      </c>
      <c r="S85">
        <v>290</v>
      </c>
      <c r="T85">
        <v>-6.7700000000000005</v>
      </c>
      <c r="U85">
        <v>-6.7700000000000005</v>
      </c>
      <c r="V85">
        <v>0</v>
      </c>
      <c r="W85">
        <v>-88.99</v>
      </c>
      <c r="X85">
        <v>-88.99</v>
      </c>
      <c r="Y85">
        <v>0</v>
      </c>
      <c r="Z85">
        <v>95407.97000000054</v>
      </c>
      <c r="AA85">
        <v>95697.970000000525</v>
      </c>
      <c r="AB85">
        <v>290</v>
      </c>
      <c r="AC85">
        <v>31551.529999999595</v>
      </c>
      <c r="AD85">
        <v>9372.8900000000176</v>
      </c>
      <c r="AE85">
        <v>-22178.639999999836</v>
      </c>
      <c r="AF85">
        <v>63856.440000000308</v>
      </c>
      <c r="AG85">
        <v>86325.080000000249</v>
      </c>
      <c r="AH85">
        <v>22468.639999999825</v>
      </c>
      <c r="AI85">
        <v>-4679.1299999999983</v>
      </c>
      <c r="AJ85">
        <v>0</v>
      </c>
      <c r="AK85">
        <v>4679.1299999999983</v>
      </c>
      <c r="AL85">
        <v>68535.570000000123</v>
      </c>
      <c r="AM85">
        <v>86325.080000000249</v>
      </c>
      <c r="AN85">
        <v>17789.509999999944</v>
      </c>
      <c r="AO85">
        <v>1857</v>
      </c>
    </row>
    <row r="86" spans="1:41" x14ac:dyDescent="0.35">
      <c r="A86">
        <v>2024</v>
      </c>
      <c r="B86">
        <v>1</v>
      </c>
      <c r="C86">
        <v>2</v>
      </c>
      <c r="D86" s="14">
        <v>45304</v>
      </c>
      <c r="E86" t="s">
        <v>44</v>
      </c>
      <c r="F86" t="s">
        <v>42</v>
      </c>
      <c r="G86" t="s">
        <v>45</v>
      </c>
      <c r="H86">
        <v>109644.35999999999</v>
      </c>
      <c r="I86">
        <v>109644.35999999999</v>
      </c>
      <c r="J86">
        <v>0</v>
      </c>
      <c r="K86">
        <v>994.40000000000612</v>
      </c>
      <c r="L86">
        <v>994.40000000000612</v>
      </c>
      <c r="M86">
        <v>0</v>
      </c>
      <c r="N86">
        <v>4865.7999999999602</v>
      </c>
      <c r="O86">
        <v>4865.7999999999602</v>
      </c>
      <c r="P86">
        <v>0</v>
      </c>
      <c r="Q86">
        <v>-13317.159999999994</v>
      </c>
      <c r="R86">
        <v>-13010.46</v>
      </c>
      <c r="S86">
        <v>306.70000000000005</v>
      </c>
      <c r="T86">
        <v>-2.1799999999999997</v>
      </c>
      <c r="U86">
        <v>-2.1799999999999997</v>
      </c>
      <c r="V86">
        <v>0</v>
      </c>
      <c r="W86">
        <v>-90.19</v>
      </c>
      <c r="X86">
        <v>-90.19</v>
      </c>
      <c r="Y86">
        <v>0</v>
      </c>
      <c r="Z86">
        <v>102095.03000000048</v>
      </c>
      <c r="AA86">
        <v>102401.73000000049</v>
      </c>
      <c r="AB86">
        <v>306.7</v>
      </c>
      <c r="AC86">
        <v>17843.709999999905</v>
      </c>
      <c r="AD86">
        <v>8004.1000000000222</v>
      </c>
      <c r="AE86">
        <v>-9839.6100000000042</v>
      </c>
      <c r="AF86">
        <v>84251.320000000109</v>
      </c>
      <c r="AG86">
        <v>94397.630000000223</v>
      </c>
      <c r="AH86">
        <v>10146.310000000001</v>
      </c>
      <c r="AI86">
        <v>-4149.2899999999963</v>
      </c>
      <c r="AJ86">
        <v>0</v>
      </c>
      <c r="AK86">
        <v>4149.2899999999963</v>
      </c>
      <c r="AL86">
        <v>88400.610000000175</v>
      </c>
      <c r="AM86">
        <v>94397.630000000223</v>
      </c>
      <c r="AN86">
        <v>5997.0200000000123</v>
      </c>
      <c r="AO86">
        <v>1558</v>
      </c>
    </row>
    <row r="87" spans="1:41" x14ac:dyDescent="0.35">
      <c r="A87">
        <v>2024</v>
      </c>
      <c r="B87">
        <v>1</v>
      </c>
      <c r="C87">
        <v>2</v>
      </c>
      <c r="D87" s="14">
        <v>45304</v>
      </c>
      <c r="E87" t="s">
        <v>44</v>
      </c>
      <c r="F87" t="s">
        <v>42</v>
      </c>
      <c r="G87" t="s">
        <v>46</v>
      </c>
      <c r="H87">
        <v>45603.410000000033</v>
      </c>
      <c r="I87">
        <v>45603.410000000033</v>
      </c>
      <c r="J87">
        <v>0</v>
      </c>
      <c r="K87">
        <v>334.81999999999897</v>
      </c>
      <c r="L87">
        <v>334.81999999999897</v>
      </c>
      <c r="M87">
        <v>0</v>
      </c>
      <c r="N87">
        <v>1129.3000000000004</v>
      </c>
      <c r="O87">
        <v>1116.3100000000004</v>
      </c>
      <c r="P87">
        <v>-12.99</v>
      </c>
      <c r="Q87">
        <v>-14060.470000000018</v>
      </c>
      <c r="R87">
        <v>-13919.040000000019</v>
      </c>
      <c r="S87">
        <v>141.43</v>
      </c>
      <c r="T87">
        <v>0</v>
      </c>
      <c r="U87">
        <v>0</v>
      </c>
      <c r="V87">
        <v>0</v>
      </c>
      <c r="W87">
        <v>-30.990000000000002</v>
      </c>
      <c r="X87">
        <v>-25.990000000000002</v>
      </c>
      <c r="Y87">
        <v>5</v>
      </c>
      <c r="Z87">
        <v>32976.070000000029</v>
      </c>
      <c r="AA87">
        <v>33109.510000000031</v>
      </c>
      <c r="AB87">
        <v>133.43999999999994</v>
      </c>
      <c r="AC87">
        <v>6207.9100000000117</v>
      </c>
      <c r="AD87">
        <v>2409.1099999999997</v>
      </c>
      <c r="AE87">
        <v>-3798.8000000000061</v>
      </c>
      <c r="AF87">
        <v>26768.16000000004</v>
      </c>
      <c r="AG87">
        <v>30700.400000000034</v>
      </c>
      <c r="AH87">
        <v>3932.2400000000061</v>
      </c>
      <c r="AI87">
        <v>-941.84000000000071</v>
      </c>
      <c r="AJ87">
        <v>0</v>
      </c>
      <c r="AK87">
        <v>941.84000000000071</v>
      </c>
      <c r="AL87">
        <v>27710.000000000022</v>
      </c>
      <c r="AM87">
        <v>30700.400000000034</v>
      </c>
      <c r="AN87">
        <v>2990.4000000000065</v>
      </c>
      <c r="AO87">
        <v>579</v>
      </c>
    </row>
    <row r="88" spans="1:41" x14ac:dyDescent="0.35">
      <c r="A88">
        <v>2024</v>
      </c>
      <c r="B88">
        <v>1</v>
      </c>
      <c r="C88">
        <v>2</v>
      </c>
      <c r="D88" s="14">
        <v>45304</v>
      </c>
      <c r="E88" t="s">
        <v>44</v>
      </c>
      <c r="F88" t="s">
        <v>47</v>
      </c>
      <c r="G88" t="s">
        <v>48</v>
      </c>
      <c r="H88">
        <v>31221.849999999908</v>
      </c>
      <c r="I88">
        <v>31221.849999999908</v>
      </c>
      <c r="J88">
        <v>0</v>
      </c>
      <c r="K88">
        <v>822.15000000000032</v>
      </c>
      <c r="L88">
        <v>822.15000000000032</v>
      </c>
      <c r="M88">
        <v>0</v>
      </c>
      <c r="N88">
        <v>0</v>
      </c>
      <c r="O88">
        <v>0</v>
      </c>
      <c r="P88">
        <v>0</v>
      </c>
      <c r="Q88">
        <v>-12473.179999999924</v>
      </c>
      <c r="R88">
        <v>-12473.179999999924</v>
      </c>
      <c r="S88">
        <v>0</v>
      </c>
      <c r="T88">
        <v>-8.8000000000000007</v>
      </c>
      <c r="U88">
        <v>-8.8000000000000007</v>
      </c>
      <c r="V88">
        <v>0</v>
      </c>
      <c r="W88">
        <v>0</v>
      </c>
      <c r="X88">
        <v>0</v>
      </c>
      <c r="Y88">
        <v>0</v>
      </c>
      <c r="Z88">
        <v>19562.019999999815</v>
      </c>
      <c r="AA88">
        <v>19562.019999999815</v>
      </c>
      <c r="AB88">
        <v>0</v>
      </c>
      <c r="AC88">
        <v>11.25</v>
      </c>
      <c r="AE88">
        <v>-11.25</v>
      </c>
      <c r="AF88">
        <v>19550.769999999815</v>
      </c>
      <c r="AG88">
        <v>19562.019999999815</v>
      </c>
      <c r="AH88">
        <v>11.25</v>
      </c>
      <c r="AI88">
        <v>2969.2999999999961</v>
      </c>
      <c r="AJ88">
        <v>0</v>
      </c>
      <c r="AK88">
        <v>-2969.2999999999961</v>
      </c>
      <c r="AL88">
        <v>16581.470000000103</v>
      </c>
      <c r="AM88">
        <v>19562.019999999815</v>
      </c>
      <c r="AN88">
        <v>2980.5499999999965</v>
      </c>
      <c r="AO88">
        <v>634</v>
      </c>
    </row>
    <row r="89" spans="1:41" x14ac:dyDescent="0.35">
      <c r="A89">
        <v>2024</v>
      </c>
      <c r="B89">
        <v>1</v>
      </c>
      <c r="C89">
        <v>2</v>
      </c>
      <c r="D89" s="14">
        <v>45304</v>
      </c>
      <c r="E89" t="s">
        <v>44</v>
      </c>
      <c r="F89" t="s">
        <v>47</v>
      </c>
      <c r="G89" t="s">
        <v>49</v>
      </c>
      <c r="H89">
        <v>14595.849999999999</v>
      </c>
      <c r="I89">
        <v>14595.849999999999</v>
      </c>
      <c r="J89">
        <v>0</v>
      </c>
      <c r="K89">
        <v>156.39999999999998</v>
      </c>
      <c r="L89">
        <v>156.39999999999998</v>
      </c>
      <c r="M89">
        <v>0</v>
      </c>
      <c r="N89">
        <v>266.84000000000003</v>
      </c>
      <c r="O89">
        <v>266.84000000000003</v>
      </c>
      <c r="P89">
        <v>0</v>
      </c>
      <c r="Q89">
        <v>-4898.7000000000007</v>
      </c>
      <c r="R89">
        <v>-4883.4900000000007</v>
      </c>
      <c r="S89">
        <v>15.21</v>
      </c>
      <c r="T89">
        <v>-5.46</v>
      </c>
      <c r="U89">
        <v>-5.46</v>
      </c>
      <c r="V89">
        <v>0</v>
      </c>
      <c r="W89">
        <v>-5</v>
      </c>
      <c r="X89">
        <v>-5</v>
      </c>
      <c r="Y89">
        <v>0</v>
      </c>
      <c r="Z89">
        <v>10109.929999999995</v>
      </c>
      <c r="AA89">
        <v>10125.139999999996</v>
      </c>
      <c r="AB89">
        <v>15.209999999999994</v>
      </c>
      <c r="AC89">
        <v>311.25</v>
      </c>
      <c r="AD89">
        <v>191.32</v>
      </c>
      <c r="AE89">
        <v>-119.92999999999999</v>
      </c>
      <c r="AF89">
        <v>9798.6799999999948</v>
      </c>
      <c r="AG89">
        <v>9933.8199999999943</v>
      </c>
      <c r="AH89">
        <v>135.13999999999999</v>
      </c>
      <c r="AI89">
        <v>2239.7199999999998</v>
      </c>
      <c r="AJ89">
        <v>0</v>
      </c>
      <c r="AK89">
        <v>-2239.7199999999998</v>
      </c>
      <c r="AL89">
        <v>7558.9600000000019</v>
      </c>
      <c r="AM89">
        <v>9933.8199999999943</v>
      </c>
      <c r="AN89">
        <v>2374.8600000000006</v>
      </c>
      <c r="AO89">
        <v>189</v>
      </c>
    </row>
    <row r="90" spans="1:41" x14ac:dyDescent="0.35">
      <c r="A90">
        <v>2024</v>
      </c>
      <c r="B90">
        <v>1</v>
      </c>
      <c r="C90">
        <v>2</v>
      </c>
      <c r="D90" s="14">
        <v>45304</v>
      </c>
      <c r="E90" t="s">
        <v>44</v>
      </c>
      <c r="F90" t="s">
        <v>47</v>
      </c>
      <c r="G90" t="s">
        <v>50</v>
      </c>
      <c r="H90">
        <v>23548</v>
      </c>
      <c r="I90">
        <v>23548</v>
      </c>
      <c r="J90">
        <v>0</v>
      </c>
      <c r="K90">
        <v>349.15999999999951</v>
      </c>
      <c r="L90">
        <v>349.15999999999951</v>
      </c>
      <c r="M90">
        <v>0</v>
      </c>
      <c r="N90">
        <v>1050.3700000000003</v>
      </c>
      <c r="O90">
        <v>1050.3700000000003</v>
      </c>
      <c r="P90">
        <v>0</v>
      </c>
      <c r="Q90">
        <v>-5967.7199999999993</v>
      </c>
      <c r="R90">
        <v>-5903.51</v>
      </c>
      <c r="S90">
        <v>64.210000000000008</v>
      </c>
      <c r="T90">
        <v>-25</v>
      </c>
      <c r="U90">
        <v>-25</v>
      </c>
      <c r="V90">
        <v>0</v>
      </c>
      <c r="W90">
        <v>-38.989999999999995</v>
      </c>
      <c r="X90">
        <v>-38.989999999999995</v>
      </c>
      <c r="Y90">
        <v>0</v>
      </c>
      <c r="Z90">
        <v>18915.819999999985</v>
      </c>
      <c r="AA90">
        <v>18980.029999999984</v>
      </c>
      <c r="AB90">
        <v>64.209999999999994</v>
      </c>
      <c r="AC90">
        <v>2394.2900000000009</v>
      </c>
      <c r="AD90">
        <v>1060.0899999999997</v>
      </c>
      <c r="AE90">
        <v>-1334.1999999999998</v>
      </c>
      <c r="AF90">
        <v>16521.529999999992</v>
      </c>
      <c r="AG90">
        <v>17919.939999999999</v>
      </c>
      <c r="AH90">
        <v>1398.4099999999999</v>
      </c>
      <c r="AI90">
        <v>-746.51999999999953</v>
      </c>
      <c r="AJ90">
        <v>0</v>
      </c>
      <c r="AK90">
        <v>746.51999999999953</v>
      </c>
      <c r="AL90">
        <v>17268.05</v>
      </c>
      <c r="AM90">
        <v>17919.939999999999</v>
      </c>
      <c r="AN90">
        <v>651.89000000000021</v>
      </c>
      <c r="AO90">
        <v>296</v>
      </c>
    </row>
    <row r="91" spans="1:41" x14ac:dyDescent="0.35">
      <c r="A91">
        <v>2024</v>
      </c>
      <c r="B91">
        <v>1</v>
      </c>
      <c r="C91">
        <v>2</v>
      </c>
      <c r="D91" s="14">
        <v>45304</v>
      </c>
      <c r="E91" t="s">
        <v>44</v>
      </c>
      <c r="F91" t="s">
        <v>47</v>
      </c>
      <c r="G91" t="s">
        <v>51</v>
      </c>
      <c r="H91">
        <v>3478.45</v>
      </c>
      <c r="I91">
        <v>3478.45</v>
      </c>
      <c r="J91">
        <v>0</v>
      </c>
      <c r="K91">
        <v>50.95</v>
      </c>
      <c r="L91">
        <v>50.95</v>
      </c>
      <c r="M91">
        <v>0</v>
      </c>
      <c r="N91">
        <v>0</v>
      </c>
      <c r="O91">
        <v>0</v>
      </c>
      <c r="P91">
        <v>0</v>
      </c>
      <c r="Q91">
        <v>-575.29999999999984</v>
      </c>
      <c r="R91">
        <v>-575.29999999999984</v>
      </c>
      <c r="S91">
        <v>0</v>
      </c>
      <c r="T91">
        <v>-16</v>
      </c>
      <c r="U91">
        <v>-16</v>
      </c>
      <c r="V91">
        <v>0</v>
      </c>
      <c r="W91">
        <v>0</v>
      </c>
      <c r="X91">
        <v>0</v>
      </c>
      <c r="Y91">
        <v>0</v>
      </c>
      <c r="Z91">
        <v>2938.0999999999995</v>
      </c>
      <c r="AA91">
        <v>2938.0999999999995</v>
      </c>
      <c r="AB91">
        <v>0</v>
      </c>
      <c r="AE91">
        <v>0</v>
      </c>
      <c r="AF91">
        <v>2938.0999999999995</v>
      </c>
      <c r="AG91">
        <v>2938.0999999999995</v>
      </c>
      <c r="AH91">
        <v>0</v>
      </c>
      <c r="AI91">
        <v>561.01000000000022</v>
      </c>
      <c r="AJ91">
        <v>0</v>
      </c>
      <c r="AK91">
        <v>-561.01000000000022</v>
      </c>
      <c r="AL91">
        <v>2377.0899999999997</v>
      </c>
      <c r="AM91">
        <v>2938.0999999999995</v>
      </c>
      <c r="AN91">
        <v>561.0100000000001</v>
      </c>
      <c r="AO91">
        <v>68</v>
      </c>
    </row>
    <row r="92" spans="1:41" x14ac:dyDescent="0.35">
      <c r="A92">
        <v>2024</v>
      </c>
      <c r="B92">
        <v>1</v>
      </c>
      <c r="C92">
        <v>3</v>
      </c>
      <c r="D92" s="14">
        <v>45305</v>
      </c>
      <c r="E92" t="s">
        <v>41</v>
      </c>
      <c r="F92" t="s">
        <v>42</v>
      </c>
      <c r="G92" t="s">
        <v>43</v>
      </c>
      <c r="H92">
        <v>64329.5</v>
      </c>
      <c r="I92">
        <v>64329.5</v>
      </c>
      <c r="J92">
        <v>0</v>
      </c>
      <c r="K92">
        <v>855.7100000000047</v>
      </c>
      <c r="L92">
        <v>855.7100000000047</v>
      </c>
      <c r="M92">
        <v>0</v>
      </c>
      <c r="N92">
        <v>1722.7800000000009</v>
      </c>
      <c r="O92">
        <v>1706.7900000000009</v>
      </c>
      <c r="P92">
        <v>-15.99</v>
      </c>
      <c r="Q92">
        <v>-3520.88</v>
      </c>
      <c r="R92">
        <v>-3149.88</v>
      </c>
      <c r="S92">
        <v>371</v>
      </c>
      <c r="T92">
        <v>-2.7</v>
      </c>
      <c r="U92">
        <v>-2.7</v>
      </c>
      <c r="V92">
        <v>0</v>
      </c>
      <c r="W92">
        <v>-48.989999999999995</v>
      </c>
      <c r="X92">
        <v>-48.989999999999995</v>
      </c>
      <c r="Y92">
        <v>0</v>
      </c>
      <c r="Z92">
        <v>63335.419999999605</v>
      </c>
      <c r="AA92">
        <v>63690.429999999607</v>
      </c>
      <c r="AB92">
        <v>355.01</v>
      </c>
      <c r="AC92">
        <v>16381.630000000005</v>
      </c>
      <c r="AD92">
        <v>6930.2800000000125</v>
      </c>
      <c r="AE92">
        <v>-9451.3500000000076</v>
      </c>
      <c r="AF92">
        <v>46953.790000000045</v>
      </c>
      <c r="AG92">
        <v>56760.149999999856</v>
      </c>
      <c r="AH92">
        <v>9806.360000000006</v>
      </c>
      <c r="AI92">
        <v>-3642.489999999998</v>
      </c>
      <c r="AJ92">
        <v>0</v>
      </c>
      <c r="AK92">
        <v>3642.489999999998</v>
      </c>
      <c r="AL92">
        <v>50596.279999999962</v>
      </c>
      <c r="AM92">
        <v>56760.149999999856</v>
      </c>
      <c r="AN92">
        <v>6163.87</v>
      </c>
      <c r="AO92">
        <v>1222</v>
      </c>
    </row>
    <row r="93" spans="1:41" x14ac:dyDescent="0.35">
      <c r="A93">
        <v>2024</v>
      </c>
      <c r="B93">
        <v>1</v>
      </c>
      <c r="C93">
        <v>3</v>
      </c>
      <c r="D93" s="14">
        <v>45305</v>
      </c>
      <c r="E93" t="s">
        <v>44</v>
      </c>
      <c r="F93" t="s">
        <v>42</v>
      </c>
      <c r="G93" t="s">
        <v>45</v>
      </c>
      <c r="H93">
        <v>95276.43</v>
      </c>
      <c r="I93">
        <v>95276.43</v>
      </c>
      <c r="J93">
        <v>0</v>
      </c>
      <c r="K93">
        <v>831.86000000000536</v>
      </c>
      <c r="L93">
        <v>831.86000000000536</v>
      </c>
      <c r="M93">
        <v>0</v>
      </c>
      <c r="N93">
        <v>4931.7599999999602</v>
      </c>
      <c r="O93">
        <v>4931.7599999999602</v>
      </c>
      <c r="P93">
        <v>0</v>
      </c>
      <c r="Q93">
        <v>-12475.05</v>
      </c>
      <c r="R93">
        <v>-12198.64</v>
      </c>
      <c r="S93">
        <v>276.41000000000008</v>
      </c>
      <c r="T93">
        <v>-2.3600000000000003</v>
      </c>
      <c r="U93">
        <v>-2.3600000000000003</v>
      </c>
      <c r="V93">
        <v>0</v>
      </c>
      <c r="W93">
        <v>-83.99</v>
      </c>
      <c r="X93">
        <v>-83.99</v>
      </c>
      <c r="Y93">
        <v>0</v>
      </c>
      <c r="Z93">
        <v>88478.6500000003</v>
      </c>
      <c r="AA93">
        <v>88755.060000000318</v>
      </c>
      <c r="AB93">
        <v>276.40999999999997</v>
      </c>
      <c r="AC93">
        <v>14138.729999999974</v>
      </c>
      <c r="AD93">
        <v>6168.2300000000132</v>
      </c>
      <c r="AE93">
        <v>-7970.5000000000182</v>
      </c>
      <c r="AF93">
        <v>74339.920000000129</v>
      </c>
      <c r="AG93">
        <v>82586.83000000022</v>
      </c>
      <c r="AH93">
        <v>8246.910000000018</v>
      </c>
      <c r="AI93">
        <v>-3447.1399999999967</v>
      </c>
      <c r="AJ93">
        <v>0</v>
      </c>
      <c r="AK93">
        <v>3447.1399999999967</v>
      </c>
      <c r="AL93">
        <v>77787.060000000027</v>
      </c>
      <c r="AM93">
        <v>82586.83000000022</v>
      </c>
      <c r="AN93">
        <v>4799.7700000000068</v>
      </c>
      <c r="AO93">
        <v>1326</v>
      </c>
    </row>
    <row r="94" spans="1:41" x14ac:dyDescent="0.35">
      <c r="A94">
        <v>2024</v>
      </c>
      <c r="B94">
        <v>1</v>
      </c>
      <c r="C94">
        <v>3</v>
      </c>
      <c r="D94" s="14">
        <v>45305</v>
      </c>
      <c r="E94" t="s">
        <v>44</v>
      </c>
      <c r="F94" t="s">
        <v>42</v>
      </c>
      <c r="G94" t="s">
        <v>46</v>
      </c>
      <c r="H94">
        <v>34059.320000000014</v>
      </c>
      <c r="I94">
        <v>34059.320000000014</v>
      </c>
      <c r="J94">
        <v>0</v>
      </c>
      <c r="K94">
        <v>122.70999999999991</v>
      </c>
      <c r="L94">
        <v>122.70999999999991</v>
      </c>
      <c r="M94">
        <v>0</v>
      </c>
      <c r="N94">
        <v>1233.2400000000005</v>
      </c>
      <c r="O94">
        <v>1233.2400000000005</v>
      </c>
      <c r="P94">
        <v>0</v>
      </c>
      <c r="Q94">
        <v>-10606.700000000008</v>
      </c>
      <c r="R94">
        <v>-10501.070000000007</v>
      </c>
      <c r="S94">
        <v>105.62999999999998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24808.569999999996</v>
      </c>
      <c r="AA94">
        <v>24914.199999999993</v>
      </c>
      <c r="AB94">
        <v>105.63</v>
      </c>
      <c r="AC94">
        <v>4837.3600000000069</v>
      </c>
      <c r="AD94">
        <v>2464.7500000000009</v>
      </c>
      <c r="AE94">
        <v>-2372.6100000000006</v>
      </c>
      <c r="AF94">
        <v>19971.210000000021</v>
      </c>
      <c r="AG94">
        <v>22449.450000000012</v>
      </c>
      <c r="AH94">
        <v>2478.2400000000007</v>
      </c>
      <c r="AI94">
        <v>-1190.8700000000001</v>
      </c>
      <c r="AJ94">
        <v>0</v>
      </c>
      <c r="AK94">
        <v>1190.8700000000001</v>
      </c>
      <c r="AL94">
        <v>21162.080000000005</v>
      </c>
      <c r="AM94">
        <v>22449.450000000012</v>
      </c>
      <c r="AN94">
        <v>1287.3700000000003</v>
      </c>
      <c r="AO94">
        <v>420</v>
      </c>
    </row>
    <row r="95" spans="1:41" x14ac:dyDescent="0.35">
      <c r="A95">
        <v>2024</v>
      </c>
      <c r="B95">
        <v>1</v>
      </c>
      <c r="C95">
        <v>3</v>
      </c>
      <c r="D95" s="14">
        <v>45305</v>
      </c>
      <c r="E95" t="s">
        <v>44</v>
      </c>
      <c r="F95" t="s">
        <v>47</v>
      </c>
      <c r="G95" t="s">
        <v>48</v>
      </c>
      <c r="H95">
        <v>17227.529999999893</v>
      </c>
      <c r="I95">
        <v>17227.529999999893</v>
      </c>
      <c r="J95">
        <v>0</v>
      </c>
      <c r="K95">
        <v>1197.379999999999</v>
      </c>
      <c r="L95">
        <v>1197.379999999999</v>
      </c>
      <c r="M95">
        <v>0</v>
      </c>
      <c r="N95">
        <v>0</v>
      </c>
      <c r="O95">
        <v>0</v>
      </c>
      <c r="P95">
        <v>0</v>
      </c>
      <c r="Q95">
        <v>-2677.6499999999987</v>
      </c>
      <c r="R95">
        <v>-2677.6499999999987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15747.259999999933</v>
      </c>
      <c r="AA95">
        <v>15747.259999999933</v>
      </c>
      <c r="AB95">
        <v>0</v>
      </c>
      <c r="AC95">
        <v>9.3000000000000007</v>
      </c>
      <c r="AD95">
        <v>9.3000000000000007</v>
      </c>
      <c r="AE95">
        <v>0</v>
      </c>
      <c r="AF95">
        <v>15737.959999999934</v>
      </c>
      <c r="AG95">
        <v>15737.959999999934</v>
      </c>
      <c r="AH95">
        <v>0</v>
      </c>
      <c r="AI95">
        <v>3902.1099999999956</v>
      </c>
      <c r="AJ95">
        <v>0</v>
      </c>
      <c r="AK95">
        <v>-3902.1099999999956</v>
      </c>
      <c r="AL95">
        <v>11835.849999999995</v>
      </c>
      <c r="AM95">
        <v>15737.959999999934</v>
      </c>
      <c r="AN95">
        <v>3902.1099999999956</v>
      </c>
      <c r="AO95">
        <v>429</v>
      </c>
    </row>
    <row r="96" spans="1:41" x14ac:dyDescent="0.35">
      <c r="A96">
        <v>2024</v>
      </c>
      <c r="B96">
        <v>1</v>
      </c>
      <c r="C96">
        <v>3</v>
      </c>
      <c r="D96" s="14">
        <v>45305</v>
      </c>
      <c r="E96" t="s">
        <v>44</v>
      </c>
      <c r="F96" t="s">
        <v>47</v>
      </c>
      <c r="G96" t="s">
        <v>49</v>
      </c>
      <c r="H96">
        <v>12736</v>
      </c>
      <c r="I96">
        <v>12736</v>
      </c>
      <c r="J96">
        <v>0</v>
      </c>
      <c r="K96">
        <v>84.960000000000008</v>
      </c>
      <c r="L96">
        <v>84.960000000000008</v>
      </c>
      <c r="M96">
        <v>0</v>
      </c>
      <c r="N96">
        <v>104.93999999999998</v>
      </c>
      <c r="O96">
        <v>104.93999999999998</v>
      </c>
      <c r="P96">
        <v>0</v>
      </c>
      <c r="Q96">
        <v>-2821.5800000000036</v>
      </c>
      <c r="R96">
        <v>-2818.5800000000036</v>
      </c>
      <c r="S96">
        <v>3</v>
      </c>
      <c r="T96">
        <v>-29.46</v>
      </c>
      <c r="U96">
        <v>-29.46</v>
      </c>
      <c r="V96">
        <v>0</v>
      </c>
      <c r="W96">
        <v>0</v>
      </c>
      <c r="X96">
        <v>0</v>
      </c>
      <c r="Y96">
        <v>0</v>
      </c>
      <c r="Z96">
        <v>10074.86000000001</v>
      </c>
      <c r="AA96">
        <v>10077.86000000001</v>
      </c>
      <c r="AB96">
        <v>3</v>
      </c>
      <c r="AC96">
        <v>226.57000000000002</v>
      </c>
      <c r="AD96">
        <v>35.25</v>
      </c>
      <c r="AE96">
        <v>-191.32000000000002</v>
      </c>
      <c r="AF96">
        <v>9848.2900000000045</v>
      </c>
      <c r="AG96">
        <v>10042.61000000001</v>
      </c>
      <c r="AH96">
        <v>194.32</v>
      </c>
      <c r="AI96">
        <v>2475.1999999999989</v>
      </c>
      <c r="AJ96">
        <v>0</v>
      </c>
      <c r="AK96">
        <v>-2475.1999999999989</v>
      </c>
      <c r="AL96">
        <v>7373.0900000000011</v>
      </c>
      <c r="AM96">
        <v>10042.61000000001</v>
      </c>
      <c r="AN96">
        <v>2669.5199999999995</v>
      </c>
      <c r="AO96">
        <v>213</v>
      </c>
    </row>
    <row r="97" spans="1:41" x14ac:dyDescent="0.35">
      <c r="A97">
        <v>2024</v>
      </c>
      <c r="B97">
        <v>1</v>
      </c>
      <c r="C97">
        <v>3</v>
      </c>
      <c r="D97" s="14">
        <v>45305</v>
      </c>
      <c r="E97" t="s">
        <v>44</v>
      </c>
      <c r="F97" t="s">
        <v>47</v>
      </c>
      <c r="G97" t="s">
        <v>50</v>
      </c>
      <c r="H97">
        <v>15448</v>
      </c>
      <c r="I97">
        <v>15448</v>
      </c>
      <c r="J97">
        <v>0</v>
      </c>
      <c r="K97">
        <v>285.56999999999994</v>
      </c>
      <c r="L97">
        <v>285.56999999999994</v>
      </c>
      <c r="M97">
        <v>0</v>
      </c>
      <c r="N97">
        <v>588.64000000000021</v>
      </c>
      <c r="O97">
        <v>588.64000000000021</v>
      </c>
      <c r="P97">
        <v>0</v>
      </c>
      <c r="Q97">
        <v>-3879.01</v>
      </c>
      <c r="R97">
        <v>-3847.8</v>
      </c>
      <c r="S97">
        <v>31.21</v>
      </c>
      <c r="T97">
        <v>-20</v>
      </c>
      <c r="U97">
        <v>-20</v>
      </c>
      <c r="V97">
        <v>0</v>
      </c>
      <c r="W97">
        <v>0</v>
      </c>
      <c r="X97">
        <v>0</v>
      </c>
      <c r="Y97">
        <v>0</v>
      </c>
      <c r="Z97">
        <v>12423.199999999995</v>
      </c>
      <c r="AA97">
        <v>12454.409999999994</v>
      </c>
      <c r="AB97">
        <v>31.209999999999994</v>
      </c>
      <c r="AC97">
        <v>1604.4199999999998</v>
      </c>
      <c r="AD97">
        <v>529.32999999999993</v>
      </c>
      <c r="AE97">
        <v>-1075.0900000000001</v>
      </c>
      <c r="AF97">
        <v>10818.78</v>
      </c>
      <c r="AG97">
        <v>11925.079999999996</v>
      </c>
      <c r="AH97">
        <v>1106.3000000000002</v>
      </c>
      <c r="AI97">
        <v>-395.27</v>
      </c>
      <c r="AJ97">
        <v>14.58</v>
      </c>
      <c r="AK97">
        <v>409.84999999999997</v>
      </c>
      <c r="AL97">
        <v>11214.050000000003</v>
      </c>
      <c r="AM97">
        <v>11910.499999999996</v>
      </c>
      <c r="AN97">
        <v>696.44999999999993</v>
      </c>
      <c r="AO97">
        <v>192</v>
      </c>
    </row>
    <row r="98" spans="1:41" x14ac:dyDescent="0.35">
      <c r="A98">
        <v>2024</v>
      </c>
      <c r="B98">
        <v>1</v>
      </c>
      <c r="C98">
        <v>3</v>
      </c>
      <c r="D98" s="14">
        <v>45305</v>
      </c>
      <c r="E98" t="s">
        <v>44</v>
      </c>
      <c r="F98" t="s">
        <v>47</v>
      </c>
      <c r="G98" t="s">
        <v>51</v>
      </c>
      <c r="H98">
        <v>2626.25</v>
      </c>
      <c r="I98">
        <v>2626.25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-431.75</v>
      </c>
      <c r="R98">
        <v>-431.75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2194.5</v>
      </c>
      <c r="AA98">
        <v>2194.5</v>
      </c>
      <c r="AB98">
        <v>0</v>
      </c>
      <c r="AE98">
        <v>0</v>
      </c>
      <c r="AF98">
        <v>2194.5</v>
      </c>
      <c r="AG98">
        <v>2194.5</v>
      </c>
      <c r="AH98">
        <v>0</v>
      </c>
      <c r="AI98">
        <v>525.87</v>
      </c>
      <c r="AJ98">
        <v>0</v>
      </c>
      <c r="AK98">
        <v>-525.87</v>
      </c>
      <c r="AL98">
        <v>1668.6300000000003</v>
      </c>
      <c r="AM98">
        <v>2194.5</v>
      </c>
      <c r="AN98">
        <v>525.87000000000012</v>
      </c>
      <c r="AO98">
        <v>44</v>
      </c>
    </row>
    <row r="99" spans="1:41" x14ac:dyDescent="0.35">
      <c r="A99">
        <v>2024</v>
      </c>
      <c r="B99">
        <v>1</v>
      </c>
      <c r="C99">
        <v>3</v>
      </c>
      <c r="D99" s="14">
        <v>45306</v>
      </c>
      <c r="E99" t="s">
        <v>41</v>
      </c>
      <c r="F99" t="s">
        <v>42</v>
      </c>
      <c r="G99" t="s">
        <v>43</v>
      </c>
      <c r="H99">
        <v>46415</v>
      </c>
      <c r="I99">
        <v>46415</v>
      </c>
      <c r="J99">
        <v>0</v>
      </c>
      <c r="K99">
        <v>586.94999999999868</v>
      </c>
      <c r="L99">
        <v>593.94999999999868</v>
      </c>
      <c r="M99">
        <v>7</v>
      </c>
      <c r="N99">
        <v>1299.1300000000006</v>
      </c>
      <c r="O99">
        <v>1299.1300000000006</v>
      </c>
      <c r="P99">
        <v>0</v>
      </c>
      <c r="Q99">
        <v>-2533.38</v>
      </c>
      <c r="R99">
        <v>-2163.38</v>
      </c>
      <c r="S99">
        <v>370</v>
      </c>
      <c r="T99">
        <v>-1.0899999999999999</v>
      </c>
      <c r="U99">
        <v>-1.0899999999999999</v>
      </c>
      <c r="V99">
        <v>0</v>
      </c>
      <c r="W99">
        <v>-50</v>
      </c>
      <c r="X99">
        <v>-50</v>
      </c>
      <c r="Y99">
        <v>0</v>
      </c>
      <c r="Z99">
        <v>45716.609999999848</v>
      </c>
      <c r="AA99">
        <v>46093.609999999841</v>
      </c>
      <c r="AB99">
        <v>377</v>
      </c>
      <c r="AC99">
        <v>10780.510000000004</v>
      </c>
      <c r="AD99">
        <v>3939.6900000000041</v>
      </c>
      <c r="AE99">
        <v>-6840.8200000000124</v>
      </c>
      <c r="AF99">
        <v>34936.100000000086</v>
      </c>
      <c r="AG99">
        <v>42153.919999999933</v>
      </c>
      <c r="AH99">
        <v>7217.8200000000124</v>
      </c>
      <c r="AI99">
        <v>-2137.7299999999996</v>
      </c>
      <c r="AJ99">
        <v>0</v>
      </c>
      <c r="AK99">
        <v>2137.7299999999996</v>
      </c>
      <c r="AL99">
        <v>37073.830000000031</v>
      </c>
      <c r="AM99">
        <v>42153.919999999933</v>
      </c>
      <c r="AN99">
        <v>5080.0900000000056</v>
      </c>
      <c r="AO99">
        <v>868</v>
      </c>
    </row>
    <row r="100" spans="1:41" x14ac:dyDescent="0.35">
      <c r="A100">
        <v>2024</v>
      </c>
      <c r="B100">
        <v>1</v>
      </c>
      <c r="C100">
        <v>3</v>
      </c>
      <c r="D100" s="14">
        <v>45306</v>
      </c>
      <c r="E100" t="s">
        <v>44</v>
      </c>
      <c r="F100" t="s">
        <v>42</v>
      </c>
      <c r="G100" t="s">
        <v>45</v>
      </c>
      <c r="H100">
        <v>65010</v>
      </c>
      <c r="I100">
        <v>65010</v>
      </c>
      <c r="J100">
        <v>0</v>
      </c>
      <c r="K100">
        <v>594.82999999999993</v>
      </c>
      <c r="L100">
        <v>594.82999999999993</v>
      </c>
      <c r="M100">
        <v>0</v>
      </c>
      <c r="N100">
        <v>3227.8399999999833</v>
      </c>
      <c r="O100">
        <v>3211.8499999999835</v>
      </c>
      <c r="P100">
        <v>-15.99</v>
      </c>
      <c r="Q100">
        <v>-8456.0300000000007</v>
      </c>
      <c r="R100">
        <v>-8301.51</v>
      </c>
      <c r="S100">
        <v>154.52000000000007</v>
      </c>
      <c r="T100">
        <v>-8.5600000000000023</v>
      </c>
      <c r="U100">
        <v>-8.5600000000000023</v>
      </c>
      <c r="V100">
        <v>0</v>
      </c>
      <c r="W100">
        <v>-111.96</v>
      </c>
      <c r="X100">
        <v>-111.96</v>
      </c>
      <c r="Y100">
        <v>0</v>
      </c>
      <c r="Z100">
        <v>60256.119999999806</v>
      </c>
      <c r="AA100">
        <v>60394.64999999979</v>
      </c>
      <c r="AB100">
        <v>138.52999999999997</v>
      </c>
      <c r="AC100">
        <v>9429.0900000000092</v>
      </c>
      <c r="AD100">
        <v>3383.4100000000049</v>
      </c>
      <c r="AE100">
        <v>-6045.680000000013</v>
      </c>
      <c r="AF100">
        <v>50827.030000000064</v>
      </c>
      <c r="AG100">
        <v>57011.239999999896</v>
      </c>
      <c r="AH100">
        <v>6184.2100000000128</v>
      </c>
      <c r="AI100">
        <v>-1965.4899999999982</v>
      </c>
      <c r="AJ100">
        <v>0</v>
      </c>
      <c r="AK100">
        <v>1965.4899999999982</v>
      </c>
      <c r="AL100">
        <v>52792.520000000004</v>
      </c>
      <c r="AM100">
        <v>57011.239999999896</v>
      </c>
      <c r="AN100">
        <v>4218.7200000000075</v>
      </c>
      <c r="AO100">
        <v>890</v>
      </c>
    </row>
    <row r="101" spans="1:41" x14ac:dyDescent="0.35">
      <c r="A101">
        <v>2024</v>
      </c>
      <c r="B101">
        <v>1</v>
      </c>
      <c r="C101">
        <v>3</v>
      </c>
      <c r="D101" s="14">
        <v>45306</v>
      </c>
      <c r="E101" t="s">
        <v>44</v>
      </c>
      <c r="F101" t="s">
        <v>42</v>
      </c>
      <c r="G101" t="s">
        <v>46</v>
      </c>
      <c r="H101">
        <v>24778.970000000012</v>
      </c>
      <c r="I101">
        <v>24778.970000000012</v>
      </c>
      <c r="J101">
        <v>0</v>
      </c>
      <c r="K101">
        <v>65.790000000000063</v>
      </c>
      <c r="L101">
        <v>65.790000000000063</v>
      </c>
      <c r="M101">
        <v>0</v>
      </c>
      <c r="N101">
        <v>1062.3600000000004</v>
      </c>
      <c r="O101">
        <v>1062.3600000000004</v>
      </c>
      <c r="P101">
        <v>0</v>
      </c>
      <c r="Q101">
        <v>-7650.8100000000022</v>
      </c>
      <c r="R101">
        <v>-7491.8800000000019</v>
      </c>
      <c r="S101">
        <v>158.93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18256.310000000001</v>
      </c>
      <c r="AA101">
        <v>18415.239999999998</v>
      </c>
      <c r="AB101">
        <v>158.93</v>
      </c>
      <c r="AC101">
        <v>3559.0300000000066</v>
      </c>
      <c r="AD101">
        <v>1121.0799999999997</v>
      </c>
      <c r="AE101">
        <v>-2437.9500000000007</v>
      </c>
      <c r="AF101">
        <v>14697.279999999992</v>
      </c>
      <c r="AG101">
        <v>17294.159999999993</v>
      </c>
      <c r="AH101">
        <v>2596.8800000000024</v>
      </c>
      <c r="AI101">
        <v>-470.2700000000001</v>
      </c>
      <c r="AJ101">
        <v>0</v>
      </c>
      <c r="AK101">
        <v>470.2700000000001</v>
      </c>
      <c r="AL101">
        <v>15167.550000000007</v>
      </c>
      <c r="AM101">
        <v>17294.159999999993</v>
      </c>
      <c r="AN101">
        <v>2126.6099999999997</v>
      </c>
      <c r="AO101">
        <v>306</v>
      </c>
    </row>
    <row r="102" spans="1:41" x14ac:dyDescent="0.35">
      <c r="A102">
        <v>2024</v>
      </c>
      <c r="B102">
        <v>1</v>
      </c>
      <c r="C102">
        <v>3</v>
      </c>
      <c r="D102" s="14">
        <v>45306</v>
      </c>
      <c r="E102" t="s">
        <v>44</v>
      </c>
      <c r="F102" t="s">
        <v>47</v>
      </c>
      <c r="G102" t="s">
        <v>48</v>
      </c>
      <c r="H102">
        <v>361.3</v>
      </c>
      <c r="I102">
        <v>361.3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-43.5</v>
      </c>
      <c r="R102">
        <v>-43.5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317.8</v>
      </c>
      <c r="AA102">
        <v>317.8</v>
      </c>
      <c r="AB102">
        <v>0</v>
      </c>
      <c r="AC102">
        <v>9.3000000000000007</v>
      </c>
      <c r="AE102">
        <v>-9.3000000000000007</v>
      </c>
      <c r="AF102">
        <v>308.5</v>
      </c>
      <c r="AG102">
        <v>317.8</v>
      </c>
      <c r="AH102">
        <v>9.2999999999999972</v>
      </c>
      <c r="AI102">
        <v>96.69</v>
      </c>
      <c r="AJ102">
        <v>0</v>
      </c>
      <c r="AK102">
        <v>-96.69</v>
      </c>
      <c r="AL102">
        <v>211.81</v>
      </c>
      <c r="AM102">
        <v>317.8</v>
      </c>
      <c r="AN102">
        <v>105.99</v>
      </c>
      <c r="AO102">
        <v>10</v>
      </c>
    </row>
    <row r="103" spans="1:41" x14ac:dyDescent="0.35">
      <c r="A103">
        <v>2024</v>
      </c>
      <c r="B103">
        <v>1</v>
      </c>
      <c r="C103">
        <v>3</v>
      </c>
      <c r="D103" s="14">
        <v>45306</v>
      </c>
      <c r="E103" t="s">
        <v>44</v>
      </c>
      <c r="F103" t="s">
        <v>47</v>
      </c>
      <c r="G103" t="s">
        <v>49</v>
      </c>
      <c r="H103">
        <v>1147</v>
      </c>
      <c r="I103">
        <v>1147</v>
      </c>
      <c r="J103">
        <v>0</v>
      </c>
      <c r="K103">
        <v>33.99</v>
      </c>
      <c r="L103">
        <v>33.99</v>
      </c>
      <c r="M103">
        <v>0</v>
      </c>
      <c r="N103">
        <v>31.98</v>
      </c>
      <c r="O103">
        <v>31.98</v>
      </c>
      <c r="P103">
        <v>0</v>
      </c>
      <c r="Q103">
        <v>-215</v>
      </c>
      <c r="R103">
        <v>-215</v>
      </c>
      <c r="S103">
        <v>0</v>
      </c>
      <c r="T103">
        <v>-5</v>
      </c>
      <c r="U103">
        <v>-5</v>
      </c>
      <c r="V103">
        <v>0</v>
      </c>
      <c r="W103">
        <v>0</v>
      </c>
      <c r="X103">
        <v>0</v>
      </c>
      <c r="Y103">
        <v>0</v>
      </c>
      <c r="Z103">
        <v>992.97</v>
      </c>
      <c r="AA103">
        <v>992.97</v>
      </c>
      <c r="AB103">
        <v>0</v>
      </c>
      <c r="AC103">
        <v>55.59</v>
      </c>
      <c r="AD103">
        <v>20.34</v>
      </c>
      <c r="AE103">
        <v>-35.25</v>
      </c>
      <c r="AF103">
        <v>937.38</v>
      </c>
      <c r="AG103">
        <v>972.63</v>
      </c>
      <c r="AH103">
        <v>35.25</v>
      </c>
      <c r="AI103">
        <v>222.54999999999995</v>
      </c>
      <c r="AJ103">
        <v>0</v>
      </c>
      <c r="AK103">
        <v>-222.54999999999995</v>
      </c>
      <c r="AL103">
        <v>714.83</v>
      </c>
      <c r="AM103">
        <v>972.63</v>
      </c>
      <c r="AN103">
        <v>257.79999999999995</v>
      </c>
      <c r="AO103">
        <v>17</v>
      </c>
    </row>
    <row r="104" spans="1:41" x14ac:dyDescent="0.35">
      <c r="A104">
        <v>2024</v>
      </c>
      <c r="B104">
        <v>1</v>
      </c>
      <c r="C104">
        <v>3</v>
      </c>
      <c r="D104" s="14">
        <v>45306</v>
      </c>
      <c r="E104" t="s">
        <v>44</v>
      </c>
      <c r="F104" t="s">
        <v>47</v>
      </c>
      <c r="G104" t="s">
        <v>50</v>
      </c>
      <c r="H104">
        <v>11755</v>
      </c>
      <c r="I104">
        <v>11755</v>
      </c>
      <c r="J104">
        <v>0</v>
      </c>
      <c r="K104">
        <v>193.82</v>
      </c>
      <c r="L104">
        <v>193.82</v>
      </c>
      <c r="M104">
        <v>0</v>
      </c>
      <c r="N104">
        <v>378.7700000000001</v>
      </c>
      <c r="O104">
        <v>378.7700000000001</v>
      </c>
      <c r="P104">
        <v>0</v>
      </c>
      <c r="Q104">
        <v>-2942.63</v>
      </c>
      <c r="R104">
        <v>-2909</v>
      </c>
      <c r="S104">
        <v>33.630000000000003</v>
      </c>
      <c r="T104">
        <v>-15</v>
      </c>
      <c r="U104">
        <v>-15</v>
      </c>
      <c r="V104">
        <v>0</v>
      </c>
      <c r="W104">
        <v>0</v>
      </c>
      <c r="X104">
        <v>0</v>
      </c>
      <c r="Y104">
        <v>0</v>
      </c>
      <c r="Z104">
        <v>9369.9599999999955</v>
      </c>
      <c r="AA104">
        <v>9403.5899999999965</v>
      </c>
      <c r="AB104">
        <v>33.63000000000001</v>
      </c>
      <c r="AC104">
        <v>827.32999999999981</v>
      </c>
      <c r="AD104">
        <v>297.99999999999994</v>
      </c>
      <c r="AE104">
        <v>-529.33000000000004</v>
      </c>
      <c r="AF104">
        <v>8542.6299999999937</v>
      </c>
      <c r="AG104">
        <v>9105.5899999999965</v>
      </c>
      <c r="AH104">
        <v>562.95999999999992</v>
      </c>
      <c r="AI104">
        <v>-269.47999999999996</v>
      </c>
      <c r="AJ104">
        <v>0</v>
      </c>
      <c r="AK104">
        <v>269.47999999999996</v>
      </c>
      <c r="AL104">
        <v>8812.1100000000024</v>
      </c>
      <c r="AM104">
        <v>9105.5899999999965</v>
      </c>
      <c r="AN104">
        <v>293.48000000000008</v>
      </c>
      <c r="AO104">
        <v>143</v>
      </c>
    </row>
    <row r="105" spans="1:41" x14ac:dyDescent="0.35">
      <c r="A105">
        <v>2024</v>
      </c>
      <c r="B105">
        <v>1</v>
      </c>
      <c r="C105">
        <v>3</v>
      </c>
      <c r="D105" s="14">
        <v>45306</v>
      </c>
      <c r="E105" t="s">
        <v>44</v>
      </c>
      <c r="F105" t="s">
        <v>47</v>
      </c>
      <c r="G105" t="s">
        <v>51</v>
      </c>
      <c r="H105">
        <v>551.5</v>
      </c>
      <c r="I105">
        <v>551.5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-84.4</v>
      </c>
      <c r="R105">
        <v>-84.4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467.1</v>
      </c>
      <c r="AA105">
        <v>467.1</v>
      </c>
      <c r="AB105">
        <v>0</v>
      </c>
      <c r="AE105">
        <v>0</v>
      </c>
      <c r="AF105">
        <v>467.1</v>
      </c>
      <c r="AG105">
        <v>467.1</v>
      </c>
      <c r="AH105">
        <v>0</v>
      </c>
      <c r="AI105">
        <v>54.63</v>
      </c>
      <c r="AJ105">
        <v>0</v>
      </c>
      <c r="AK105">
        <v>-54.63</v>
      </c>
      <c r="AL105">
        <v>412.47</v>
      </c>
      <c r="AM105">
        <v>467.1</v>
      </c>
      <c r="AN105">
        <v>54.629999999999995</v>
      </c>
      <c r="AO105">
        <v>10</v>
      </c>
    </row>
    <row r="106" spans="1:41" x14ac:dyDescent="0.35">
      <c r="A106">
        <v>2024</v>
      </c>
      <c r="B106">
        <v>1</v>
      </c>
      <c r="C106">
        <v>3</v>
      </c>
      <c r="D106" s="14">
        <v>45307</v>
      </c>
      <c r="E106" t="s">
        <v>41</v>
      </c>
      <c r="F106" t="s">
        <v>42</v>
      </c>
      <c r="G106" t="s">
        <v>43</v>
      </c>
      <c r="H106">
        <v>32832.25</v>
      </c>
      <c r="I106">
        <v>32832.25</v>
      </c>
      <c r="J106">
        <v>0</v>
      </c>
      <c r="K106">
        <v>434.36999999999898</v>
      </c>
      <c r="L106">
        <v>434.36999999999898</v>
      </c>
      <c r="M106">
        <v>0</v>
      </c>
      <c r="N106">
        <v>868.39000000000044</v>
      </c>
      <c r="O106">
        <v>868.39000000000044</v>
      </c>
      <c r="P106">
        <v>0</v>
      </c>
      <c r="Q106">
        <v>-1882.25</v>
      </c>
      <c r="R106">
        <v>-1664.25</v>
      </c>
      <c r="S106">
        <v>218</v>
      </c>
      <c r="T106">
        <v>-4.46</v>
      </c>
      <c r="U106">
        <v>-4.46</v>
      </c>
      <c r="V106">
        <v>0</v>
      </c>
      <c r="W106">
        <v>-40</v>
      </c>
      <c r="X106">
        <v>-40</v>
      </c>
      <c r="Y106">
        <v>0</v>
      </c>
      <c r="Z106">
        <v>32208.300000000014</v>
      </c>
      <c r="AA106">
        <v>32426.300000000014</v>
      </c>
      <c r="AB106">
        <v>218</v>
      </c>
      <c r="AC106">
        <v>8349.8800000000138</v>
      </c>
      <c r="AD106">
        <v>4423.2000000000053</v>
      </c>
      <c r="AE106">
        <v>-3926.6800000000026</v>
      </c>
      <c r="AF106">
        <v>23858.420000000038</v>
      </c>
      <c r="AG106">
        <v>28003.100000000024</v>
      </c>
      <c r="AH106">
        <v>4144.6800000000021</v>
      </c>
      <c r="AI106">
        <v>-2076.2100000000014</v>
      </c>
      <c r="AJ106">
        <v>0</v>
      </c>
      <c r="AK106">
        <v>2076.2100000000014</v>
      </c>
      <c r="AL106">
        <v>25934.630000000016</v>
      </c>
      <c r="AM106">
        <v>28003.100000000024</v>
      </c>
      <c r="AN106">
        <v>2068.4699999999998</v>
      </c>
      <c r="AO106">
        <v>619</v>
      </c>
    </row>
    <row r="107" spans="1:41" x14ac:dyDescent="0.35">
      <c r="A107">
        <v>2024</v>
      </c>
      <c r="B107">
        <v>1</v>
      </c>
      <c r="C107">
        <v>3</v>
      </c>
      <c r="D107" s="14">
        <v>45307</v>
      </c>
      <c r="E107" t="s">
        <v>44</v>
      </c>
      <c r="F107" t="s">
        <v>42</v>
      </c>
      <c r="G107" t="s">
        <v>45</v>
      </c>
      <c r="H107">
        <v>41239</v>
      </c>
      <c r="I107">
        <v>41239</v>
      </c>
      <c r="J107">
        <v>0</v>
      </c>
      <c r="K107">
        <v>329.80999999999938</v>
      </c>
      <c r="L107">
        <v>329.80999999999938</v>
      </c>
      <c r="M107">
        <v>0</v>
      </c>
      <c r="N107">
        <v>1868.7600000000009</v>
      </c>
      <c r="O107">
        <v>1868.7600000000009</v>
      </c>
      <c r="P107">
        <v>0</v>
      </c>
      <c r="Q107">
        <v>-4900.8100000000004</v>
      </c>
      <c r="R107">
        <v>-4797.71</v>
      </c>
      <c r="S107">
        <v>103.10000000000004</v>
      </c>
      <c r="T107">
        <v>-0.97</v>
      </c>
      <c r="U107">
        <v>-0.97</v>
      </c>
      <c r="V107">
        <v>0</v>
      </c>
      <c r="W107">
        <v>-18</v>
      </c>
      <c r="X107">
        <v>-18</v>
      </c>
      <c r="Y107">
        <v>0</v>
      </c>
      <c r="Z107">
        <v>38517.790000000008</v>
      </c>
      <c r="AA107">
        <v>38620.89</v>
      </c>
      <c r="AB107">
        <v>103.1</v>
      </c>
      <c r="AC107">
        <v>6348.8200000000106</v>
      </c>
      <c r="AD107">
        <v>2965.4100000000021</v>
      </c>
      <c r="AE107">
        <v>-3383.4100000000035</v>
      </c>
      <c r="AF107">
        <v>32168.970000000081</v>
      </c>
      <c r="AG107">
        <v>35655.480000000047</v>
      </c>
      <c r="AH107">
        <v>3486.5100000000039</v>
      </c>
      <c r="AI107">
        <v>-1577.56</v>
      </c>
      <c r="AJ107">
        <v>0</v>
      </c>
      <c r="AK107">
        <v>1577.56</v>
      </c>
      <c r="AL107">
        <v>33746.530000000035</v>
      </c>
      <c r="AM107">
        <v>35655.480000000047</v>
      </c>
      <c r="AN107">
        <v>1908.9499999999998</v>
      </c>
      <c r="AO107">
        <v>577</v>
      </c>
    </row>
    <row r="108" spans="1:41" x14ac:dyDescent="0.35">
      <c r="A108">
        <v>2024</v>
      </c>
      <c r="B108">
        <v>1</v>
      </c>
      <c r="C108">
        <v>3</v>
      </c>
      <c r="D108" s="14">
        <v>45307</v>
      </c>
      <c r="E108" t="s">
        <v>44</v>
      </c>
      <c r="F108" t="s">
        <v>42</v>
      </c>
      <c r="G108" t="s">
        <v>46</v>
      </c>
      <c r="H108">
        <v>19310.770000000008</v>
      </c>
      <c r="I108">
        <v>19310.770000000008</v>
      </c>
      <c r="J108">
        <v>0</v>
      </c>
      <c r="K108">
        <v>80.870000000000019</v>
      </c>
      <c r="L108">
        <v>80.870000000000019</v>
      </c>
      <c r="M108">
        <v>0</v>
      </c>
      <c r="N108">
        <v>716.57000000000028</v>
      </c>
      <c r="O108">
        <v>716.57000000000028</v>
      </c>
      <c r="P108">
        <v>0</v>
      </c>
      <c r="Q108">
        <v>-5736.08</v>
      </c>
      <c r="R108">
        <v>-5668.78</v>
      </c>
      <c r="S108">
        <v>67.300000000000011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14372.129999999997</v>
      </c>
      <c r="AA108">
        <v>14439.429999999997</v>
      </c>
      <c r="AB108">
        <v>67.300000000000011</v>
      </c>
      <c r="AC108">
        <v>2557.6000000000004</v>
      </c>
      <c r="AD108">
        <v>1459.0199999999993</v>
      </c>
      <c r="AE108">
        <v>-1098.5800000000006</v>
      </c>
      <c r="AF108">
        <v>11814.529999999993</v>
      </c>
      <c r="AG108">
        <v>12980.409999999993</v>
      </c>
      <c r="AH108">
        <v>1165.8800000000006</v>
      </c>
      <c r="AI108">
        <v>-608.06999999999971</v>
      </c>
      <c r="AJ108">
        <v>0</v>
      </c>
      <c r="AK108">
        <v>608.06999999999971</v>
      </c>
      <c r="AL108">
        <v>12422.600000000002</v>
      </c>
      <c r="AM108">
        <v>12980.409999999993</v>
      </c>
      <c r="AN108">
        <v>557.8099999999996</v>
      </c>
      <c r="AO108">
        <v>247</v>
      </c>
    </row>
    <row r="109" spans="1:41" x14ac:dyDescent="0.35">
      <c r="A109">
        <v>2024</v>
      </c>
      <c r="B109">
        <v>1</v>
      </c>
      <c r="C109">
        <v>3</v>
      </c>
      <c r="D109" s="14">
        <v>45307</v>
      </c>
      <c r="E109" t="s">
        <v>44</v>
      </c>
      <c r="F109" t="s">
        <v>47</v>
      </c>
      <c r="G109" t="s">
        <v>48</v>
      </c>
      <c r="H109">
        <v>413.05</v>
      </c>
      <c r="I109">
        <v>413.05</v>
      </c>
      <c r="J109">
        <v>0</v>
      </c>
      <c r="K109">
        <v>0</v>
      </c>
      <c r="L109">
        <v>0</v>
      </c>
      <c r="M109">
        <v>0</v>
      </c>
      <c r="N109">
        <v>15.99</v>
      </c>
      <c r="O109">
        <v>15.99</v>
      </c>
      <c r="P109">
        <v>0</v>
      </c>
      <c r="Q109">
        <v>-159.79999999999998</v>
      </c>
      <c r="R109">
        <v>-159.79999999999998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269.24</v>
      </c>
      <c r="AA109">
        <v>269.24</v>
      </c>
      <c r="AB109">
        <v>0</v>
      </c>
      <c r="AC109">
        <v>16.25</v>
      </c>
      <c r="AD109">
        <v>16.25</v>
      </c>
      <c r="AE109">
        <v>0</v>
      </c>
      <c r="AF109">
        <v>252.99</v>
      </c>
      <c r="AG109">
        <v>252.99</v>
      </c>
      <c r="AH109">
        <v>0</v>
      </c>
      <c r="AI109">
        <v>14.47</v>
      </c>
      <c r="AJ109">
        <v>0</v>
      </c>
      <c r="AK109">
        <v>-14.47</v>
      </c>
      <c r="AL109">
        <v>238.52</v>
      </c>
      <c r="AM109">
        <v>252.99</v>
      </c>
      <c r="AN109">
        <v>14.469999999999992</v>
      </c>
      <c r="AO109">
        <v>7</v>
      </c>
    </row>
    <row r="110" spans="1:41" x14ac:dyDescent="0.35">
      <c r="A110">
        <v>2024</v>
      </c>
      <c r="B110">
        <v>1</v>
      </c>
      <c r="C110">
        <v>3</v>
      </c>
      <c r="D110" s="14">
        <v>45307</v>
      </c>
      <c r="E110" t="s">
        <v>44</v>
      </c>
      <c r="F110" t="s">
        <v>47</v>
      </c>
      <c r="G110" t="s">
        <v>49</v>
      </c>
      <c r="H110">
        <v>4567</v>
      </c>
      <c r="I110">
        <v>4567</v>
      </c>
      <c r="J110">
        <v>0</v>
      </c>
      <c r="K110">
        <v>16.300000000000004</v>
      </c>
      <c r="L110">
        <v>16.300000000000004</v>
      </c>
      <c r="M110">
        <v>0</v>
      </c>
      <c r="N110">
        <v>97.929999999999993</v>
      </c>
      <c r="O110">
        <v>97.929999999999993</v>
      </c>
      <c r="P110">
        <v>0</v>
      </c>
      <c r="Q110">
        <v>-1624.4000000000005</v>
      </c>
      <c r="R110">
        <v>-1624.4000000000005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3056.83</v>
      </c>
      <c r="AA110">
        <v>3056.83</v>
      </c>
      <c r="AB110">
        <v>0</v>
      </c>
      <c r="AC110">
        <v>55.84</v>
      </c>
      <c r="AD110">
        <v>35.5</v>
      </c>
      <c r="AE110">
        <v>-20.34</v>
      </c>
      <c r="AF110">
        <v>3000.99</v>
      </c>
      <c r="AG110">
        <v>3021.33</v>
      </c>
      <c r="AH110">
        <v>20.339999999999996</v>
      </c>
      <c r="AI110">
        <v>736.31000000000006</v>
      </c>
      <c r="AJ110">
        <v>0</v>
      </c>
      <c r="AK110">
        <v>-736.31000000000006</v>
      </c>
      <c r="AL110">
        <v>2264.6799999999985</v>
      </c>
      <c r="AM110">
        <v>3021.33</v>
      </c>
      <c r="AN110">
        <v>756.65000000000009</v>
      </c>
      <c r="AO110">
        <v>64</v>
      </c>
    </row>
    <row r="111" spans="1:41" x14ac:dyDescent="0.35">
      <c r="A111">
        <v>2024</v>
      </c>
      <c r="B111">
        <v>1</v>
      </c>
      <c r="C111">
        <v>3</v>
      </c>
      <c r="D111" s="14">
        <v>45307</v>
      </c>
      <c r="E111" t="s">
        <v>44</v>
      </c>
      <c r="F111" t="s">
        <v>47</v>
      </c>
      <c r="G111" t="s">
        <v>50</v>
      </c>
      <c r="H111">
        <v>8528</v>
      </c>
      <c r="I111">
        <v>8528</v>
      </c>
      <c r="J111">
        <v>0</v>
      </c>
      <c r="K111">
        <v>164.03</v>
      </c>
      <c r="L111">
        <v>164.03</v>
      </c>
      <c r="M111">
        <v>0</v>
      </c>
      <c r="N111">
        <v>369.7600000000001</v>
      </c>
      <c r="O111">
        <v>369.7600000000001</v>
      </c>
      <c r="P111">
        <v>0</v>
      </c>
      <c r="Q111">
        <v>-2348.71</v>
      </c>
      <c r="R111">
        <v>-2332.5</v>
      </c>
      <c r="S111">
        <v>16.21</v>
      </c>
      <c r="T111">
        <v>0</v>
      </c>
      <c r="U111">
        <v>0</v>
      </c>
      <c r="V111">
        <v>0</v>
      </c>
      <c r="W111">
        <v>-5</v>
      </c>
      <c r="X111">
        <v>-5</v>
      </c>
      <c r="Y111">
        <v>0</v>
      </c>
      <c r="Z111">
        <v>6708.0799999999945</v>
      </c>
      <c r="AA111">
        <v>6724.2899999999954</v>
      </c>
      <c r="AB111">
        <v>16.210000000000008</v>
      </c>
      <c r="AC111">
        <v>574.31999999999994</v>
      </c>
      <c r="AD111">
        <v>276.32</v>
      </c>
      <c r="AE111">
        <v>-298</v>
      </c>
      <c r="AF111">
        <v>6133.7599999999957</v>
      </c>
      <c r="AG111">
        <v>6447.9699999999957</v>
      </c>
      <c r="AH111">
        <v>314.21000000000009</v>
      </c>
      <c r="AI111">
        <v>-255.94</v>
      </c>
      <c r="AJ111">
        <v>0</v>
      </c>
      <c r="AK111">
        <v>255.94</v>
      </c>
      <c r="AL111">
        <v>6389.699999999998</v>
      </c>
      <c r="AM111">
        <v>6447.9699999999957</v>
      </c>
      <c r="AN111">
        <v>58.269999999999982</v>
      </c>
      <c r="AO111">
        <v>104</v>
      </c>
    </row>
    <row r="112" spans="1:41" x14ac:dyDescent="0.35">
      <c r="A112">
        <v>2024</v>
      </c>
      <c r="B112">
        <v>1</v>
      </c>
      <c r="C112">
        <v>3</v>
      </c>
      <c r="D112" s="14">
        <v>45307</v>
      </c>
      <c r="E112" t="s">
        <v>44</v>
      </c>
      <c r="F112" t="s">
        <v>47</v>
      </c>
      <c r="G112" t="s">
        <v>51</v>
      </c>
      <c r="H112">
        <v>150</v>
      </c>
      <c r="I112">
        <v>150</v>
      </c>
      <c r="J112">
        <v>0</v>
      </c>
      <c r="K112">
        <v>0.92</v>
      </c>
      <c r="L112">
        <v>0.92</v>
      </c>
      <c r="M112">
        <v>0</v>
      </c>
      <c r="N112">
        <v>0</v>
      </c>
      <c r="O112">
        <v>0</v>
      </c>
      <c r="P112">
        <v>0</v>
      </c>
      <c r="Q112">
        <v>-80</v>
      </c>
      <c r="R112">
        <v>-80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70.92</v>
      </c>
      <c r="AA112">
        <v>70.92</v>
      </c>
      <c r="AB112">
        <v>0</v>
      </c>
      <c r="AC112">
        <v>5.42</v>
      </c>
      <c r="AD112">
        <v>5.42</v>
      </c>
      <c r="AE112">
        <v>0</v>
      </c>
      <c r="AF112">
        <v>65.5</v>
      </c>
      <c r="AG112">
        <v>65.5</v>
      </c>
      <c r="AH112">
        <v>0</v>
      </c>
      <c r="AI112">
        <v>-4.42</v>
      </c>
      <c r="AJ112">
        <v>0</v>
      </c>
      <c r="AK112">
        <v>4.42</v>
      </c>
      <c r="AL112">
        <v>69.92</v>
      </c>
      <c r="AM112">
        <v>65.5</v>
      </c>
      <c r="AN112">
        <v>-4.4200000000000017</v>
      </c>
      <c r="AO112">
        <v>2</v>
      </c>
    </row>
    <row r="113" spans="1:41" x14ac:dyDescent="0.35">
      <c r="A113">
        <v>2024</v>
      </c>
      <c r="B113">
        <v>1</v>
      </c>
      <c r="C113">
        <v>3</v>
      </c>
      <c r="D113" s="14">
        <v>45308</v>
      </c>
      <c r="E113" t="s">
        <v>41</v>
      </c>
      <c r="F113" t="s">
        <v>42</v>
      </c>
      <c r="G113" t="s">
        <v>43</v>
      </c>
      <c r="H113">
        <v>83437.5</v>
      </c>
      <c r="I113">
        <v>83437.5</v>
      </c>
      <c r="J113">
        <v>0</v>
      </c>
      <c r="K113">
        <v>1093.710000000013</v>
      </c>
      <c r="L113">
        <v>1093.710000000013</v>
      </c>
      <c r="M113">
        <v>0</v>
      </c>
      <c r="N113">
        <v>1547.9200000000008</v>
      </c>
      <c r="O113">
        <v>1531.9300000000007</v>
      </c>
      <c r="P113">
        <v>-15.99</v>
      </c>
      <c r="Q113">
        <v>-4335.88</v>
      </c>
      <c r="R113">
        <v>-8728.880000000001</v>
      </c>
      <c r="S113">
        <v>-4393</v>
      </c>
      <c r="T113">
        <v>-4.9000000000000004</v>
      </c>
      <c r="U113">
        <v>-4.9000000000000004</v>
      </c>
      <c r="V113">
        <v>0</v>
      </c>
      <c r="W113">
        <v>-85</v>
      </c>
      <c r="X113">
        <v>-85</v>
      </c>
      <c r="Y113">
        <v>0</v>
      </c>
      <c r="Z113">
        <v>81653.350000000049</v>
      </c>
      <c r="AA113">
        <v>77244.359999999971</v>
      </c>
      <c r="AB113">
        <v>-4408.99</v>
      </c>
      <c r="AC113">
        <v>24461.21999999987</v>
      </c>
      <c r="AD113">
        <v>19964.909999999971</v>
      </c>
      <c r="AE113">
        <v>-4496.3100000000031</v>
      </c>
      <c r="AF113">
        <v>57192.130000000201</v>
      </c>
      <c r="AG113">
        <v>57279.450000000121</v>
      </c>
      <c r="AH113">
        <v>87.320000000000277</v>
      </c>
      <c r="AI113">
        <v>-9090.2899999999954</v>
      </c>
      <c r="AJ113">
        <v>0</v>
      </c>
      <c r="AK113">
        <v>9090.2899999999954</v>
      </c>
      <c r="AL113">
        <v>66282.419999999925</v>
      </c>
      <c r="AM113">
        <v>57279.450000000121</v>
      </c>
      <c r="AN113">
        <v>-9002.9699999999921</v>
      </c>
      <c r="AO113">
        <v>1566</v>
      </c>
    </row>
    <row r="114" spans="1:41" x14ac:dyDescent="0.35">
      <c r="A114">
        <v>2024</v>
      </c>
      <c r="B114">
        <v>1</v>
      </c>
      <c r="C114">
        <v>3</v>
      </c>
      <c r="D114" s="14">
        <v>45308</v>
      </c>
      <c r="E114" t="s">
        <v>44</v>
      </c>
      <c r="F114" t="s">
        <v>42</v>
      </c>
      <c r="G114" t="s">
        <v>45</v>
      </c>
      <c r="H114">
        <v>82935</v>
      </c>
      <c r="I114">
        <v>82935</v>
      </c>
      <c r="J114">
        <v>0</v>
      </c>
      <c r="K114">
        <v>888.39000000000408</v>
      </c>
      <c r="L114">
        <v>888.39000000000408</v>
      </c>
      <c r="M114">
        <v>0</v>
      </c>
      <c r="N114">
        <v>3690.5299999999766</v>
      </c>
      <c r="O114">
        <v>3690.5299999999766</v>
      </c>
      <c r="P114">
        <v>0</v>
      </c>
      <c r="Q114">
        <v>-10079.789999999995</v>
      </c>
      <c r="R114">
        <v>-15265.9</v>
      </c>
      <c r="S114">
        <v>-5186.1099999999997</v>
      </c>
      <c r="T114">
        <v>-2.3200000000000003</v>
      </c>
      <c r="U114">
        <v>-2.3200000000000003</v>
      </c>
      <c r="V114">
        <v>0</v>
      </c>
      <c r="W114">
        <v>-45</v>
      </c>
      <c r="X114">
        <v>-45</v>
      </c>
      <c r="Y114">
        <v>0</v>
      </c>
      <c r="Z114">
        <v>77386.810000000041</v>
      </c>
      <c r="AA114">
        <v>72200.69999999991</v>
      </c>
      <c r="AB114">
        <v>-5186.1099999999997</v>
      </c>
      <c r="AC114">
        <v>11755.100000000008</v>
      </c>
      <c r="AD114">
        <v>8772.4400000000223</v>
      </c>
      <c r="AE114">
        <v>-2982.660000000003</v>
      </c>
      <c r="AF114">
        <v>65631.710000000166</v>
      </c>
      <c r="AG114">
        <v>63428.260000000046</v>
      </c>
      <c r="AH114">
        <v>-2203.4499999999989</v>
      </c>
      <c r="AI114">
        <v>-4368.329999999999</v>
      </c>
      <c r="AJ114">
        <v>-8.34</v>
      </c>
      <c r="AK114">
        <v>4359.99</v>
      </c>
      <c r="AL114">
        <v>70000.039999999979</v>
      </c>
      <c r="AM114">
        <v>63436.600000000042</v>
      </c>
      <c r="AN114">
        <v>-6563.4399999999923</v>
      </c>
      <c r="AO114">
        <v>1169</v>
      </c>
    </row>
    <row r="115" spans="1:41" x14ac:dyDescent="0.35">
      <c r="A115">
        <v>2024</v>
      </c>
      <c r="B115">
        <v>1</v>
      </c>
      <c r="C115">
        <v>3</v>
      </c>
      <c r="D115" s="14">
        <v>45308</v>
      </c>
      <c r="E115" t="s">
        <v>44</v>
      </c>
      <c r="F115" t="s">
        <v>42</v>
      </c>
      <c r="G115" t="s">
        <v>46</v>
      </c>
      <c r="H115">
        <v>31125.530000000021</v>
      </c>
      <c r="I115">
        <v>31125.530000000021</v>
      </c>
      <c r="J115">
        <v>0</v>
      </c>
      <c r="K115">
        <v>223.64000000000019</v>
      </c>
      <c r="L115">
        <v>223.64000000000019</v>
      </c>
      <c r="M115">
        <v>0</v>
      </c>
      <c r="N115">
        <v>931.4400000000004</v>
      </c>
      <c r="O115">
        <v>931.4400000000004</v>
      </c>
      <c r="P115">
        <v>0</v>
      </c>
      <c r="Q115">
        <v>-9528.320000000007</v>
      </c>
      <c r="R115">
        <v>-11613.73000000001</v>
      </c>
      <c r="S115">
        <v>-2085.41</v>
      </c>
      <c r="T115">
        <v>0</v>
      </c>
      <c r="U115">
        <v>0</v>
      </c>
      <c r="V115">
        <v>0</v>
      </c>
      <c r="W115">
        <v>-5</v>
      </c>
      <c r="X115">
        <v>-5</v>
      </c>
      <c r="Y115">
        <v>0</v>
      </c>
      <c r="Z115">
        <v>22747.289999999986</v>
      </c>
      <c r="AA115">
        <v>20661.879999999983</v>
      </c>
      <c r="AB115">
        <v>-2085.41</v>
      </c>
      <c r="AC115">
        <v>4673.5200000000059</v>
      </c>
      <c r="AD115">
        <v>3216.6200000000026</v>
      </c>
      <c r="AE115">
        <v>-1456.8999999999996</v>
      </c>
      <c r="AF115">
        <v>18073.77</v>
      </c>
      <c r="AG115">
        <v>17445.259999999991</v>
      </c>
      <c r="AH115">
        <v>-628.5100000000001</v>
      </c>
      <c r="AI115">
        <v>-1364.5999999999992</v>
      </c>
      <c r="AJ115">
        <v>0</v>
      </c>
      <c r="AK115">
        <v>1364.5999999999992</v>
      </c>
      <c r="AL115">
        <v>19438.370000000014</v>
      </c>
      <c r="AM115">
        <v>17445.259999999991</v>
      </c>
      <c r="AN115">
        <v>-1993.1099999999994</v>
      </c>
      <c r="AO115">
        <v>400</v>
      </c>
    </row>
    <row r="116" spans="1:41" x14ac:dyDescent="0.35">
      <c r="A116">
        <v>2024</v>
      </c>
      <c r="B116">
        <v>1</v>
      </c>
      <c r="C116">
        <v>3</v>
      </c>
      <c r="D116" s="14">
        <v>45308</v>
      </c>
      <c r="E116" t="s">
        <v>44</v>
      </c>
      <c r="F116" t="s">
        <v>47</v>
      </c>
      <c r="G116" t="s">
        <v>48</v>
      </c>
      <c r="H116">
        <v>17656.309999999936</v>
      </c>
      <c r="I116">
        <v>17656.309999999936</v>
      </c>
      <c r="J116">
        <v>0</v>
      </c>
      <c r="K116">
        <v>347.07999999999993</v>
      </c>
      <c r="L116">
        <v>347.07999999999993</v>
      </c>
      <c r="M116">
        <v>0</v>
      </c>
      <c r="N116">
        <v>50.97</v>
      </c>
      <c r="O116">
        <v>50.97</v>
      </c>
      <c r="P116">
        <v>0</v>
      </c>
      <c r="Q116">
        <v>-4954.7599999999966</v>
      </c>
      <c r="R116">
        <v>-4979.7599999999966</v>
      </c>
      <c r="S116">
        <v>-25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13099.599999999946</v>
      </c>
      <c r="AA116">
        <v>13074.599999999948</v>
      </c>
      <c r="AB116">
        <v>-25</v>
      </c>
      <c r="AC116">
        <v>77.510000000000005</v>
      </c>
      <c r="AD116">
        <v>61.260000000000005</v>
      </c>
      <c r="AE116">
        <v>-16.25</v>
      </c>
      <c r="AF116">
        <v>13022.089999999947</v>
      </c>
      <c r="AG116">
        <v>13013.339999999947</v>
      </c>
      <c r="AH116">
        <v>-8.7499999999999964</v>
      </c>
      <c r="AI116">
        <v>3776.5000000000023</v>
      </c>
      <c r="AJ116">
        <v>0</v>
      </c>
      <c r="AK116">
        <v>-3776.5000000000023</v>
      </c>
      <c r="AL116">
        <v>9245.5900000000147</v>
      </c>
      <c r="AM116">
        <v>13013.339999999947</v>
      </c>
      <c r="AN116">
        <v>3767.7500000000027</v>
      </c>
      <c r="AO116">
        <v>337</v>
      </c>
    </row>
    <row r="117" spans="1:41" x14ac:dyDescent="0.35">
      <c r="A117">
        <v>2024</v>
      </c>
      <c r="B117">
        <v>1</v>
      </c>
      <c r="C117">
        <v>3</v>
      </c>
      <c r="D117" s="14">
        <v>45308</v>
      </c>
      <c r="E117" t="s">
        <v>44</v>
      </c>
      <c r="F117" t="s">
        <v>47</v>
      </c>
      <c r="G117" t="s">
        <v>49</v>
      </c>
      <c r="H117">
        <v>17075.999999999996</v>
      </c>
      <c r="I117">
        <v>17075.999999999996</v>
      </c>
      <c r="J117">
        <v>0</v>
      </c>
      <c r="K117">
        <v>294.40999999999997</v>
      </c>
      <c r="L117">
        <v>294.40999999999997</v>
      </c>
      <c r="M117">
        <v>0</v>
      </c>
      <c r="N117">
        <v>139.91999999999999</v>
      </c>
      <c r="O117">
        <v>139.91999999999999</v>
      </c>
      <c r="P117">
        <v>0</v>
      </c>
      <c r="Q117">
        <v>-4618.3499999999967</v>
      </c>
      <c r="R117">
        <v>-4790.3499999999967</v>
      </c>
      <c r="S117">
        <v>-172</v>
      </c>
      <c r="T117">
        <v>-15</v>
      </c>
      <c r="U117">
        <v>-15</v>
      </c>
      <c r="V117">
        <v>0</v>
      </c>
      <c r="W117">
        <v>0</v>
      </c>
      <c r="X117">
        <v>0</v>
      </c>
      <c r="Y117">
        <v>0</v>
      </c>
      <c r="Z117">
        <v>12876.98</v>
      </c>
      <c r="AA117">
        <v>12704.98</v>
      </c>
      <c r="AB117">
        <v>-172</v>
      </c>
      <c r="AC117">
        <v>171</v>
      </c>
      <c r="AD117">
        <v>135.5</v>
      </c>
      <c r="AE117">
        <v>-35.5</v>
      </c>
      <c r="AF117">
        <v>12705.98</v>
      </c>
      <c r="AG117">
        <v>12569.48</v>
      </c>
      <c r="AH117">
        <v>-136.5</v>
      </c>
      <c r="AI117">
        <v>2510.2600000000016</v>
      </c>
      <c r="AJ117">
        <v>0</v>
      </c>
      <c r="AK117">
        <v>-2510.2600000000016</v>
      </c>
      <c r="AL117">
        <v>10195.720000000003</v>
      </c>
      <c r="AM117">
        <v>12569.48</v>
      </c>
      <c r="AN117">
        <v>2373.7600000000011</v>
      </c>
      <c r="AO117">
        <v>253</v>
      </c>
    </row>
    <row r="118" spans="1:41" x14ac:dyDescent="0.35">
      <c r="A118">
        <v>2024</v>
      </c>
      <c r="B118">
        <v>1</v>
      </c>
      <c r="C118">
        <v>3</v>
      </c>
      <c r="D118" s="14">
        <v>45308</v>
      </c>
      <c r="E118" t="s">
        <v>44</v>
      </c>
      <c r="F118" t="s">
        <v>47</v>
      </c>
      <c r="G118" t="s">
        <v>50</v>
      </c>
      <c r="H118">
        <v>18180.749999999996</v>
      </c>
      <c r="I118">
        <v>18180.749999999996</v>
      </c>
      <c r="J118">
        <v>0</v>
      </c>
      <c r="K118">
        <v>496.51999999999975</v>
      </c>
      <c r="L118">
        <v>496.51999999999975</v>
      </c>
      <c r="M118">
        <v>0</v>
      </c>
      <c r="N118">
        <v>677.58000000000027</v>
      </c>
      <c r="O118">
        <v>677.58000000000027</v>
      </c>
      <c r="P118">
        <v>0</v>
      </c>
      <c r="Q118">
        <v>-4917.71</v>
      </c>
      <c r="R118">
        <v>-6114.08</v>
      </c>
      <c r="S118">
        <v>-1196.3699999999999</v>
      </c>
      <c r="T118">
        <v>-20</v>
      </c>
      <c r="U118">
        <v>-20</v>
      </c>
      <c r="V118">
        <v>0</v>
      </c>
      <c r="W118">
        <v>-54.98</v>
      </c>
      <c r="X118">
        <v>-54.98</v>
      </c>
      <c r="Y118">
        <v>0</v>
      </c>
      <c r="Z118">
        <v>14362.159999999983</v>
      </c>
      <c r="AA118">
        <v>13165.789999999983</v>
      </c>
      <c r="AB118">
        <v>-1196.3699999999999</v>
      </c>
      <c r="AC118">
        <v>1567.94</v>
      </c>
      <c r="AD118">
        <v>1291.6200000000003</v>
      </c>
      <c r="AE118">
        <v>-276.32</v>
      </c>
      <c r="AF118">
        <v>12794.219999999992</v>
      </c>
      <c r="AG118">
        <v>11874.169999999991</v>
      </c>
      <c r="AH118">
        <v>-920.04999999999984</v>
      </c>
      <c r="AI118">
        <v>-732.8599999999999</v>
      </c>
      <c r="AJ118">
        <v>0</v>
      </c>
      <c r="AK118">
        <v>732.8599999999999</v>
      </c>
      <c r="AL118">
        <v>13527.079999999991</v>
      </c>
      <c r="AM118">
        <v>11874.169999999991</v>
      </c>
      <c r="AN118">
        <v>-1652.9100000000008</v>
      </c>
      <c r="AO118">
        <v>232</v>
      </c>
    </row>
    <row r="119" spans="1:41" x14ac:dyDescent="0.35">
      <c r="A119">
        <v>2024</v>
      </c>
      <c r="B119">
        <v>1</v>
      </c>
      <c r="C119">
        <v>3</v>
      </c>
      <c r="D119" s="14">
        <v>45308</v>
      </c>
      <c r="E119" t="s">
        <v>44</v>
      </c>
      <c r="F119" t="s">
        <v>47</v>
      </c>
      <c r="G119" t="s">
        <v>51</v>
      </c>
      <c r="H119">
        <v>6021.75</v>
      </c>
      <c r="I119">
        <v>6021.75</v>
      </c>
      <c r="J119">
        <v>0</v>
      </c>
      <c r="K119">
        <v>40.92</v>
      </c>
      <c r="L119">
        <v>40.92</v>
      </c>
      <c r="M119">
        <v>0</v>
      </c>
      <c r="N119">
        <v>0</v>
      </c>
      <c r="O119">
        <v>0</v>
      </c>
      <c r="P119">
        <v>0</v>
      </c>
      <c r="Q119">
        <v>-1337.1</v>
      </c>
      <c r="R119">
        <v>-1351.1</v>
      </c>
      <c r="S119">
        <v>-14</v>
      </c>
      <c r="T119">
        <v>-12</v>
      </c>
      <c r="U119">
        <v>-12</v>
      </c>
      <c r="V119">
        <v>0</v>
      </c>
      <c r="W119">
        <v>0</v>
      </c>
      <c r="X119">
        <v>0</v>
      </c>
      <c r="Y119">
        <v>0</v>
      </c>
      <c r="Z119">
        <v>4713.57</v>
      </c>
      <c r="AA119">
        <v>4699.57</v>
      </c>
      <c r="AB119">
        <v>-14</v>
      </c>
      <c r="AC119">
        <v>22.080000000000002</v>
      </c>
      <c r="AD119">
        <v>16.66</v>
      </c>
      <c r="AE119">
        <v>-5.42</v>
      </c>
      <c r="AF119">
        <v>4691.4899999999989</v>
      </c>
      <c r="AG119">
        <v>4682.9099999999989</v>
      </c>
      <c r="AH119">
        <v>-8.5799999999999983</v>
      </c>
      <c r="AI119">
        <v>1140.7200000000003</v>
      </c>
      <c r="AJ119">
        <v>0</v>
      </c>
      <c r="AK119">
        <v>-1140.7200000000003</v>
      </c>
      <c r="AL119">
        <v>3550.7700000000009</v>
      </c>
      <c r="AM119">
        <v>4682.9099999999989</v>
      </c>
      <c r="AN119">
        <v>1132.1400000000003</v>
      </c>
      <c r="AO119">
        <v>97</v>
      </c>
    </row>
    <row r="120" spans="1:41" x14ac:dyDescent="0.35">
      <c r="A120">
        <v>2024</v>
      </c>
      <c r="B120">
        <v>1</v>
      </c>
      <c r="C120">
        <v>3</v>
      </c>
      <c r="D120" s="14">
        <v>45309</v>
      </c>
      <c r="E120" t="s">
        <v>41</v>
      </c>
      <c r="F120" t="s">
        <v>42</v>
      </c>
      <c r="G120" t="s">
        <v>43</v>
      </c>
      <c r="H120">
        <v>93646.25</v>
      </c>
      <c r="I120">
        <v>93756.25</v>
      </c>
      <c r="J120">
        <v>110</v>
      </c>
      <c r="K120">
        <v>1341.7300000000114</v>
      </c>
      <c r="L120">
        <v>1341.7300000000114</v>
      </c>
      <c r="M120">
        <v>0</v>
      </c>
      <c r="N120">
        <v>1579.8800000000008</v>
      </c>
      <c r="O120">
        <v>1579.8800000000008</v>
      </c>
      <c r="P120">
        <v>0</v>
      </c>
      <c r="Q120">
        <v>-10158.279999999999</v>
      </c>
      <c r="R120">
        <v>-9510.2799999999988</v>
      </c>
      <c r="S120">
        <v>648</v>
      </c>
      <c r="T120">
        <v>-7.1700000000000017</v>
      </c>
      <c r="U120">
        <v>-7.1700000000000017</v>
      </c>
      <c r="V120">
        <v>0</v>
      </c>
      <c r="W120">
        <v>-100</v>
      </c>
      <c r="X120">
        <v>-100</v>
      </c>
      <c r="Y120">
        <v>0</v>
      </c>
      <c r="Z120">
        <v>86302.410000000382</v>
      </c>
      <c r="AA120">
        <v>87060.410000000411</v>
      </c>
      <c r="AB120">
        <v>758</v>
      </c>
      <c r="AC120">
        <v>30425.179999999647</v>
      </c>
      <c r="AD120">
        <v>10484.23000000001</v>
      </c>
      <c r="AE120">
        <v>-19940.949999999928</v>
      </c>
      <c r="AF120">
        <v>55877.230000000403</v>
      </c>
      <c r="AG120">
        <v>76576.179999999993</v>
      </c>
      <c r="AH120">
        <v>20698.949999999928</v>
      </c>
      <c r="AI120">
        <v>-4967.6500000000015</v>
      </c>
      <c r="AJ120">
        <v>0</v>
      </c>
      <c r="AK120">
        <v>4967.6500000000015</v>
      </c>
      <c r="AL120">
        <v>60844.880000000267</v>
      </c>
      <c r="AM120">
        <v>76576.179999999993</v>
      </c>
      <c r="AN120">
        <v>15731.300000000023</v>
      </c>
      <c r="AO120">
        <v>1766</v>
      </c>
    </row>
    <row r="121" spans="1:41" x14ac:dyDescent="0.35">
      <c r="A121">
        <v>2024</v>
      </c>
      <c r="B121">
        <v>1</v>
      </c>
      <c r="C121">
        <v>3</v>
      </c>
      <c r="D121" s="14">
        <v>45309</v>
      </c>
      <c r="E121" t="s">
        <v>44</v>
      </c>
      <c r="F121" t="s">
        <v>42</v>
      </c>
      <c r="G121" t="s">
        <v>45</v>
      </c>
      <c r="H121">
        <v>96835.25</v>
      </c>
      <c r="I121">
        <v>97005.25</v>
      </c>
      <c r="J121">
        <v>170</v>
      </c>
      <c r="K121">
        <v>965.33000000000516</v>
      </c>
      <c r="L121">
        <v>965.33000000000516</v>
      </c>
      <c r="M121">
        <v>0</v>
      </c>
      <c r="N121">
        <v>4173.2099999999718</v>
      </c>
      <c r="O121">
        <v>4164.2199999999721</v>
      </c>
      <c r="P121">
        <v>-8.99</v>
      </c>
      <c r="Q121">
        <v>-17648.189999999999</v>
      </c>
      <c r="R121">
        <v>-17255.93</v>
      </c>
      <c r="S121">
        <v>392.26000000000005</v>
      </c>
      <c r="T121">
        <v>-1.37</v>
      </c>
      <c r="U121">
        <v>-1.37</v>
      </c>
      <c r="V121">
        <v>0</v>
      </c>
      <c r="W121">
        <v>-125.98</v>
      </c>
      <c r="X121">
        <v>-125.98</v>
      </c>
      <c r="Y121">
        <v>0</v>
      </c>
      <c r="Z121">
        <v>84198.250000000044</v>
      </c>
      <c r="AA121">
        <v>84751.520000000048</v>
      </c>
      <c r="AB121">
        <v>553.26999999999987</v>
      </c>
      <c r="AC121">
        <v>15648.149999999969</v>
      </c>
      <c r="AD121">
        <v>6920.4300000000112</v>
      </c>
      <c r="AE121">
        <v>-8727.7200000000194</v>
      </c>
      <c r="AF121">
        <v>68550.10000000002</v>
      </c>
      <c r="AG121">
        <v>77831.089999999967</v>
      </c>
      <c r="AH121">
        <v>9280.9900000000143</v>
      </c>
      <c r="AI121">
        <v>-3573.0400000000022</v>
      </c>
      <c r="AJ121">
        <v>0</v>
      </c>
      <c r="AK121">
        <v>3573.0400000000022</v>
      </c>
      <c r="AL121">
        <v>72123.140000000087</v>
      </c>
      <c r="AM121">
        <v>77831.089999999967</v>
      </c>
      <c r="AN121">
        <v>5707.9500000000162</v>
      </c>
      <c r="AO121">
        <v>1372</v>
      </c>
    </row>
    <row r="122" spans="1:41" x14ac:dyDescent="0.35">
      <c r="A122">
        <v>2024</v>
      </c>
      <c r="B122">
        <v>1</v>
      </c>
      <c r="C122">
        <v>3</v>
      </c>
      <c r="D122" s="14">
        <v>45309</v>
      </c>
      <c r="E122" t="s">
        <v>44</v>
      </c>
      <c r="F122" t="s">
        <v>42</v>
      </c>
      <c r="G122" t="s">
        <v>46</v>
      </c>
      <c r="H122">
        <v>39427.560000000041</v>
      </c>
      <c r="I122">
        <v>39483.560000000041</v>
      </c>
      <c r="J122">
        <v>56</v>
      </c>
      <c r="K122">
        <v>351.61999999999966</v>
      </c>
      <c r="L122">
        <v>351.61999999999966</v>
      </c>
      <c r="M122">
        <v>0</v>
      </c>
      <c r="N122">
        <v>893.45000000000039</v>
      </c>
      <c r="O122">
        <v>893.45000000000039</v>
      </c>
      <c r="P122">
        <v>0</v>
      </c>
      <c r="Q122">
        <v>-14390.490000000023</v>
      </c>
      <c r="R122">
        <v>-14023.410000000022</v>
      </c>
      <c r="S122">
        <v>367.08</v>
      </c>
      <c r="T122">
        <v>0</v>
      </c>
      <c r="U122">
        <v>0</v>
      </c>
      <c r="V122">
        <v>0</v>
      </c>
      <c r="W122">
        <v>-5</v>
      </c>
      <c r="X122">
        <v>-5</v>
      </c>
      <c r="Y122">
        <v>0</v>
      </c>
      <c r="Z122">
        <v>26277.140000000021</v>
      </c>
      <c r="AA122">
        <v>26700.220000000023</v>
      </c>
      <c r="AB122">
        <v>423.08000000000004</v>
      </c>
      <c r="AC122">
        <v>5901.5100000000093</v>
      </c>
      <c r="AD122">
        <v>2721.2800000000016</v>
      </c>
      <c r="AE122">
        <v>-3180.2300000000023</v>
      </c>
      <c r="AF122">
        <v>20375.630000000034</v>
      </c>
      <c r="AG122">
        <v>23978.940000000024</v>
      </c>
      <c r="AH122">
        <v>3603.3100000000036</v>
      </c>
      <c r="AI122">
        <v>-773.73999999999955</v>
      </c>
      <c r="AJ122">
        <v>0</v>
      </c>
      <c r="AK122">
        <v>773.73999999999955</v>
      </c>
      <c r="AL122">
        <v>21149.370000000035</v>
      </c>
      <c r="AM122">
        <v>23978.940000000024</v>
      </c>
      <c r="AN122">
        <v>2829.5700000000024</v>
      </c>
      <c r="AO122">
        <v>521</v>
      </c>
    </row>
    <row r="123" spans="1:41" x14ac:dyDescent="0.35">
      <c r="A123">
        <v>2024</v>
      </c>
      <c r="B123">
        <v>1</v>
      </c>
      <c r="C123">
        <v>3</v>
      </c>
      <c r="D123" s="14">
        <v>45309</v>
      </c>
      <c r="E123" t="s">
        <v>44</v>
      </c>
      <c r="F123" t="s">
        <v>47</v>
      </c>
      <c r="G123" t="s">
        <v>48</v>
      </c>
      <c r="H123">
        <v>8260.2100000000173</v>
      </c>
      <c r="I123">
        <v>8260.2100000000173</v>
      </c>
      <c r="J123">
        <v>0</v>
      </c>
      <c r="K123">
        <v>632.68000000000006</v>
      </c>
      <c r="L123">
        <v>632.68000000000006</v>
      </c>
      <c r="M123">
        <v>0</v>
      </c>
      <c r="N123">
        <v>18.989999999999998</v>
      </c>
      <c r="O123">
        <v>18.989999999999998</v>
      </c>
      <c r="P123">
        <v>0</v>
      </c>
      <c r="Q123">
        <v>-1007.7599999999998</v>
      </c>
      <c r="R123">
        <v>-1007.7599999999998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7904.1200000000154</v>
      </c>
      <c r="AA123">
        <v>7904.1200000000154</v>
      </c>
      <c r="AB123">
        <v>0</v>
      </c>
      <c r="AC123">
        <v>61.260000000000005</v>
      </c>
      <c r="AE123">
        <v>-61.260000000000005</v>
      </c>
      <c r="AF123">
        <v>7842.8600000000151</v>
      </c>
      <c r="AG123">
        <v>7904.1200000000154</v>
      </c>
      <c r="AH123">
        <v>61.260000000000005</v>
      </c>
      <c r="AI123">
        <v>2645.0199999999932</v>
      </c>
      <c r="AJ123">
        <v>0</v>
      </c>
      <c r="AK123">
        <v>-2645.0199999999932</v>
      </c>
      <c r="AL123">
        <v>5197.8399999999983</v>
      </c>
      <c r="AM123">
        <v>7904.1200000000154</v>
      </c>
      <c r="AN123">
        <v>2706.2799999999938</v>
      </c>
      <c r="AO123">
        <v>277</v>
      </c>
    </row>
    <row r="124" spans="1:41" x14ac:dyDescent="0.35">
      <c r="A124">
        <v>2024</v>
      </c>
      <c r="B124">
        <v>1</v>
      </c>
      <c r="C124">
        <v>3</v>
      </c>
      <c r="D124" s="14">
        <v>45309</v>
      </c>
      <c r="E124" t="s">
        <v>44</v>
      </c>
      <c r="F124" t="s">
        <v>47</v>
      </c>
      <c r="G124" t="s">
        <v>49</v>
      </c>
      <c r="H124">
        <v>13715.15</v>
      </c>
      <c r="I124">
        <v>13722.15</v>
      </c>
      <c r="J124">
        <v>7</v>
      </c>
      <c r="K124">
        <v>306.88999999999993</v>
      </c>
      <c r="L124">
        <v>306.88999999999993</v>
      </c>
      <c r="M124">
        <v>0</v>
      </c>
      <c r="N124">
        <v>110.92999999999999</v>
      </c>
      <c r="O124">
        <v>110.92999999999999</v>
      </c>
      <c r="P124">
        <v>0</v>
      </c>
      <c r="Q124">
        <v>-5186.5499999999965</v>
      </c>
      <c r="R124">
        <v>-5181.5499999999965</v>
      </c>
      <c r="S124">
        <v>5</v>
      </c>
      <c r="T124">
        <v>-62.2</v>
      </c>
      <c r="U124">
        <v>-62.2</v>
      </c>
      <c r="V124">
        <v>0</v>
      </c>
      <c r="W124">
        <v>-5</v>
      </c>
      <c r="X124">
        <v>-5</v>
      </c>
      <c r="Y124">
        <v>0</v>
      </c>
      <c r="Z124">
        <v>8879.2200000000012</v>
      </c>
      <c r="AA124">
        <v>8891.2200000000012</v>
      </c>
      <c r="AB124">
        <v>12</v>
      </c>
      <c r="AC124">
        <v>233.68</v>
      </c>
      <c r="AD124">
        <v>98.18</v>
      </c>
      <c r="AE124">
        <v>-135.49999999999997</v>
      </c>
      <c r="AF124">
        <v>8645.5400000000027</v>
      </c>
      <c r="AG124">
        <v>8793.0400000000027</v>
      </c>
      <c r="AH124">
        <v>147.5</v>
      </c>
      <c r="AI124">
        <v>1927.2499999999984</v>
      </c>
      <c r="AJ124">
        <v>0</v>
      </c>
      <c r="AK124">
        <v>-1927.2499999999984</v>
      </c>
      <c r="AL124">
        <v>6718.2900000000036</v>
      </c>
      <c r="AM124">
        <v>8793.0400000000027</v>
      </c>
      <c r="AN124">
        <v>2074.7499999999986</v>
      </c>
      <c r="AO124">
        <v>162</v>
      </c>
    </row>
    <row r="125" spans="1:41" x14ac:dyDescent="0.35">
      <c r="A125">
        <v>2024</v>
      </c>
      <c r="B125">
        <v>1</v>
      </c>
      <c r="C125">
        <v>3</v>
      </c>
      <c r="D125" s="14">
        <v>45309</v>
      </c>
      <c r="E125" t="s">
        <v>44</v>
      </c>
      <c r="F125" t="s">
        <v>47</v>
      </c>
      <c r="G125" t="s">
        <v>50</v>
      </c>
      <c r="H125">
        <v>22311.599999999999</v>
      </c>
      <c r="I125">
        <v>22415.599999999999</v>
      </c>
      <c r="J125">
        <v>104</v>
      </c>
      <c r="K125">
        <v>495.50999999999948</v>
      </c>
      <c r="L125">
        <v>495.50999999999948</v>
      </c>
      <c r="M125">
        <v>0</v>
      </c>
      <c r="N125">
        <v>755.52000000000032</v>
      </c>
      <c r="O125">
        <v>755.52000000000032</v>
      </c>
      <c r="P125">
        <v>0</v>
      </c>
      <c r="Q125">
        <v>-7529.68</v>
      </c>
      <c r="R125">
        <v>-7388.84</v>
      </c>
      <c r="S125">
        <v>140.84000000000003</v>
      </c>
      <c r="T125">
        <v>-10</v>
      </c>
      <c r="U125">
        <v>-10</v>
      </c>
      <c r="V125">
        <v>0</v>
      </c>
      <c r="W125">
        <v>-15</v>
      </c>
      <c r="X125">
        <v>-15</v>
      </c>
      <c r="Y125">
        <v>0</v>
      </c>
      <c r="Z125">
        <v>16007.949999999986</v>
      </c>
      <c r="AA125">
        <v>16252.789999999983</v>
      </c>
      <c r="AB125">
        <v>244.83999999999997</v>
      </c>
      <c r="AC125">
        <v>2486.6700000000023</v>
      </c>
      <c r="AD125">
        <v>1206.3</v>
      </c>
      <c r="AE125">
        <v>-1280.3699999999994</v>
      </c>
      <c r="AF125">
        <v>13521.280000000008</v>
      </c>
      <c r="AG125">
        <v>15046.489999999991</v>
      </c>
      <c r="AH125">
        <v>1525.2100000000003</v>
      </c>
      <c r="AI125">
        <v>-708.43000000000018</v>
      </c>
      <c r="AJ125">
        <v>0</v>
      </c>
      <c r="AK125">
        <v>708.43000000000018</v>
      </c>
      <c r="AL125">
        <v>14229.71000000001</v>
      </c>
      <c r="AM125">
        <v>15046.489999999991</v>
      </c>
      <c r="AN125">
        <v>816.77999999999975</v>
      </c>
      <c r="AO125">
        <v>280</v>
      </c>
    </row>
    <row r="126" spans="1:41" x14ac:dyDescent="0.35">
      <c r="A126">
        <v>2024</v>
      </c>
      <c r="B126">
        <v>1</v>
      </c>
      <c r="C126">
        <v>3</v>
      </c>
      <c r="D126" s="14">
        <v>45309</v>
      </c>
      <c r="E126" t="s">
        <v>44</v>
      </c>
      <c r="F126" t="s">
        <v>47</v>
      </c>
      <c r="G126" t="s">
        <v>51</v>
      </c>
      <c r="H126">
        <v>4211.53</v>
      </c>
      <c r="I126">
        <v>4211.53</v>
      </c>
      <c r="J126">
        <v>0</v>
      </c>
      <c r="K126">
        <v>108.16</v>
      </c>
      <c r="L126">
        <v>108.16</v>
      </c>
      <c r="M126">
        <v>0</v>
      </c>
      <c r="N126">
        <v>0</v>
      </c>
      <c r="O126">
        <v>0</v>
      </c>
      <c r="P126">
        <v>0</v>
      </c>
      <c r="Q126">
        <v>-1275.4299999999996</v>
      </c>
      <c r="R126">
        <v>-1275.4299999999996</v>
      </c>
      <c r="S126">
        <v>0</v>
      </c>
      <c r="T126">
        <v>-8</v>
      </c>
      <c r="U126">
        <v>-8</v>
      </c>
      <c r="V126">
        <v>0</v>
      </c>
      <c r="W126">
        <v>0</v>
      </c>
      <c r="X126">
        <v>0</v>
      </c>
      <c r="Y126">
        <v>0</v>
      </c>
      <c r="Z126">
        <v>3036.26</v>
      </c>
      <c r="AA126">
        <v>3036.26</v>
      </c>
      <c r="AB126">
        <v>0</v>
      </c>
      <c r="AC126">
        <v>52.089999999999996</v>
      </c>
      <c r="AD126">
        <v>35.43</v>
      </c>
      <c r="AE126">
        <v>-16.66</v>
      </c>
      <c r="AF126">
        <v>2984.17</v>
      </c>
      <c r="AG126">
        <v>3000.83</v>
      </c>
      <c r="AH126">
        <v>16.659999999999997</v>
      </c>
      <c r="AI126">
        <v>742.0100000000001</v>
      </c>
      <c r="AJ126">
        <v>0</v>
      </c>
      <c r="AK126">
        <v>-742.0100000000001</v>
      </c>
      <c r="AL126">
        <v>2242.1599999999994</v>
      </c>
      <c r="AM126">
        <v>3000.83</v>
      </c>
      <c r="AN126">
        <v>758.6700000000003</v>
      </c>
      <c r="AO126">
        <v>72</v>
      </c>
    </row>
    <row r="127" spans="1:41" x14ac:dyDescent="0.35">
      <c r="A127">
        <v>2024</v>
      </c>
      <c r="B127">
        <v>1</v>
      </c>
      <c r="C127">
        <v>3</v>
      </c>
      <c r="D127" s="14">
        <v>45310</v>
      </c>
      <c r="E127" t="s">
        <v>41</v>
      </c>
      <c r="F127" t="s">
        <v>42</v>
      </c>
      <c r="G127" t="s">
        <v>43</v>
      </c>
      <c r="H127">
        <v>73226.25</v>
      </c>
      <c r="I127">
        <v>73412.25</v>
      </c>
      <c r="J127">
        <v>186</v>
      </c>
      <c r="K127">
        <v>1040.2600000000084</v>
      </c>
      <c r="L127">
        <v>1040.2600000000084</v>
      </c>
      <c r="M127">
        <v>0</v>
      </c>
      <c r="N127">
        <v>1517.9100000000008</v>
      </c>
      <c r="O127">
        <v>1517.9100000000008</v>
      </c>
      <c r="P127">
        <v>0</v>
      </c>
      <c r="Q127">
        <v>-8066.4</v>
      </c>
      <c r="R127">
        <v>-7739.4</v>
      </c>
      <c r="S127">
        <v>327</v>
      </c>
      <c r="T127">
        <v>-11.170000000000002</v>
      </c>
      <c r="U127">
        <v>-11.170000000000002</v>
      </c>
      <c r="V127">
        <v>0</v>
      </c>
      <c r="W127">
        <v>-55</v>
      </c>
      <c r="X127">
        <v>-55</v>
      </c>
      <c r="Y127">
        <v>0</v>
      </c>
      <c r="Z127">
        <v>67651.849999999657</v>
      </c>
      <c r="AA127">
        <v>68164.849999999671</v>
      </c>
      <c r="AB127">
        <v>513</v>
      </c>
      <c r="AC127">
        <v>19857.07999999986</v>
      </c>
      <c r="AD127">
        <v>9373.9900000000034</v>
      </c>
      <c r="AE127">
        <v>-10483.090000000006</v>
      </c>
      <c r="AF127">
        <v>47794.770000000244</v>
      </c>
      <c r="AG127">
        <v>58790.859999999942</v>
      </c>
      <c r="AH127">
        <v>10996.090000000007</v>
      </c>
      <c r="AI127">
        <v>-4508.0300000000016</v>
      </c>
      <c r="AJ127">
        <v>0</v>
      </c>
      <c r="AK127">
        <v>4508.0300000000016</v>
      </c>
      <c r="AL127">
        <v>52302.80000000009</v>
      </c>
      <c r="AM127">
        <v>58790.859999999942</v>
      </c>
      <c r="AN127">
        <v>6488.0600000000195</v>
      </c>
      <c r="AO127">
        <v>1379</v>
      </c>
    </row>
    <row r="128" spans="1:41" x14ac:dyDescent="0.35">
      <c r="A128">
        <v>2024</v>
      </c>
      <c r="B128">
        <v>1</v>
      </c>
      <c r="C128">
        <v>3</v>
      </c>
      <c r="D128" s="14">
        <v>45310</v>
      </c>
      <c r="E128" t="s">
        <v>44</v>
      </c>
      <c r="F128" t="s">
        <v>42</v>
      </c>
      <c r="G128" t="s">
        <v>45</v>
      </c>
      <c r="H128">
        <v>94399.5</v>
      </c>
      <c r="I128">
        <v>94718.5</v>
      </c>
      <c r="J128">
        <v>319</v>
      </c>
      <c r="K128">
        <v>898.080000000003</v>
      </c>
      <c r="L128">
        <v>928.08000000000311</v>
      </c>
      <c r="M128">
        <v>30</v>
      </c>
      <c r="N128">
        <v>4239.159999999968</v>
      </c>
      <c r="O128">
        <v>4223.1699999999682</v>
      </c>
      <c r="P128">
        <v>-15.99</v>
      </c>
      <c r="Q128">
        <v>-16788.149999999994</v>
      </c>
      <c r="R128">
        <v>-16685.259999999998</v>
      </c>
      <c r="S128">
        <v>102.89000000000001</v>
      </c>
      <c r="T128">
        <v>-6.64</v>
      </c>
      <c r="U128">
        <v>-6.64</v>
      </c>
      <c r="V128">
        <v>0</v>
      </c>
      <c r="W128">
        <v>-94.49</v>
      </c>
      <c r="X128">
        <v>-94.49</v>
      </c>
      <c r="Y128">
        <v>0</v>
      </c>
      <c r="Z128">
        <v>82647.460000000108</v>
      </c>
      <c r="AA128">
        <v>83083.360000000132</v>
      </c>
      <c r="AB128">
        <v>435.89999999999992</v>
      </c>
      <c r="AC128">
        <v>15010.26999999992</v>
      </c>
      <c r="AD128">
        <v>8268.9600000000191</v>
      </c>
      <c r="AE128">
        <v>-6741.3100000000113</v>
      </c>
      <c r="AF128">
        <v>67637.190000000061</v>
      </c>
      <c r="AG128">
        <v>74814.400000000038</v>
      </c>
      <c r="AH128">
        <v>7177.2100000000128</v>
      </c>
      <c r="AI128">
        <v>-4043.3300000000054</v>
      </c>
      <c r="AJ128">
        <v>0</v>
      </c>
      <c r="AK128">
        <v>4043.3300000000054</v>
      </c>
      <c r="AL128">
        <v>71680.520000000106</v>
      </c>
      <c r="AM128">
        <v>74814.400000000038</v>
      </c>
      <c r="AN128">
        <v>3133.8800000000024</v>
      </c>
      <c r="AO128">
        <v>1342</v>
      </c>
    </row>
    <row r="129" spans="1:41" x14ac:dyDescent="0.35">
      <c r="A129">
        <v>2024</v>
      </c>
      <c r="B129">
        <v>1</v>
      </c>
      <c r="C129">
        <v>3</v>
      </c>
      <c r="D129" s="14">
        <v>45310</v>
      </c>
      <c r="E129" t="s">
        <v>44</v>
      </c>
      <c r="F129" t="s">
        <v>42</v>
      </c>
      <c r="G129" t="s">
        <v>46</v>
      </c>
      <c r="H129">
        <v>43323.830000000045</v>
      </c>
      <c r="I129">
        <v>43422.830000000045</v>
      </c>
      <c r="J129">
        <v>99</v>
      </c>
      <c r="K129">
        <v>336.00999999999902</v>
      </c>
      <c r="L129">
        <v>336.00999999999902</v>
      </c>
      <c r="M129">
        <v>0</v>
      </c>
      <c r="N129">
        <v>1014.3800000000005</v>
      </c>
      <c r="O129">
        <v>1014.3800000000005</v>
      </c>
      <c r="P129">
        <v>0</v>
      </c>
      <c r="Q129">
        <v>-15876.580000000027</v>
      </c>
      <c r="R129">
        <v>-15834.780000000028</v>
      </c>
      <c r="S129">
        <v>41.8</v>
      </c>
      <c r="T129">
        <v>0</v>
      </c>
      <c r="U129">
        <v>0</v>
      </c>
      <c r="V129">
        <v>0</v>
      </c>
      <c r="W129">
        <v>-10</v>
      </c>
      <c r="X129">
        <v>-10</v>
      </c>
      <c r="Y129">
        <v>0</v>
      </c>
      <c r="Z129">
        <v>28787.639999999981</v>
      </c>
      <c r="AA129">
        <v>28928.439999999977</v>
      </c>
      <c r="AB129">
        <v>140.80000000000001</v>
      </c>
      <c r="AC129">
        <v>6558.1100000000142</v>
      </c>
      <c r="AD129">
        <v>3855.1700000000055</v>
      </c>
      <c r="AE129">
        <v>-2702.9400000000005</v>
      </c>
      <c r="AF129">
        <v>22229.530000000057</v>
      </c>
      <c r="AG129">
        <v>25073.270000000026</v>
      </c>
      <c r="AH129">
        <v>2843.7400000000011</v>
      </c>
      <c r="AI129">
        <v>-1294.1899999999994</v>
      </c>
      <c r="AJ129">
        <v>0</v>
      </c>
      <c r="AK129">
        <v>1294.1899999999994</v>
      </c>
      <c r="AL129">
        <v>23523.720000000045</v>
      </c>
      <c r="AM129">
        <v>25073.270000000026</v>
      </c>
      <c r="AN129">
        <v>1549.5500000000011</v>
      </c>
      <c r="AO129">
        <v>561</v>
      </c>
    </row>
    <row r="130" spans="1:41" x14ac:dyDescent="0.35">
      <c r="A130">
        <v>2024</v>
      </c>
      <c r="B130">
        <v>1</v>
      </c>
      <c r="C130">
        <v>3</v>
      </c>
      <c r="D130" s="14">
        <v>45310</v>
      </c>
      <c r="E130" t="s">
        <v>44</v>
      </c>
      <c r="F130" t="s">
        <v>47</v>
      </c>
      <c r="G130" t="s">
        <v>48</v>
      </c>
      <c r="H130">
        <v>11829.199999999948</v>
      </c>
      <c r="I130">
        <v>11829.199999999948</v>
      </c>
      <c r="J130">
        <v>0</v>
      </c>
      <c r="K130">
        <v>660.00000000000011</v>
      </c>
      <c r="L130">
        <v>660.00000000000011</v>
      </c>
      <c r="M130">
        <v>0</v>
      </c>
      <c r="N130">
        <v>18.989999999999998</v>
      </c>
      <c r="O130">
        <v>18.989999999999998</v>
      </c>
      <c r="P130">
        <v>0</v>
      </c>
      <c r="Q130">
        <v>-2424.8500000000004</v>
      </c>
      <c r="R130">
        <v>-2424.8500000000004</v>
      </c>
      <c r="S130">
        <v>0</v>
      </c>
      <c r="T130">
        <v>-9.6300000000000008</v>
      </c>
      <c r="U130">
        <v>-9.6300000000000008</v>
      </c>
      <c r="V130">
        <v>0</v>
      </c>
      <c r="W130">
        <v>0</v>
      </c>
      <c r="X130">
        <v>0</v>
      </c>
      <c r="Y130">
        <v>0</v>
      </c>
      <c r="Z130">
        <v>10073.709999999968</v>
      </c>
      <c r="AA130">
        <v>10073.709999999968</v>
      </c>
      <c r="AB130">
        <v>0</v>
      </c>
      <c r="AC130">
        <v>22.380000000000003</v>
      </c>
      <c r="AD130">
        <v>22.380000000000003</v>
      </c>
      <c r="AE130">
        <v>0</v>
      </c>
      <c r="AF130">
        <v>10051.329999999969</v>
      </c>
      <c r="AG130">
        <v>10051.329999999969</v>
      </c>
      <c r="AH130">
        <v>0</v>
      </c>
      <c r="AI130">
        <v>2908.4100000000017</v>
      </c>
      <c r="AJ130">
        <v>0</v>
      </c>
      <c r="AK130">
        <v>-2908.4100000000017</v>
      </c>
      <c r="AL130">
        <v>7142.92</v>
      </c>
      <c r="AM130">
        <v>10051.329999999969</v>
      </c>
      <c r="AN130">
        <v>2908.4100000000017</v>
      </c>
      <c r="AO130">
        <v>314</v>
      </c>
    </row>
    <row r="131" spans="1:41" x14ac:dyDescent="0.35">
      <c r="A131">
        <v>2024</v>
      </c>
      <c r="B131">
        <v>1</v>
      </c>
      <c r="C131">
        <v>3</v>
      </c>
      <c r="D131" s="14">
        <v>45310</v>
      </c>
      <c r="E131" t="s">
        <v>44</v>
      </c>
      <c r="F131" t="s">
        <v>47</v>
      </c>
      <c r="G131" t="s">
        <v>49</v>
      </c>
      <c r="H131">
        <v>9696.0499999999993</v>
      </c>
      <c r="I131">
        <v>9703.0499999999993</v>
      </c>
      <c r="J131">
        <v>7</v>
      </c>
      <c r="K131">
        <v>115.43999999999998</v>
      </c>
      <c r="L131">
        <v>115.43999999999998</v>
      </c>
      <c r="M131">
        <v>0</v>
      </c>
      <c r="N131">
        <v>166.89000000000001</v>
      </c>
      <c r="O131">
        <v>166.89000000000001</v>
      </c>
      <c r="P131">
        <v>0</v>
      </c>
      <c r="Q131">
        <v>-3563.9999999999986</v>
      </c>
      <c r="R131">
        <v>-3558.9999999999986</v>
      </c>
      <c r="S131">
        <v>5</v>
      </c>
      <c r="T131">
        <v>-12.7</v>
      </c>
      <c r="U131">
        <v>-12.7</v>
      </c>
      <c r="V131">
        <v>0</v>
      </c>
      <c r="W131">
        <v>-15</v>
      </c>
      <c r="X131">
        <v>-15</v>
      </c>
      <c r="Y131">
        <v>0</v>
      </c>
      <c r="Z131">
        <v>6386.6799999999957</v>
      </c>
      <c r="AA131">
        <v>6398.6799999999957</v>
      </c>
      <c r="AB131">
        <v>12</v>
      </c>
      <c r="AC131">
        <v>228.83999999999997</v>
      </c>
      <c r="AD131">
        <v>130.66</v>
      </c>
      <c r="AE131">
        <v>-98.18</v>
      </c>
      <c r="AF131">
        <v>6157.8399999999965</v>
      </c>
      <c r="AG131">
        <v>6268.0199999999968</v>
      </c>
      <c r="AH131">
        <v>110.18</v>
      </c>
      <c r="AI131">
        <v>1360.7800000000007</v>
      </c>
      <c r="AJ131">
        <v>0</v>
      </c>
      <c r="AK131">
        <v>-1360.7800000000007</v>
      </c>
      <c r="AL131">
        <v>4797.0599999999995</v>
      </c>
      <c r="AM131">
        <v>6268.0199999999968</v>
      </c>
      <c r="AN131">
        <v>1470.9600000000007</v>
      </c>
      <c r="AO131">
        <v>121</v>
      </c>
    </row>
    <row r="132" spans="1:41" x14ac:dyDescent="0.35">
      <c r="A132">
        <v>2024</v>
      </c>
      <c r="B132">
        <v>1</v>
      </c>
      <c r="C132">
        <v>3</v>
      </c>
      <c r="D132" s="14">
        <v>45310</v>
      </c>
      <c r="E132" t="s">
        <v>44</v>
      </c>
      <c r="F132" t="s">
        <v>47</v>
      </c>
      <c r="G132" t="s">
        <v>50</v>
      </c>
      <c r="H132">
        <v>20878.55</v>
      </c>
      <c r="I132">
        <v>20941.55</v>
      </c>
      <c r="J132">
        <v>63</v>
      </c>
      <c r="K132">
        <v>371.92999999999989</v>
      </c>
      <c r="L132">
        <v>371.92999999999989</v>
      </c>
      <c r="M132">
        <v>0</v>
      </c>
      <c r="N132">
        <v>696.56000000000029</v>
      </c>
      <c r="O132">
        <v>696.56000000000029</v>
      </c>
      <c r="P132">
        <v>0</v>
      </c>
      <c r="Q132">
        <v>-6850.7200000000012</v>
      </c>
      <c r="R132">
        <v>-6810.09</v>
      </c>
      <c r="S132">
        <v>40.630000000000003</v>
      </c>
      <c r="T132">
        <v>-15</v>
      </c>
      <c r="U132">
        <v>-15</v>
      </c>
      <c r="V132">
        <v>0</v>
      </c>
      <c r="W132">
        <v>-35.99</v>
      </c>
      <c r="X132">
        <v>-35.99</v>
      </c>
      <c r="Y132">
        <v>0</v>
      </c>
      <c r="Z132">
        <v>15045.329999999987</v>
      </c>
      <c r="AA132">
        <v>15148.959999999986</v>
      </c>
      <c r="AB132">
        <v>103.63</v>
      </c>
      <c r="AC132">
        <v>2161.0000000000018</v>
      </c>
      <c r="AD132">
        <v>954.7</v>
      </c>
      <c r="AE132">
        <v>-1206.3000000000006</v>
      </c>
      <c r="AF132">
        <v>12884.330000000002</v>
      </c>
      <c r="AG132">
        <v>14194.259999999997</v>
      </c>
      <c r="AH132">
        <v>1309.9300000000005</v>
      </c>
      <c r="AI132">
        <v>-534.80000000000007</v>
      </c>
      <c r="AJ132">
        <v>0</v>
      </c>
      <c r="AK132">
        <v>534.80000000000007</v>
      </c>
      <c r="AL132">
        <v>13419.130000000005</v>
      </c>
      <c r="AM132">
        <v>14194.259999999997</v>
      </c>
      <c r="AN132">
        <v>775.12999999999954</v>
      </c>
      <c r="AO132">
        <v>259</v>
      </c>
    </row>
    <row r="133" spans="1:41" x14ac:dyDescent="0.35">
      <c r="A133">
        <v>2024</v>
      </c>
      <c r="B133">
        <v>1</v>
      </c>
      <c r="C133">
        <v>3</v>
      </c>
      <c r="D133" s="14">
        <v>45310</v>
      </c>
      <c r="E133" t="s">
        <v>44</v>
      </c>
      <c r="F133" t="s">
        <v>47</v>
      </c>
      <c r="G133" t="s">
        <v>51</v>
      </c>
      <c r="H133">
        <v>3446.63</v>
      </c>
      <c r="I133">
        <v>3446.63</v>
      </c>
      <c r="J133">
        <v>0</v>
      </c>
      <c r="K133">
        <v>70.459999999999994</v>
      </c>
      <c r="L133">
        <v>70.459999999999994</v>
      </c>
      <c r="M133">
        <v>0</v>
      </c>
      <c r="N133">
        <v>0</v>
      </c>
      <c r="O133">
        <v>0</v>
      </c>
      <c r="P133">
        <v>0</v>
      </c>
      <c r="Q133">
        <v>-719.02999999999986</v>
      </c>
      <c r="R133">
        <v>-719.02999999999986</v>
      </c>
      <c r="S133">
        <v>0</v>
      </c>
      <c r="T133">
        <v>-28</v>
      </c>
      <c r="U133">
        <v>-28</v>
      </c>
      <c r="V133">
        <v>0</v>
      </c>
      <c r="W133">
        <v>0</v>
      </c>
      <c r="X133">
        <v>0</v>
      </c>
      <c r="Y133">
        <v>0</v>
      </c>
      <c r="Z133">
        <v>2770.06</v>
      </c>
      <c r="AA133">
        <v>2770.06</v>
      </c>
      <c r="AB133">
        <v>0</v>
      </c>
      <c r="AC133">
        <v>43.76</v>
      </c>
      <c r="AD133">
        <v>8.33</v>
      </c>
      <c r="AE133">
        <v>-35.43</v>
      </c>
      <c r="AF133">
        <v>2726.2999999999993</v>
      </c>
      <c r="AG133">
        <v>2761.7299999999996</v>
      </c>
      <c r="AH133">
        <v>35.430000000000007</v>
      </c>
      <c r="AI133">
        <v>452.81000000000006</v>
      </c>
      <c r="AJ133">
        <v>0</v>
      </c>
      <c r="AK133">
        <v>-452.81000000000006</v>
      </c>
      <c r="AL133">
        <v>2273.4899999999998</v>
      </c>
      <c r="AM133">
        <v>2761.7299999999996</v>
      </c>
      <c r="AN133">
        <v>488.24000000000007</v>
      </c>
      <c r="AO133">
        <v>63</v>
      </c>
    </row>
    <row r="134" spans="1:41" x14ac:dyDescent="0.35">
      <c r="A134">
        <v>2024</v>
      </c>
      <c r="B134">
        <v>1</v>
      </c>
      <c r="C134">
        <v>3</v>
      </c>
      <c r="D134" s="14">
        <v>45311</v>
      </c>
      <c r="E134" t="s">
        <v>41</v>
      </c>
      <c r="F134" t="s">
        <v>42</v>
      </c>
      <c r="G134" t="s">
        <v>43</v>
      </c>
      <c r="H134">
        <v>108956</v>
      </c>
      <c r="I134">
        <v>109036</v>
      </c>
      <c r="J134">
        <v>80</v>
      </c>
      <c r="K134">
        <v>1593.1300000000131</v>
      </c>
      <c r="L134">
        <v>1607.1300000000133</v>
      </c>
      <c r="M134">
        <v>14</v>
      </c>
      <c r="N134">
        <v>2523.2299999999941</v>
      </c>
      <c r="O134">
        <v>2523.2299999999941</v>
      </c>
      <c r="P134">
        <v>0</v>
      </c>
      <c r="Q134">
        <v>-11353.1</v>
      </c>
      <c r="R134">
        <v>-11079.1</v>
      </c>
      <c r="S134">
        <v>274</v>
      </c>
      <c r="T134">
        <v>-14.910000000000004</v>
      </c>
      <c r="U134">
        <v>-15.370000000000005</v>
      </c>
      <c r="V134">
        <v>-0.46</v>
      </c>
      <c r="W134">
        <v>-89.39</v>
      </c>
      <c r="X134">
        <v>-89.39</v>
      </c>
      <c r="Y134">
        <v>0</v>
      </c>
      <c r="Z134">
        <v>101614.96000000082</v>
      </c>
      <c r="AA134">
        <v>101982.50000000081</v>
      </c>
      <c r="AB134">
        <v>367.53999999999996</v>
      </c>
      <c r="AC134">
        <v>29261.51999999948</v>
      </c>
      <c r="AD134">
        <v>19898.709999999821</v>
      </c>
      <c r="AE134">
        <v>-9362.8100000000122</v>
      </c>
      <c r="AF134">
        <v>72353.44000000057</v>
      </c>
      <c r="AG134">
        <v>82083.790000000488</v>
      </c>
      <c r="AH134">
        <v>9730.3500000000113</v>
      </c>
      <c r="AI134">
        <v>-9031.4999999999454</v>
      </c>
      <c r="AJ134">
        <v>0</v>
      </c>
      <c r="AK134">
        <v>9031.4999999999454</v>
      </c>
      <c r="AL134">
        <v>81384.939999999842</v>
      </c>
      <c r="AM134">
        <v>82083.790000000488</v>
      </c>
      <c r="AN134">
        <v>698.8499999999998</v>
      </c>
      <c r="AO134">
        <v>2043</v>
      </c>
    </row>
    <row r="135" spans="1:41" x14ac:dyDescent="0.35">
      <c r="A135">
        <v>2024</v>
      </c>
      <c r="B135">
        <v>1</v>
      </c>
      <c r="C135">
        <v>3</v>
      </c>
      <c r="D135" s="14">
        <v>45311</v>
      </c>
      <c r="E135" t="s">
        <v>44</v>
      </c>
      <c r="F135" t="s">
        <v>42</v>
      </c>
      <c r="G135" t="s">
        <v>45</v>
      </c>
      <c r="H135">
        <v>166697.75</v>
      </c>
      <c r="I135">
        <v>166920.75</v>
      </c>
      <c r="J135">
        <v>223</v>
      </c>
      <c r="K135">
        <v>1505.2000000000139</v>
      </c>
      <c r="L135">
        <v>1505.2000000000139</v>
      </c>
      <c r="M135">
        <v>0</v>
      </c>
      <c r="N135">
        <v>6042.9899999999434</v>
      </c>
      <c r="O135">
        <v>6011.0099999999447</v>
      </c>
      <c r="P135">
        <v>-31.98</v>
      </c>
      <c r="Q135">
        <v>-32433.69999999999</v>
      </c>
      <c r="R135">
        <v>-32197.599999999995</v>
      </c>
      <c r="S135">
        <v>236.10000000000008</v>
      </c>
      <c r="T135">
        <v>-1.9100000000000001</v>
      </c>
      <c r="U135">
        <v>-1.9100000000000001</v>
      </c>
      <c r="V135">
        <v>0</v>
      </c>
      <c r="W135">
        <v>-156.57000000000002</v>
      </c>
      <c r="X135">
        <v>-156.57000000000002</v>
      </c>
      <c r="Y135">
        <v>0</v>
      </c>
      <c r="Z135">
        <v>141653.76000000059</v>
      </c>
      <c r="AA135">
        <v>142080.88000000062</v>
      </c>
      <c r="AB135">
        <v>427.11999999999995</v>
      </c>
      <c r="AC135">
        <v>26087.599999999751</v>
      </c>
      <c r="AD135">
        <v>17897.699999999975</v>
      </c>
      <c r="AE135">
        <v>-8189.9000000000206</v>
      </c>
      <c r="AF135">
        <v>115566.16000000035</v>
      </c>
      <c r="AG135">
        <v>124183.18000000056</v>
      </c>
      <c r="AH135">
        <v>8617.0200000000132</v>
      </c>
      <c r="AI135">
        <v>-8449.720000000003</v>
      </c>
      <c r="AJ135">
        <v>0</v>
      </c>
      <c r="AK135">
        <v>8449.720000000003</v>
      </c>
      <c r="AL135">
        <v>124015.88000000021</v>
      </c>
      <c r="AM135">
        <v>124183.18000000056</v>
      </c>
      <c r="AN135">
        <v>167.30000000000234</v>
      </c>
      <c r="AO135">
        <v>2340</v>
      </c>
    </row>
    <row r="136" spans="1:41" x14ac:dyDescent="0.35">
      <c r="A136">
        <v>2024</v>
      </c>
      <c r="B136">
        <v>1</v>
      </c>
      <c r="C136">
        <v>3</v>
      </c>
      <c r="D136" s="14">
        <v>45311</v>
      </c>
      <c r="E136" t="s">
        <v>44</v>
      </c>
      <c r="F136" t="s">
        <v>42</v>
      </c>
      <c r="G136" t="s">
        <v>46</v>
      </c>
      <c r="H136">
        <v>73397.359999999928</v>
      </c>
      <c r="I136">
        <v>73478.359999999928</v>
      </c>
      <c r="J136">
        <v>81</v>
      </c>
      <c r="K136">
        <v>568.81000000000017</v>
      </c>
      <c r="L136">
        <v>568.81000000000017</v>
      </c>
      <c r="M136">
        <v>0</v>
      </c>
      <c r="N136">
        <v>1284.1700000000005</v>
      </c>
      <c r="O136">
        <v>1265.1800000000005</v>
      </c>
      <c r="P136">
        <v>-18.989999999999998</v>
      </c>
      <c r="Q136">
        <v>-27357.030000000075</v>
      </c>
      <c r="R136">
        <v>-27256.350000000064</v>
      </c>
      <c r="S136">
        <v>100.67999999999999</v>
      </c>
      <c r="T136">
        <v>0</v>
      </c>
      <c r="U136">
        <v>0</v>
      </c>
      <c r="V136">
        <v>0</v>
      </c>
      <c r="W136">
        <v>-15</v>
      </c>
      <c r="X136">
        <v>-15</v>
      </c>
      <c r="Y136">
        <v>0</v>
      </c>
      <c r="Z136">
        <v>47878.309999999881</v>
      </c>
      <c r="AA136">
        <v>48040.999999999876</v>
      </c>
      <c r="AB136">
        <v>162.69000000000005</v>
      </c>
      <c r="AC136">
        <v>11914.020000000022</v>
      </c>
      <c r="AD136">
        <v>8025.6700000000137</v>
      </c>
      <c r="AE136">
        <v>-3888.3500000000054</v>
      </c>
      <c r="AF136">
        <v>35964.290000000074</v>
      </c>
      <c r="AG136">
        <v>40015.330000000024</v>
      </c>
      <c r="AH136">
        <v>4051.0400000000059</v>
      </c>
      <c r="AI136">
        <v>-2934.6899999999932</v>
      </c>
      <c r="AJ136">
        <v>0</v>
      </c>
      <c r="AK136">
        <v>2934.6899999999932</v>
      </c>
      <c r="AL136">
        <v>38898.980000000098</v>
      </c>
      <c r="AM136">
        <v>40015.330000000024</v>
      </c>
      <c r="AN136">
        <v>1116.3500000000013</v>
      </c>
      <c r="AO136">
        <v>963</v>
      </c>
    </row>
    <row r="137" spans="1:41" x14ac:dyDescent="0.35">
      <c r="A137">
        <v>2024</v>
      </c>
      <c r="B137">
        <v>1</v>
      </c>
      <c r="C137">
        <v>3</v>
      </c>
      <c r="D137" s="14">
        <v>45311</v>
      </c>
      <c r="E137" t="s">
        <v>44</v>
      </c>
      <c r="F137" t="s">
        <v>47</v>
      </c>
      <c r="G137" t="s">
        <v>48</v>
      </c>
      <c r="H137">
        <v>9962.5999999999967</v>
      </c>
      <c r="I137">
        <v>9962.5999999999967</v>
      </c>
      <c r="J137">
        <v>0</v>
      </c>
      <c r="K137">
        <v>691.7</v>
      </c>
      <c r="L137">
        <v>691.7</v>
      </c>
      <c r="M137">
        <v>0</v>
      </c>
      <c r="N137">
        <v>24.98</v>
      </c>
      <c r="O137">
        <v>24.98</v>
      </c>
      <c r="P137">
        <v>0</v>
      </c>
      <c r="Q137">
        <v>-1646.7499999999998</v>
      </c>
      <c r="R137">
        <v>-1646.7499999999998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9032.5299999999916</v>
      </c>
      <c r="AA137">
        <v>9032.5299999999916</v>
      </c>
      <c r="AB137">
        <v>0</v>
      </c>
      <c r="AC137">
        <v>70.47</v>
      </c>
      <c r="AD137">
        <v>48.09</v>
      </c>
      <c r="AE137">
        <v>-22.380000000000003</v>
      </c>
      <c r="AF137">
        <v>8962.0599999999922</v>
      </c>
      <c r="AG137">
        <v>8984.4399999999914</v>
      </c>
      <c r="AH137">
        <v>22.379999999999995</v>
      </c>
      <c r="AI137">
        <v>3195.3500000000017</v>
      </c>
      <c r="AJ137">
        <v>0</v>
      </c>
      <c r="AK137">
        <v>-3195.3500000000017</v>
      </c>
      <c r="AL137">
        <v>5766.7099999999982</v>
      </c>
      <c r="AM137">
        <v>8984.4399999999914</v>
      </c>
      <c r="AN137">
        <v>3217.7300000000014</v>
      </c>
      <c r="AO137">
        <v>272</v>
      </c>
    </row>
    <row r="138" spans="1:41" x14ac:dyDescent="0.35">
      <c r="A138">
        <v>2024</v>
      </c>
      <c r="B138">
        <v>1</v>
      </c>
      <c r="C138">
        <v>3</v>
      </c>
      <c r="D138" s="14">
        <v>45311</v>
      </c>
      <c r="E138" t="s">
        <v>44</v>
      </c>
      <c r="F138" t="s">
        <v>47</v>
      </c>
      <c r="G138" t="s">
        <v>49</v>
      </c>
      <c r="H138">
        <v>14502.099999999999</v>
      </c>
      <c r="I138">
        <v>14524.099999999999</v>
      </c>
      <c r="J138">
        <v>22</v>
      </c>
      <c r="K138">
        <v>189.19000000000003</v>
      </c>
      <c r="L138">
        <v>189.19000000000003</v>
      </c>
      <c r="M138">
        <v>0</v>
      </c>
      <c r="N138">
        <v>159.89999999999998</v>
      </c>
      <c r="O138">
        <v>159.89999999999998</v>
      </c>
      <c r="P138">
        <v>0</v>
      </c>
      <c r="Q138">
        <v>-4116.3899999999967</v>
      </c>
      <c r="R138">
        <v>-4111.1799999999967</v>
      </c>
      <c r="S138">
        <v>5.2100000000000009</v>
      </c>
      <c r="T138">
        <v>-10</v>
      </c>
      <c r="U138">
        <v>-10</v>
      </c>
      <c r="V138">
        <v>0</v>
      </c>
      <c r="W138">
        <v>-5</v>
      </c>
      <c r="X138">
        <v>-5</v>
      </c>
      <c r="Y138">
        <v>0</v>
      </c>
      <c r="Z138">
        <v>10719.79999999999</v>
      </c>
      <c r="AA138">
        <v>10747.009999999989</v>
      </c>
      <c r="AB138">
        <v>27.21</v>
      </c>
      <c r="AC138">
        <v>260.74999999999994</v>
      </c>
      <c r="AD138">
        <v>130.09</v>
      </c>
      <c r="AE138">
        <v>-130.65999999999997</v>
      </c>
      <c r="AF138">
        <v>10459.049999999994</v>
      </c>
      <c r="AG138">
        <v>10616.919999999987</v>
      </c>
      <c r="AH138">
        <v>157.87000000000006</v>
      </c>
      <c r="AI138">
        <v>2280.6600000000021</v>
      </c>
      <c r="AJ138">
        <v>0</v>
      </c>
      <c r="AK138">
        <v>-2280.6600000000021</v>
      </c>
      <c r="AL138">
        <v>8178.390000000004</v>
      </c>
      <c r="AM138">
        <v>10616.919999999987</v>
      </c>
      <c r="AN138">
        <v>2438.530000000002</v>
      </c>
      <c r="AO138">
        <v>213</v>
      </c>
    </row>
    <row r="139" spans="1:41" x14ac:dyDescent="0.35">
      <c r="A139">
        <v>2024</v>
      </c>
      <c r="B139">
        <v>1</v>
      </c>
      <c r="C139">
        <v>3</v>
      </c>
      <c r="D139" s="14">
        <v>45311</v>
      </c>
      <c r="E139" t="s">
        <v>44</v>
      </c>
      <c r="F139" t="s">
        <v>47</v>
      </c>
      <c r="G139" t="s">
        <v>50</v>
      </c>
      <c r="H139">
        <v>29791.25</v>
      </c>
      <c r="I139">
        <v>29824.25</v>
      </c>
      <c r="J139">
        <v>33</v>
      </c>
      <c r="K139">
        <v>509.15999999999946</v>
      </c>
      <c r="L139">
        <v>509.15999999999946</v>
      </c>
      <c r="M139">
        <v>0</v>
      </c>
      <c r="N139">
        <v>1222.2000000000005</v>
      </c>
      <c r="O139">
        <v>1222.2000000000005</v>
      </c>
      <c r="P139">
        <v>0</v>
      </c>
      <c r="Q139">
        <v>-9044.010000000002</v>
      </c>
      <c r="R139">
        <v>-8957.380000000001</v>
      </c>
      <c r="S139">
        <v>86.63</v>
      </c>
      <c r="T139">
        <v>-33.4</v>
      </c>
      <c r="U139">
        <v>-33.4</v>
      </c>
      <c r="V139">
        <v>0</v>
      </c>
      <c r="W139">
        <v>-40.99</v>
      </c>
      <c r="X139">
        <v>-40.99</v>
      </c>
      <c r="Y139">
        <v>0</v>
      </c>
      <c r="Z139">
        <v>22404.210000000021</v>
      </c>
      <c r="AA139">
        <v>22523.840000000018</v>
      </c>
      <c r="AB139">
        <v>119.63000000000002</v>
      </c>
      <c r="AC139">
        <v>3271.5100000000039</v>
      </c>
      <c r="AD139">
        <v>2307.5099999999998</v>
      </c>
      <c r="AE139">
        <v>-963.99999999999943</v>
      </c>
      <c r="AF139">
        <v>19132.700000000026</v>
      </c>
      <c r="AG139">
        <v>20216.330000000016</v>
      </c>
      <c r="AH139">
        <v>1083.6299999999997</v>
      </c>
      <c r="AI139">
        <v>-996.47999999999979</v>
      </c>
      <c r="AJ139">
        <v>0</v>
      </c>
      <c r="AK139">
        <v>996.47999999999979</v>
      </c>
      <c r="AL139">
        <v>20129.180000000022</v>
      </c>
      <c r="AM139">
        <v>20216.330000000016</v>
      </c>
      <c r="AN139">
        <v>87.150000000000034</v>
      </c>
      <c r="AO139">
        <v>378</v>
      </c>
    </row>
    <row r="140" spans="1:41" x14ac:dyDescent="0.35">
      <c r="A140">
        <v>2024</v>
      </c>
      <c r="B140">
        <v>1</v>
      </c>
      <c r="C140">
        <v>3</v>
      </c>
      <c r="D140" s="14">
        <v>45311</v>
      </c>
      <c r="E140" t="s">
        <v>44</v>
      </c>
      <c r="F140" t="s">
        <v>47</v>
      </c>
      <c r="G140" t="s">
        <v>51</v>
      </c>
      <c r="H140">
        <v>3413.800000000002</v>
      </c>
      <c r="I140">
        <v>3413.800000000002</v>
      </c>
      <c r="J140">
        <v>0</v>
      </c>
      <c r="K140">
        <v>50</v>
      </c>
      <c r="L140">
        <v>50</v>
      </c>
      <c r="M140">
        <v>0</v>
      </c>
      <c r="N140">
        <v>18.989999999999998</v>
      </c>
      <c r="O140">
        <v>18.989999999999998</v>
      </c>
      <c r="P140">
        <v>0</v>
      </c>
      <c r="Q140">
        <v>-493.74999999999994</v>
      </c>
      <c r="R140">
        <v>-493.74999999999994</v>
      </c>
      <c r="S140">
        <v>0</v>
      </c>
      <c r="T140">
        <v>-20</v>
      </c>
      <c r="U140">
        <v>-20</v>
      </c>
      <c r="V140">
        <v>0</v>
      </c>
      <c r="W140">
        <v>0</v>
      </c>
      <c r="X140">
        <v>0</v>
      </c>
      <c r="Y140">
        <v>0</v>
      </c>
      <c r="Z140">
        <v>2969.0400000000018</v>
      </c>
      <c r="AA140">
        <v>2969.0400000000018</v>
      </c>
      <c r="AB140">
        <v>0</v>
      </c>
      <c r="AC140">
        <v>50.16</v>
      </c>
      <c r="AD140">
        <v>41.83</v>
      </c>
      <c r="AE140">
        <v>-8.33</v>
      </c>
      <c r="AF140">
        <v>2918.8800000000019</v>
      </c>
      <c r="AG140">
        <v>2927.2100000000019</v>
      </c>
      <c r="AH140">
        <v>8.3299999999999983</v>
      </c>
      <c r="AI140">
        <v>485.04000000000008</v>
      </c>
      <c r="AJ140">
        <v>0</v>
      </c>
      <c r="AK140">
        <v>-485.04000000000008</v>
      </c>
      <c r="AL140">
        <v>2433.8400000000015</v>
      </c>
      <c r="AM140">
        <v>2927.2100000000019</v>
      </c>
      <c r="AN140">
        <v>493.37000000000006</v>
      </c>
      <c r="AO140">
        <v>63</v>
      </c>
    </row>
    <row r="141" spans="1:41" x14ac:dyDescent="0.35">
      <c r="A141">
        <v>2024</v>
      </c>
      <c r="B141">
        <v>1</v>
      </c>
      <c r="C141">
        <v>4</v>
      </c>
      <c r="D141" s="14">
        <v>45312</v>
      </c>
      <c r="E141" t="s">
        <v>41</v>
      </c>
      <c r="F141" t="s">
        <v>42</v>
      </c>
      <c r="G141" t="s">
        <v>43</v>
      </c>
      <c r="H141">
        <v>110247.5</v>
      </c>
      <c r="I141">
        <v>110354.5</v>
      </c>
      <c r="J141">
        <v>107</v>
      </c>
      <c r="K141">
        <v>1559.910000000018</v>
      </c>
      <c r="L141">
        <v>1559.910000000018</v>
      </c>
      <c r="M141">
        <v>0</v>
      </c>
      <c r="N141">
        <v>2380.3099999999963</v>
      </c>
      <c r="O141">
        <v>2380.3099999999963</v>
      </c>
      <c r="P141">
        <v>0</v>
      </c>
      <c r="Q141">
        <v>-12051.5</v>
      </c>
      <c r="R141">
        <v>-10959.5</v>
      </c>
      <c r="S141">
        <v>1092</v>
      </c>
      <c r="T141">
        <v>-12.010000000000005</v>
      </c>
      <c r="U141">
        <v>-12.010000000000005</v>
      </c>
      <c r="V141">
        <v>0</v>
      </c>
      <c r="W141">
        <v>-121.37</v>
      </c>
      <c r="X141">
        <v>-121.37</v>
      </c>
      <c r="Y141">
        <v>0</v>
      </c>
      <c r="Z141">
        <v>102002.84000000075</v>
      </c>
      <c r="AA141">
        <v>103201.84000000078</v>
      </c>
      <c r="AB141">
        <v>1199</v>
      </c>
      <c r="AC141">
        <v>30738.679999999371</v>
      </c>
      <c r="AD141">
        <v>10324.940000000008</v>
      </c>
      <c r="AE141">
        <v>-20413.739999999794</v>
      </c>
      <c r="AF141">
        <v>71264.160000000498</v>
      </c>
      <c r="AG141">
        <v>92876.900000000416</v>
      </c>
      <c r="AH141">
        <v>21612.739999999769</v>
      </c>
      <c r="AI141">
        <v>-5308.1599999999953</v>
      </c>
      <c r="AJ141">
        <v>0</v>
      </c>
      <c r="AK141">
        <v>5308.1599999999953</v>
      </c>
      <c r="AL141">
        <v>76572.320000000225</v>
      </c>
      <c r="AM141">
        <v>92876.900000000416</v>
      </c>
      <c r="AN141">
        <v>16304.579999999891</v>
      </c>
      <c r="AO141">
        <v>2072</v>
      </c>
    </row>
    <row r="142" spans="1:41" x14ac:dyDescent="0.35">
      <c r="A142">
        <v>2024</v>
      </c>
      <c r="B142">
        <v>1</v>
      </c>
      <c r="C142">
        <v>4</v>
      </c>
      <c r="D142" s="14">
        <v>45312</v>
      </c>
      <c r="E142" t="s">
        <v>44</v>
      </c>
      <c r="F142" t="s">
        <v>42</v>
      </c>
      <c r="G142" t="s">
        <v>45</v>
      </c>
      <c r="H142">
        <v>148163.5</v>
      </c>
      <c r="I142">
        <v>148421.5</v>
      </c>
      <c r="J142">
        <v>258</v>
      </c>
      <c r="K142">
        <v>1390.8900000000108</v>
      </c>
      <c r="L142">
        <v>1390.8900000000108</v>
      </c>
      <c r="M142">
        <v>0</v>
      </c>
      <c r="N142">
        <v>5253.5199999999541</v>
      </c>
      <c r="O142">
        <v>5253.5199999999541</v>
      </c>
      <c r="P142">
        <v>0</v>
      </c>
      <c r="Q142">
        <v>-28492.619999999988</v>
      </c>
      <c r="R142">
        <v>-27768.1</v>
      </c>
      <c r="S142">
        <v>724.52</v>
      </c>
      <c r="T142">
        <v>-3.17</v>
      </c>
      <c r="U142">
        <v>-3.17</v>
      </c>
      <c r="V142">
        <v>0</v>
      </c>
      <c r="W142">
        <v>-140.88</v>
      </c>
      <c r="X142">
        <v>-140.88</v>
      </c>
      <c r="Y142">
        <v>0</v>
      </c>
      <c r="Z142">
        <v>126171.24000000118</v>
      </c>
      <c r="AA142">
        <v>127153.76000000122</v>
      </c>
      <c r="AB142">
        <v>982.52</v>
      </c>
      <c r="AC142">
        <v>27184.33999999972</v>
      </c>
      <c r="AD142">
        <v>9500.0600000000049</v>
      </c>
      <c r="AE142">
        <v>-17684.279999999952</v>
      </c>
      <c r="AF142">
        <v>98986.900000000562</v>
      </c>
      <c r="AG142">
        <v>117653.70000000083</v>
      </c>
      <c r="AH142">
        <v>18666.799999999934</v>
      </c>
      <c r="AI142">
        <v>-4953.720000000003</v>
      </c>
      <c r="AJ142">
        <v>0</v>
      </c>
      <c r="AK142">
        <v>4953.720000000003</v>
      </c>
      <c r="AL142">
        <v>103940.6200000002</v>
      </c>
      <c r="AM142">
        <v>117653.70000000083</v>
      </c>
      <c r="AN142">
        <v>13713.079999999969</v>
      </c>
      <c r="AO142">
        <v>2079</v>
      </c>
    </row>
    <row r="143" spans="1:41" x14ac:dyDescent="0.35">
      <c r="A143">
        <v>2024</v>
      </c>
      <c r="B143">
        <v>1</v>
      </c>
      <c r="C143">
        <v>4</v>
      </c>
      <c r="D143" s="14">
        <v>45312</v>
      </c>
      <c r="E143" t="s">
        <v>44</v>
      </c>
      <c r="F143" t="s">
        <v>42</v>
      </c>
      <c r="G143" t="s">
        <v>46</v>
      </c>
      <c r="H143">
        <v>68721.699999999968</v>
      </c>
      <c r="I143">
        <v>68891.699999999953</v>
      </c>
      <c r="J143">
        <v>170</v>
      </c>
      <c r="K143">
        <v>327.539999999999</v>
      </c>
      <c r="L143">
        <v>327.539999999999</v>
      </c>
      <c r="M143">
        <v>0</v>
      </c>
      <c r="N143">
        <v>1439.0900000000006</v>
      </c>
      <c r="O143">
        <v>1439.0900000000006</v>
      </c>
      <c r="P143">
        <v>0</v>
      </c>
      <c r="Q143">
        <v>-26965.31000000006</v>
      </c>
      <c r="R143">
        <v>-26443.840000000058</v>
      </c>
      <c r="S143">
        <v>521.46999999999991</v>
      </c>
      <c r="T143">
        <v>-5</v>
      </c>
      <c r="U143">
        <v>-5</v>
      </c>
      <c r="V143">
        <v>0</v>
      </c>
      <c r="W143">
        <v>-10</v>
      </c>
      <c r="X143">
        <v>-10</v>
      </c>
      <c r="Y143">
        <v>0</v>
      </c>
      <c r="Z143">
        <v>43508.019999999909</v>
      </c>
      <c r="AA143">
        <v>44199.489999999903</v>
      </c>
      <c r="AB143">
        <v>691.47</v>
      </c>
      <c r="AC143">
        <v>11751.930000000018</v>
      </c>
      <c r="AD143">
        <v>3797.350000000004</v>
      </c>
      <c r="AE143">
        <v>-7954.5800000000118</v>
      </c>
      <c r="AF143">
        <v>31756.090000000102</v>
      </c>
      <c r="AG143">
        <v>40402.139999999992</v>
      </c>
      <c r="AH143">
        <v>8646.050000000012</v>
      </c>
      <c r="AI143">
        <v>-1861.4999999999984</v>
      </c>
      <c r="AJ143">
        <v>0</v>
      </c>
      <c r="AK143">
        <v>1861.4999999999984</v>
      </c>
      <c r="AL143">
        <v>33617.590000000069</v>
      </c>
      <c r="AM143">
        <v>40402.139999999992</v>
      </c>
      <c r="AN143">
        <v>6784.5500000000102</v>
      </c>
      <c r="AO143">
        <v>871</v>
      </c>
    </row>
    <row r="144" spans="1:41" x14ac:dyDescent="0.35">
      <c r="A144">
        <v>2024</v>
      </c>
      <c r="B144">
        <v>1</v>
      </c>
      <c r="C144">
        <v>4</v>
      </c>
      <c r="D144" s="14">
        <v>45312</v>
      </c>
      <c r="E144" t="s">
        <v>44</v>
      </c>
      <c r="F144" t="s">
        <v>47</v>
      </c>
      <c r="G144" t="s">
        <v>48</v>
      </c>
      <c r="H144">
        <v>8135.1500000000005</v>
      </c>
      <c r="I144">
        <v>8135.1500000000005</v>
      </c>
      <c r="J144">
        <v>0</v>
      </c>
      <c r="K144">
        <v>163.44999999999999</v>
      </c>
      <c r="L144">
        <v>163.44999999999999</v>
      </c>
      <c r="M144">
        <v>0</v>
      </c>
      <c r="N144">
        <v>13</v>
      </c>
      <c r="O144">
        <v>13</v>
      </c>
      <c r="P144">
        <v>0</v>
      </c>
      <c r="Q144">
        <v>-2598.6500000000015</v>
      </c>
      <c r="R144">
        <v>-2598.6500000000015</v>
      </c>
      <c r="S144">
        <v>0</v>
      </c>
      <c r="T144">
        <v>-47</v>
      </c>
      <c r="U144">
        <v>-47</v>
      </c>
      <c r="V144">
        <v>0</v>
      </c>
      <c r="W144">
        <v>0</v>
      </c>
      <c r="X144">
        <v>0</v>
      </c>
      <c r="Y144">
        <v>0</v>
      </c>
      <c r="Z144">
        <v>5665.9499999999935</v>
      </c>
      <c r="AA144">
        <v>5665.9499999999935</v>
      </c>
      <c r="AB144">
        <v>0</v>
      </c>
      <c r="AC144">
        <v>48.09</v>
      </c>
      <c r="AE144">
        <v>-48.09</v>
      </c>
      <c r="AF144">
        <v>5617.8599999999933</v>
      </c>
      <c r="AG144">
        <v>5665.9499999999935</v>
      </c>
      <c r="AH144">
        <v>48.09</v>
      </c>
      <c r="AI144">
        <v>1501.8200000000002</v>
      </c>
      <c r="AJ144">
        <v>0</v>
      </c>
      <c r="AK144">
        <v>-1501.8200000000002</v>
      </c>
      <c r="AL144">
        <v>4116.0400000000009</v>
      </c>
      <c r="AM144">
        <v>5665.9499999999935</v>
      </c>
      <c r="AN144">
        <v>1549.91</v>
      </c>
      <c r="AO144">
        <v>121</v>
      </c>
    </row>
    <row r="145" spans="1:41" x14ac:dyDescent="0.35">
      <c r="A145">
        <v>2024</v>
      </c>
      <c r="B145">
        <v>1</v>
      </c>
      <c r="C145">
        <v>4</v>
      </c>
      <c r="D145" s="14">
        <v>45312</v>
      </c>
      <c r="E145" t="s">
        <v>44</v>
      </c>
      <c r="F145" t="s">
        <v>47</v>
      </c>
      <c r="G145" t="s">
        <v>49</v>
      </c>
      <c r="H145">
        <v>9242</v>
      </c>
      <c r="I145">
        <v>9242</v>
      </c>
      <c r="J145">
        <v>0</v>
      </c>
      <c r="K145">
        <v>47.870000000000005</v>
      </c>
      <c r="L145">
        <v>47.870000000000005</v>
      </c>
      <c r="M145">
        <v>0</v>
      </c>
      <c r="N145">
        <v>34.979999999999997</v>
      </c>
      <c r="O145">
        <v>34.979999999999997</v>
      </c>
      <c r="P145">
        <v>0</v>
      </c>
      <c r="Q145">
        <v>-2701.2299999999987</v>
      </c>
      <c r="R145">
        <v>-2690.2299999999987</v>
      </c>
      <c r="S145">
        <v>11</v>
      </c>
      <c r="T145">
        <v>-15</v>
      </c>
      <c r="U145">
        <v>-15</v>
      </c>
      <c r="V145">
        <v>0</v>
      </c>
      <c r="W145">
        <v>0</v>
      </c>
      <c r="X145">
        <v>0</v>
      </c>
      <c r="Y145">
        <v>0</v>
      </c>
      <c r="Z145">
        <v>6608.619999999999</v>
      </c>
      <c r="AA145">
        <v>6619.619999999999</v>
      </c>
      <c r="AB145">
        <v>10.999999999999996</v>
      </c>
      <c r="AC145">
        <v>398.05000000000007</v>
      </c>
      <c r="AD145">
        <v>252.96000000000006</v>
      </c>
      <c r="AE145">
        <v>-145.09</v>
      </c>
      <c r="AF145">
        <v>6210.5699999999979</v>
      </c>
      <c r="AG145">
        <v>6366.659999999998</v>
      </c>
      <c r="AH145">
        <v>156.09</v>
      </c>
      <c r="AI145">
        <v>1316.2800000000002</v>
      </c>
      <c r="AJ145">
        <v>0</v>
      </c>
      <c r="AK145">
        <v>-1316.2800000000002</v>
      </c>
      <c r="AL145">
        <v>4894.29</v>
      </c>
      <c r="AM145">
        <v>6366.659999999998</v>
      </c>
      <c r="AN145">
        <v>1472.3700000000008</v>
      </c>
      <c r="AO145">
        <v>125</v>
      </c>
    </row>
    <row r="146" spans="1:41" x14ac:dyDescent="0.35">
      <c r="A146">
        <v>2024</v>
      </c>
      <c r="B146">
        <v>1</v>
      </c>
      <c r="C146">
        <v>4</v>
      </c>
      <c r="D146" s="14">
        <v>45312</v>
      </c>
      <c r="E146" t="s">
        <v>44</v>
      </c>
      <c r="F146" t="s">
        <v>47</v>
      </c>
      <c r="G146" t="s">
        <v>50</v>
      </c>
      <c r="H146">
        <v>26101</v>
      </c>
      <c r="I146">
        <v>26164</v>
      </c>
      <c r="J146">
        <v>63</v>
      </c>
      <c r="K146">
        <v>555.4599999999997</v>
      </c>
      <c r="L146">
        <v>555.4599999999997</v>
      </c>
      <c r="M146">
        <v>0</v>
      </c>
      <c r="N146">
        <v>1111.3000000000004</v>
      </c>
      <c r="O146">
        <v>1111.3000000000004</v>
      </c>
      <c r="P146">
        <v>0</v>
      </c>
      <c r="Q146">
        <v>-8027.37</v>
      </c>
      <c r="R146">
        <v>-7856.16</v>
      </c>
      <c r="S146">
        <v>171.21</v>
      </c>
      <c r="T146">
        <v>-20</v>
      </c>
      <c r="U146">
        <v>-20</v>
      </c>
      <c r="V146">
        <v>0</v>
      </c>
      <c r="W146">
        <v>-25</v>
      </c>
      <c r="X146">
        <v>-25</v>
      </c>
      <c r="Y146">
        <v>0</v>
      </c>
      <c r="Z146">
        <v>19695.390000000003</v>
      </c>
      <c r="AA146">
        <v>19929.600000000002</v>
      </c>
      <c r="AB146">
        <v>234.20999999999998</v>
      </c>
      <c r="AC146">
        <v>3424.4800000000037</v>
      </c>
      <c r="AD146">
        <v>1116.97</v>
      </c>
      <c r="AE146">
        <v>-2307.5100000000016</v>
      </c>
      <c r="AF146">
        <v>16270.91</v>
      </c>
      <c r="AG146">
        <v>18812.62999999999</v>
      </c>
      <c r="AH146">
        <v>2541.7200000000021</v>
      </c>
      <c r="AI146">
        <v>-729.03999999999985</v>
      </c>
      <c r="AJ146">
        <v>0</v>
      </c>
      <c r="AK146">
        <v>729.03999999999985</v>
      </c>
      <c r="AL146">
        <v>16999.950000000008</v>
      </c>
      <c r="AM146">
        <v>18812.62999999999</v>
      </c>
      <c r="AN146">
        <v>1812.6799999999994</v>
      </c>
      <c r="AO146">
        <v>320</v>
      </c>
    </row>
    <row r="147" spans="1:41" x14ac:dyDescent="0.35">
      <c r="A147">
        <v>2024</v>
      </c>
      <c r="B147">
        <v>1</v>
      </c>
      <c r="C147">
        <v>4</v>
      </c>
      <c r="D147" s="14">
        <v>45312</v>
      </c>
      <c r="E147" t="s">
        <v>44</v>
      </c>
      <c r="F147" t="s">
        <v>47</v>
      </c>
      <c r="G147" t="s">
        <v>51</v>
      </c>
      <c r="H147">
        <v>1640.25</v>
      </c>
      <c r="I147">
        <v>1647.25</v>
      </c>
      <c r="J147">
        <v>7</v>
      </c>
      <c r="K147">
        <v>0</v>
      </c>
      <c r="L147">
        <v>0</v>
      </c>
      <c r="M147">
        <v>0</v>
      </c>
      <c r="N147">
        <v>27.99</v>
      </c>
      <c r="O147">
        <v>27.99</v>
      </c>
      <c r="P147">
        <v>0</v>
      </c>
      <c r="Q147">
        <v>-220.22</v>
      </c>
      <c r="R147">
        <v>-215.01000000000002</v>
      </c>
      <c r="S147">
        <v>5.2100000000000009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1448.02</v>
      </c>
      <c r="AA147">
        <v>1460.23</v>
      </c>
      <c r="AB147">
        <v>12.21</v>
      </c>
      <c r="AC147">
        <v>46.83</v>
      </c>
      <c r="AD147">
        <v>5</v>
      </c>
      <c r="AE147">
        <v>-41.83</v>
      </c>
      <c r="AF147">
        <v>1401.19</v>
      </c>
      <c r="AG147">
        <v>1455.23</v>
      </c>
      <c r="AH147">
        <v>54.04</v>
      </c>
      <c r="AI147">
        <v>246.62</v>
      </c>
      <c r="AJ147">
        <v>0</v>
      </c>
      <c r="AK147">
        <v>-246.62</v>
      </c>
      <c r="AL147">
        <v>1154.57</v>
      </c>
      <c r="AM147">
        <v>1455.23</v>
      </c>
      <c r="AN147">
        <v>300.65999999999997</v>
      </c>
      <c r="AO147">
        <v>29</v>
      </c>
    </row>
    <row r="148" spans="1:41" x14ac:dyDescent="0.35">
      <c r="A148">
        <v>2024</v>
      </c>
      <c r="B148">
        <v>1</v>
      </c>
      <c r="C148">
        <v>4</v>
      </c>
      <c r="D148" s="14">
        <v>45313</v>
      </c>
      <c r="E148" t="s">
        <v>41</v>
      </c>
      <c r="F148" t="s">
        <v>42</v>
      </c>
      <c r="G148" t="s">
        <v>43</v>
      </c>
      <c r="H148">
        <v>68414.5</v>
      </c>
      <c r="I148">
        <v>68664.5</v>
      </c>
      <c r="J148">
        <v>250</v>
      </c>
      <c r="K148">
        <v>855.45000000000516</v>
      </c>
      <c r="L148">
        <v>855.45000000000516</v>
      </c>
      <c r="M148">
        <v>0</v>
      </c>
      <c r="N148">
        <v>1471.9500000000007</v>
      </c>
      <c r="O148">
        <v>1471.9500000000007</v>
      </c>
      <c r="P148">
        <v>0</v>
      </c>
      <c r="Q148">
        <v>-7756.5</v>
      </c>
      <c r="R148">
        <v>-6888.5</v>
      </c>
      <c r="S148">
        <v>868</v>
      </c>
      <c r="T148">
        <v>-2.2400000000000002</v>
      </c>
      <c r="U148">
        <v>-2.2400000000000002</v>
      </c>
      <c r="V148">
        <v>0</v>
      </c>
      <c r="W148">
        <v>-65.990000000000009</v>
      </c>
      <c r="X148">
        <v>-65.990000000000009</v>
      </c>
      <c r="Y148">
        <v>0</v>
      </c>
      <c r="Z148">
        <v>62917.169999999547</v>
      </c>
      <c r="AA148">
        <v>64035.16999999954</v>
      </c>
      <c r="AB148">
        <v>1118</v>
      </c>
      <c r="AC148">
        <v>17618.109999999931</v>
      </c>
      <c r="AD148">
        <v>7241.9300000000239</v>
      </c>
      <c r="AE148">
        <v>-10376.180000000024</v>
      </c>
      <c r="AF148">
        <v>45299.060000000507</v>
      </c>
      <c r="AG148">
        <v>56793.239999999983</v>
      </c>
      <c r="AH148">
        <v>11494.180000000015</v>
      </c>
      <c r="AI148">
        <v>-3728.7400000000021</v>
      </c>
      <c r="AJ148">
        <v>0</v>
      </c>
      <c r="AK148">
        <v>3728.7400000000021</v>
      </c>
      <c r="AL148">
        <v>49027.800000000352</v>
      </c>
      <c r="AM148">
        <v>56793.239999999983</v>
      </c>
      <c r="AN148">
        <v>7765.440000000056</v>
      </c>
      <c r="AO148">
        <v>1288</v>
      </c>
    </row>
    <row r="149" spans="1:41" x14ac:dyDescent="0.35">
      <c r="A149">
        <v>2024</v>
      </c>
      <c r="B149">
        <v>1</v>
      </c>
      <c r="C149">
        <v>4</v>
      </c>
      <c r="D149" s="14">
        <v>45313</v>
      </c>
      <c r="E149" t="s">
        <v>44</v>
      </c>
      <c r="F149" t="s">
        <v>42</v>
      </c>
      <c r="G149" t="s">
        <v>45</v>
      </c>
      <c r="H149">
        <v>88609</v>
      </c>
      <c r="I149">
        <v>88834</v>
      </c>
      <c r="J149">
        <v>225</v>
      </c>
      <c r="K149">
        <v>759.76000000000511</v>
      </c>
      <c r="L149">
        <v>759.76000000000511</v>
      </c>
      <c r="M149">
        <v>0</v>
      </c>
      <c r="N149">
        <v>3625.5699999999779</v>
      </c>
      <c r="O149">
        <v>3606.5799999999781</v>
      </c>
      <c r="P149">
        <v>-18.989999999999998</v>
      </c>
      <c r="Q149">
        <v>-16554.019999999997</v>
      </c>
      <c r="R149">
        <v>-16252.759999999998</v>
      </c>
      <c r="S149">
        <v>301.25999999999993</v>
      </c>
      <c r="T149">
        <v>-0.94</v>
      </c>
      <c r="U149">
        <v>-0.94</v>
      </c>
      <c r="V149">
        <v>0</v>
      </c>
      <c r="W149">
        <v>-75.5</v>
      </c>
      <c r="X149">
        <v>-70.5</v>
      </c>
      <c r="Y149">
        <v>5</v>
      </c>
      <c r="Z149">
        <v>76363.870000000024</v>
      </c>
      <c r="AA149">
        <v>76876.140000000029</v>
      </c>
      <c r="AB149">
        <v>512.27</v>
      </c>
      <c r="AC149">
        <v>15295.829999999982</v>
      </c>
      <c r="AD149">
        <v>5949.9500000000107</v>
      </c>
      <c r="AE149">
        <v>-9345.8800000000083</v>
      </c>
      <c r="AF149">
        <v>61068.040000000074</v>
      </c>
      <c r="AG149">
        <v>70926.189999999944</v>
      </c>
      <c r="AH149">
        <v>9858.1500000000087</v>
      </c>
      <c r="AI149">
        <v>-3140.8899999999994</v>
      </c>
      <c r="AJ149">
        <v>0</v>
      </c>
      <c r="AK149">
        <v>3140.8899999999994</v>
      </c>
      <c r="AL149">
        <v>64208.930000000073</v>
      </c>
      <c r="AM149">
        <v>70926.189999999944</v>
      </c>
      <c r="AN149">
        <v>6717.260000000013</v>
      </c>
      <c r="AO149">
        <v>1237</v>
      </c>
    </row>
    <row r="150" spans="1:41" x14ac:dyDescent="0.35">
      <c r="A150">
        <v>2024</v>
      </c>
      <c r="B150">
        <v>1</v>
      </c>
      <c r="C150">
        <v>4</v>
      </c>
      <c r="D150" s="14">
        <v>45313</v>
      </c>
      <c r="E150" t="s">
        <v>44</v>
      </c>
      <c r="F150" t="s">
        <v>42</v>
      </c>
      <c r="G150" t="s">
        <v>46</v>
      </c>
      <c r="H150">
        <v>36183.420000000035</v>
      </c>
      <c r="I150">
        <v>36260.420000000035</v>
      </c>
      <c r="J150">
        <v>77</v>
      </c>
      <c r="K150">
        <v>193.89999999999995</v>
      </c>
      <c r="L150">
        <v>193.89999999999995</v>
      </c>
      <c r="M150">
        <v>0</v>
      </c>
      <c r="N150">
        <v>964.40000000000043</v>
      </c>
      <c r="O150">
        <v>951.41000000000042</v>
      </c>
      <c r="P150">
        <v>-12.99</v>
      </c>
      <c r="Q150">
        <v>-14163.790000000028</v>
      </c>
      <c r="R150">
        <v>-13861.000000000029</v>
      </c>
      <c r="S150">
        <v>302.78999999999996</v>
      </c>
      <c r="T150">
        <v>-5</v>
      </c>
      <c r="U150">
        <v>-5</v>
      </c>
      <c r="V150">
        <v>0</v>
      </c>
      <c r="W150">
        <v>-5</v>
      </c>
      <c r="X150">
        <v>-5</v>
      </c>
      <c r="Y150">
        <v>0</v>
      </c>
      <c r="Z150">
        <v>23167.929999999997</v>
      </c>
      <c r="AA150">
        <v>23534.729999999992</v>
      </c>
      <c r="AB150">
        <v>366.8</v>
      </c>
      <c r="AC150">
        <v>5769.3300000000118</v>
      </c>
      <c r="AD150">
        <v>2047.3200000000004</v>
      </c>
      <c r="AE150">
        <v>-3722.0100000000057</v>
      </c>
      <c r="AF150">
        <v>17398.600000000006</v>
      </c>
      <c r="AG150">
        <v>21487.410000000011</v>
      </c>
      <c r="AH150">
        <v>4088.8100000000059</v>
      </c>
      <c r="AI150">
        <v>-1073.6799999999998</v>
      </c>
      <c r="AJ150">
        <v>0</v>
      </c>
      <c r="AK150">
        <v>1073.6799999999998</v>
      </c>
      <c r="AL150">
        <v>18472.280000000028</v>
      </c>
      <c r="AM150">
        <v>21487.410000000011</v>
      </c>
      <c r="AN150">
        <v>3015.1300000000024</v>
      </c>
      <c r="AO150">
        <v>451</v>
      </c>
    </row>
    <row r="151" spans="1:41" x14ac:dyDescent="0.35">
      <c r="A151">
        <v>2024</v>
      </c>
      <c r="B151">
        <v>1</v>
      </c>
      <c r="C151">
        <v>4</v>
      </c>
      <c r="D151" s="14">
        <v>45313</v>
      </c>
      <c r="E151" t="s">
        <v>44</v>
      </c>
      <c r="F151" t="s">
        <v>47</v>
      </c>
      <c r="G151" t="s">
        <v>48</v>
      </c>
      <c r="H151">
        <v>65</v>
      </c>
      <c r="I151">
        <v>65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-16.899999999999999</v>
      </c>
      <c r="R151">
        <v>-16.899999999999999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48.1</v>
      </c>
      <c r="AA151">
        <v>48.1</v>
      </c>
      <c r="AB151">
        <v>0</v>
      </c>
      <c r="AE151">
        <v>0</v>
      </c>
      <c r="AF151">
        <v>48.1</v>
      </c>
      <c r="AG151">
        <v>48.1</v>
      </c>
      <c r="AH151">
        <v>0</v>
      </c>
      <c r="AI151">
        <v>17.420000000000002</v>
      </c>
      <c r="AJ151">
        <v>0</v>
      </c>
      <c r="AK151">
        <v>-17.420000000000002</v>
      </c>
      <c r="AL151">
        <v>30.68</v>
      </c>
      <c r="AM151">
        <v>48.1</v>
      </c>
      <c r="AN151">
        <v>17.420000000000002</v>
      </c>
      <c r="AO151">
        <v>1</v>
      </c>
    </row>
    <row r="152" spans="1:41" x14ac:dyDescent="0.35">
      <c r="A152">
        <v>2024</v>
      </c>
      <c r="B152">
        <v>1</v>
      </c>
      <c r="C152">
        <v>4</v>
      </c>
      <c r="D152" s="14">
        <v>45313</v>
      </c>
      <c r="E152" t="s">
        <v>44</v>
      </c>
      <c r="F152" t="s">
        <v>47</v>
      </c>
      <c r="G152" t="s">
        <v>49</v>
      </c>
      <c r="H152">
        <v>1887</v>
      </c>
      <c r="I152">
        <v>1887</v>
      </c>
      <c r="J152">
        <v>0</v>
      </c>
      <c r="K152">
        <v>17.82</v>
      </c>
      <c r="L152">
        <v>17.82</v>
      </c>
      <c r="M152">
        <v>0</v>
      </c>
      <c r="N152">
        <v>34.979999999999997</v>
      </c>
      <c r="O152">
        <v>34.979999999999997</v>
      </c>
      <c r="P152">
        <v>0</v>
      </c>
      <c r="Q152">
        <v>-620.4</v>
      </c>
      <c r="R152">
        <v>-620.4</v>
      </c>
      <c r="S152">
        <v>0</v>
      </c>
      <c r="T152">
        <v>-15</v>
      </c>
      <c r="U152">
        <v>-15</v>
      </c>
      <c r="V152">
        <v>0</v>
      </c>
      <c r="W152">
        <v>0</v>
      </c>
      <c r="X152">
        <v>0</v>
      </c>
      <c r="Y152">
        <v>0</v>
      </c>
      <c r="Z152">
        <v>1304.4000000000001</v>
      </c>
      <c r="AA152">
        <v>1304.4000000000001</v>
      </c>
      <c r="AB152">
        <v>0</v>
      </c>
      <c r="AC152">
        <v>285.72000000000008</v>
      </c>
      <c r="AD152">
        <v>32.76</v>
      </c>
      <c r="AE152">
        <v>-252.96000000000009</v>
      </c>
      <c r="AF152">
        <v>1018.68</v>
      </c>
      <c r="AG152">
        <v>1271.6399999999999</v>
      </c>
      <c r="AH152">
        <v>252.96000000000009</v>
      </c>
      <c r="AI152">
        <v>33.06</v>
      </c>
      <c r="AJ152">
        <v>0</v>
      </c>
      <c r="AK152">
        <v>-33.06</v>
      </c>
      <c r="AL152">
        <v>985.62</v>
      </c>
      <c r="AM152">
        <v>1271.6399999999999</v>
      </c>
      <c r="AN152">
        <v>286.02000000000004</v>
      </c>
      <c r="AO152">
        <v>22</v>
      </c>
    </row>
    <row r="153" spans="1:41" x14ac:dyDescent="0.35">
      <c r="A153">
        <v>2024</v>
      </c>
      <c r="B153">
        <v>1</v>
      </c>
      <c r="C153">
        <v>4</v>
      </c>
      <c r="D153" s="14">
        <v>45313</v>
      </c>
      <c r="E153" t="s">
        <v>44</v>
      </c>
      <c r="F153" t="s">
        <v>47</v>
      </c>
      <c r="G153" t="s">
        <v>50</v>
      </c>
      <c r="H153">
        <v>15455</v>
      </c>
      <c r="I153">
        <v>15515</v>
      </c>
      <c r="J153">
        <v>60</v>
      </c>
      <c r="K153">
        <v>354.5</v>
      </c>
      <c r="L153">
        <v>354.5</v>
      </c>
      <c r="M153">
        <v>0</v>
      </c>
      <c r="N153">
        <v>524.68000000000018</v>
      </c>
      <c r="O153">
        <v>524.68000000000018</v>
      </c>
      <c r="P153">
        <v>0</v>
      </c>
      <c r="Q153">
        <v>-4743.3600000000006</v>
      </c>
      <c r="R153">
        <v>-4668.3999999999996</v>
      </c>
      <c r="S153">
        <v>74.959999999999994</v>
      </c>
      <c r="T153">
        <v>0</v>
      </c>
      <c r="U153">
        <v>0</v>
      </c>
      <c r="V153">
        <v>0</v>
      </c>
      <c r="W153">
        <v>-5</v>
      </c>
      <c r="X153">
        <v>-5</v>
      </c>
      <c r="Y153">
        <v>0</v>
      </c>
      <c r="Z153">
        <v>11585.819999999989</v>
      </c>
      <c r="AA153">
        <v>11720.779999999988</v>
      </c>
      <c r="AB153">
        <v>134.96</v>
      </c>
      <c r="AC153">
        <v>1929.1000000000006</v>
      </c>
      <c r="AD153">
        <v>815.84999999999957</v>
      </c>
      <c r="AE153">
        <v>-1113.2499999999998</v>
      </c>
      <c r="AF153">
        <v>9656.7199999999921</v>
      </c>
      <c r="AG153">
        <v>10904.929999999991</v>
      </c>
      <c r="AH153">
        <v>1248.21</v>
      </c>
      <c r="AI153">
        <v>-514.16</v>
      </c>
      <c r="AJ153">
        <v>0</v>
      </c>
      <c r="AK153">
        <v>514.16</v>
      </c>
      <c r="AL153">
        <v>10170.879999999992</v>
      </c>
      <c r="AM153">
        <v>10904.929999999991</v>
      </c>
      <c r="AN153">
        <v>734.04999999999961</v>
      </c>
      <c r="AO153">
        <v>194</v>
      </c>
    </row>
    <row r="154" spans="1:41" x14ac:dyDescent="0.35">
      <c r="A154">
        <v>2024</v>
      </c>
      <c r="B154">
        <v>1</v>
      </c>
      <c r="C154">
        <v>4</v>
      </c>
      <c r="D154" s="14">
        <v>45313</v>
      </c>
      <c r="E154" t="s">
        <v>44</v>
      </c>
      <c r="F154" t="s">
        <v>47</v>
      </c>
      <c r="G154" t="s">
        <v>51</v>
      </c>
      <c r="H154">
        <v>379</v>
      </c>
      <c r="I154">
        <v>379</v>
      </c>
      <c r="J154">
        <v>0</v>
      </c>
      <c r="K154">
        <v>0</v>
      </c>
      <c r="L154">
        <v>0</v>
      </c>
      <c r="M154">
        <v>0</v>
      </c>
      <c r="N154">
        <v>9</v>
      </c>
      <c r="O154">
        <v>9</v>
      </c>
      <c r="P154">
        <v>0</v>
      </c>
      <c r="Q154">
        <v>-137.96</v>
      </c>
      <c r="R154">
        <v>-137.96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250.04</v>
      </c>
      <c r="AA154">
        <v>250.04</v>
      </c>
      <c r="AB154">
        <v>0</v>
      </c>
      <c r="AC154">
        <v>5</v>
      </c>
      <c r="AE154">
        <v>-5</v>
      </c>
      <c r="AF154">
        <v>245.04</v>
      </c>
      <c r="AG154">
        <v>250.04</v>
      </c>
      <c r="AH154">
        <v>5</v>
      </c>
      <c r="AI154">
        <v>17.010000000000002</v>
      </c>
      <c r="AJ154">
        <v>0</v>
      </c>
      <c r="AK154">
        <v>-17.010000000000002</v>
      </c>
      <c r="AL154">
        <v>228.03</v>
      </c>
      <c r="AM154">
        <v>250.04</v>
      </c>
      <c r="AN154">
        <v>22.009999999999998</v>
      </c>
      <c r="AO154">
        <v>5</v>
      </c>
    </row>
    <row r="155" spans="1:41" x14ac:dyDescent="0.35">
      <c r="A155">
        <v>2024</v>
      </c>
      <c r="B155">
        <v>1</v>
      </c>
      <c r="C155">
        <v>4</v>
      </c>
      <c r="D155" s="14">
        <v>45314</v>
      </c>
      <c r="E155" t="s">
        <v>41</v>
      </c>
      <c r="F155" t="s">
        <v>42</v>
      </c>
      <c r="G155" t="s">
        <v>43</v>
      </c>
      <c r="H155">
        <v>68634</v>
      </c>
      <c r="I155">
        <v>68761</v>
      </c>
      <c r="J155">
        <v>127</v>
      </c>
      <c r="K155">
        <v>989.10000000000537</v>
      </c>
      <c r="L155">
        <v>996.10000000000548</v>
      </c>
      <c r="M155">
        <v>7</v>
      </c>
      <c r="N155">
        <v>1407.0100000000007</v>
      </c>
      <c r="O155">
        <v>1407.0100000000007</v>
      </c>
      <c r="P155">
        <v>0</v>
      </c>
      <c r="Q155">
        <v>-7302</v>
      </c>
      <c r="R155">
        <v>-6664</v>
      </c>
      <c r="S155">
        <v>638</v>
      </c>
      <c r="T155">
        <v>-10.28</v>
      </c>
      <c r="U155">
        <v>-10.28</v>
      </c>
      <c r="V155">
        <v>0</v>
      </c>
      <c r="W155">
        <v>-70</v>
      </c>
      <c r="X155">
        <v>-70</v>
      </c>
      <c r="Y155">
        <v>0</v>
      </c>
      <c r="Z155">
        <v>63647.829999999565</v>
      </c>
      <c r="AA155">
        <v>64419.829999999558</v>
      </c>
      <c r="AB155">
        <v>772</v>
      </c>
      <c r="AC155">
        <v>17058.619999999937</v>
      </c>
      <c r="AD155">
        <v>9841.6600000000162</v>
      </c>
      <c r="AE155">
        <v>-7216.9600000000255</v>
      </c>
      <c r="AF155">
        <v>46589.21000000037</v>
      </c>
      <c r="AG155">
        <v>54578.170000000049</v>
      </c>
      <c r="AH155">
        <v>7988.9600000000264</v>
      </c>
      <c r="AI155">
        <v>-4792.869999999989</v>
      </c>
      <c r="AJ155">
        <v>0</v>
      </c>
      <c r="AK155">
        <v>4792.869999999989</v>
      </c>
      <c r="AL155">
        <v>51382.080000000293</v>
      </c>
      <c r="AM155">
        <v>54578.170000000049</v>
      </c>
      <c r="AN155">
        <v>3196.090000000012</v>
      </c>
      <c r="AO155">
        <v>1271</v>
      </c>
    </row>
    <row r="156" spans="1:41" x14ac:dyDescent="0.35">
      <c r="A156">
        <v>2024</v>
      </c>
      <c r="B156">
        <v>1</v>
      </c>
      <c r="C156">
        <v>4</v>
      </c>
      <c r="D156" s="14">
        <v>45314</v>
      </c>
      <c r="E156" t="s">
        <v>44</v>
      </c>
      <c r="F156" t="s">
        <v>42</v>
      </c>
      <c r="G156" t="s">
        <v>45</v>
      </c>
      <c r="H156">
        <v>98566.36</v>
      </c>
      <c r="I156">
        <v>98733.36</v>
      </c>
      <c r="J156">
        <v>167</v>
      </c>
      <c r="K156">
        <v>802.83000000000482</v>
      </c>
      <c r="L156">
        <v>772.83000000000482</v>
      </c>
      <c r="M156">
        <v>-30</v>
      </c>
      <c r="N156">
        <v>3852.5199999999759</v>
      </c>
      <c r="O156">
        <v>3817.5399999999763</v>
      </c>
      <c r="P156">
        <v>-34.979999999999997</v>
      </c>
      <c r="Q156">
        <v>-19248.119999999995</v>
      </c>
      <c r="R156">
        <v>-18919.57</v>
      </c>
      <c r="S156">
        <v>328.55</v>
      </c>
      <c r="T156">
        <v>-10.64</v>
      </c>
      <c r="U156">
        <v>-10.64</v>
      </c>
      <c r="V156">
        <v>0</v>
      </c>
      <c r="W156">
        <v>-83.3</v>
      </c>
      <c r="X156">
        <v>-83.3</v>
      </c>
      <c r="Y156">
        <v>0</v>
      </c>
      <c r="Z156">
        <v>83879.650000000125</v>
      </c>
      <c r="AA156">
        <v>84310.220000000118</v>
      </c>
      <c r="AB156">
        <v>430.56999999999988</v>
      </c>
      <c r="AC156">
        <v>15253.749999999964</v>
      </c>
      <c r="AD156">
        <v>9426.9599999999991</v>
      </c>
      <c r="AE156">
        <v>-5826.7900000000118</v>
      </c>
      <c r="AF156">
        <v>68625.900000000081</v>
      </c>
      <c r="AG156">
        <v>74883.260000000068</v>
      </c>
      <c r="AH156">
        <v>6257.3600000000115</v>
      </c>
      <c r="AI156">
        <v>-4496.84</v>
      </c>
      <c r="AJ156">
        <v>0</v>
      </c>
      <c r="AK156">
        <v>4496.84</v>
      </c>
      <c r="AL156">
        <v>73122.74000000002</v>
      </c>
      <c r="AM156">
        <v>74883.260000000068</v>
      </c>
      <c r="AN156">
        <v>1760.5200000000013</v>
      </c>
      <c r="AO156">
        <v>1359</v>
      </c>
    </row>
    <row r="157" spans="1:41" x14ac:dyDescent="0.35">
      <c r="A157">
        <v>2024</v>
      </c>
      <c r="B157">
        <v>1</v>
      </c>
      <c r="C157">
        <v>4</v>
      </c>
      <c r="D157" s="14">
        <v>45314</v>
      </c>
      <c r="E157" t="s">
        <v>44</v>
      </c>
      <c r="F157" t="s">
        <v>42</v>
      </c>
      <c r="G157" t="s">
        <v>46</v>
      </c>
      <c r="H157">
        <v>44372.89000000005</v>
      </c>
      <c r="I157">
        <v>44527.89000000005</v>
      </c>
      <c r="J157">
        <v>155</v>
      </c>
      <c r="K157">
        <v>372.51999999999936</v>
      </c>
      <c r="L157">
        <v>372.51999999999936</v>
      </c>
      <c r="M157">
        <v>0</v>
      </c>
      <c r="N157">
        <v>1061.3300000000004</v>
      </c>
      <c r="O157">
        <v>1061.3300000000004</v>
      </c>
      <c r="P157">
        <v>0</v>
      </c>
      <c r="Q157">
        <v>-16063.450000000039</v>
      </c>
      <c r="R157">
        <v>-15856.190000000041</v>
      </c>
      <c r="S157">
        <v>207.26</v>
      </c>
      <c r="T157">
        <v>-0.97</v>
      </c>
      <c r="U157">
        <v>-0.97</v>
      </c>
      <c r="V157">
        <v>0</v>
      </c>
      <c r="W157">
        <v>0</v>
      </c>
      <c r="X157">
        <v>0</v>
      </c>
      <c r="Y157">
        <v>0</v>
      </c>
      <c r="Z157">
        <v>29742.32</v>
      </c>
      <c r="AA157">
        <v>30104.58</v>
      </c>
      <c r="AB157">
        <v>362.26</v>
      </c>
      <c r="AC157">
        <v>6749.5400000000136</v>
      </c>
      <c r="AD157">
        <v>4803.9000000000078</v>
      </c>
      <c r="AE157">
        <v>-1945.6400000000008</v>
      </c>
      <c r="AF157">
        <v>22992.780000000046</v>
      </c>
      <c r="AG157">
        <v>25300.680000000022</v>
      </c>
      <c r="AH157">
        <v>2307.900000000001</v>
      </c>
      <c r="AI157">
        <v>-1751.0299999999977</v>
      </c>
      <c r="AJ157">
        <v>0</v>
      </c>
      <c r="AK157">
        <v>1751.0299999999977</v>
      </c>
      <c r="AL157">
        <v>24743.810000000019</v>
      </c>
      <c r="AM157">
        <v>25300.680000000022</v>
      </c>
      <c r="AN157">
        <v>556.87</v>
      </c>
      <c r="AO157">
        <v>582</v>
      </c>
    </row>
    <row r="158" spans="1:41" x14ac:dyDescent="0.35">
      <c r="A158">
        <v>2024</v>
      </c>
      <c r="B158">
        <v>1</v>
      </c>
      <c r="C158">
        <v>4</v>
      </c>
      <c r="D158" s="14">
        <v>45314</v>
      </c>
      <c r="E158" t="s">
        <v>44</v>
      </c>
      <c r="F158" t="s">
        <v>47</v>
      </c>
      <c r="G158" t="s">
        <v>48</v>
      </c>
      <c r="H158">
        <v>4781.7000000000053</v>
      </c>
      <c r="I158">
        <v>4781.7000000000053</v>
      </c>
      <c r="J158">
        <v>0</v>
      </c>
      <c r="K158">
        <v>578.29999999999995</v>
      </c>
      <c r="L158">
        <v>578.29999999999995</v>
      </c>
      <c r="M158">
        <v>0</v>
      </c>
      <c r="N158">
        <v>0</v>
      </c>
      <c r="O158">
        <v>0</v>
      </c>
      <c r="P158">
        <v>0</v>
      </c>
      <c r="Q158">
        <v>-740.70000000000027</v>
      </c>
      <c r="R158">
        <v>-720.70000000000027</v>
      </c>
      <c r="S158">
        <v>20</v>
      </c>
      <c r="T158">
        <v>-5</v>
      </c>
      <c r="U158">
        <v>-5</v>
      </c>
      <c r="V158">
        <v>0</v>
      </c>
      <c r="W158">
        <v>0</v>
      </c>
      <c r="X158">
        <v>0</v>
      </c>
      <c r="Y158">
        <v>0</v>
      </c>
      <c r="Z158">
        <v>4614.3000000000084</v>
      </c>
      <c r="AA158">
        <v>4634.3000000000084</v>
      </c>
      <c r="AB158">
        <v>20</v>
      </c>
      <c r="AC158">
        <v>26.75</v>
      </c>
      <c r="AD158">
        <v>26.75</v>
      </c>
      <c r="AE158">
        <v>0</v>
      </c>
      <c r="AF158">
        <v>4587.5500000000084</v>
      </c>
      <c r="AG158">
        <v>4607.5500000000084</v>
      </c>
      <c r="AH158">
        <v>20</v>
      </c>
      <c r="AI158">
        <v>1446.6299999999983</v>
      </c>
      <c r="AJ158">
        <v>0</v>
      </c>
      <c r="AK158">
        <v>-1446.6299999999983</v>
      </c>
      <c r="AL158">
        <v>3140.9199999999992</v>
      </c>
      <c r="AM158">
        <v>4607.5500000000084</v>
      </c>
      <c r="AN158">
        <v>1466.6299999999985</v>
      </c>
      <c r="AO158">
        <v>152</v>
      </c>
    </row>
    <row r="159" spans="1:41" x14ac:dyDescent="0.35">
      <c r="A159">
        <v>2024</v>
      </c>
      <c r="B159">
        <v>1</v>
      </c>
      <c r="C159">
        <v>4</v>
      </c>
      <c r="D159" s="14">
        <v>45314</v>
      </c>
      <c r="E159" t="s">
        <v>44</v>
      </c>
      <c r="F159" t="s">
        <v>47</v>
      </c>
      <c r="G159" t="s">
        <v>49</v>
      </c>
      <c r="H159">
        <v>8070.3000000000011</v>
      </c>
      <c r="I159">
        <v>8070.3000000000011</v>
      </c>
      <c r="J159">
        <v>0</v>
      </c>
      <c r="K159">
        <v>78.61999999999999</v>
      </c>
      <c r="L159">
        <v>78.61999999999999</v>
      </c>
      <c r="M159">
        <v>0</v>
      </c>
      <c r="N159">
        <v>123.92999999999998</v>
      </c>
      <c r="O159">
        <v>123.92999999999998</v>
      </c>
      <c r="P159">
        <v>0</v>
      </c>
      <c r="Q159">
        <v>-3633.1699999999987</v>
      </c>
      <c r="R159">
        <v>-3602.7499999999986</v>
      </c>
      <c r="S159">
        <v>30.42</v>
      </c>
      <c r="T159">
        <v>-5</v>
      </c>
      <c r="U159">
        <v>-5</v>
      </c>
      <c r="V159">
        <v>0</v>
      </c>
      <c r="W159">
        <v>-5</v>
      </c>
      <c r="X159">
        <v>-5</v>
      </c>
      <c r="Y159">
        <v>0</v>
      </c>
      <c r="Z159">
        <v>4629.680000000003</v>
      </c>
      <c r="AA159">
        <v>4660.1000000000031</v>
      </c>
      <c r="AB159">
        <v>30.419999999999995</v>
      </c>
      <c r="AC159">
        <v>198.98999999999998</v>
      </c>
      <c r="AD159">
        <v>166.23</v>
      </c>
      <c r="AE159">
        <v>-32.76</v>
      </c>
      <c r="AF159">
        <v>4430.6900000000023</v>
      </c>
      <c r="AG159">
        <v>4493.8700000000026</v>
      </c>
      <c r="AH159">
        <v>63.18</v>
      </c>
      <c r="AI159">
        <v>701.23</v>
      </c>
      <c r="AJ159">
        <v>0</v>
      </c>
      <c r="AK159">
        <v>-701.23</v>
      </c>
      <c r="AL159">
        <v>3729.4599999999996</v>
      </c>
      <c r="AM159">
        <v>4493.8700000000026</v>
      </c>
      <c r="AN159">
        <v>764.41</v>
      </c>
      <c r="AO159">
        <v>89</v>
      </c>
    </row>
    <row r="160" spans="1:41" x14ac:dyDescent="0.35">
      <c r="A160">
        <v>2024</v>
      </c>
      <c r="B160">
        <v>1</v>
      </c>
      <c r="C160">
        <v>4</v>
      </c>
      <c r="D160" s="14">
        <v>45314</v>
      </c>
      <c r="E160" t="s">
        <v>44</v>
      </c>
      <c r="F160" t="s">
        <v>47</v>
      </c>
      <c r="G160" t="s">
        <v>50</v>
      </c>
      <c r="H160">
        <v>23014.05</v>
      </c>
      <c r="I160">
        <v>23025.05</v>
      </c>
      <c r="J160">
        <v>11</v>
      </c>
      <c r="K160">
        <v>586.61000000000058</v>
      </c>
      <c r="L160">
        <v>586.61000000000058</v>
      </c>
      <c r="M160">
        <v>0</v>
      </c>
      <c r="N160">
        <v>1037.3700000000003</v>
      </c>
      <c r="O160">
        <v>1021.3800000000005</v>
      </c>
      <c r="P160">
        <v>-15.99</v>
      </c>
      <c r="Q160">
        <v>-7136.53</v>
      </c>
      <c r="R160">
        <v>-7033.1100000000006</v>
      </c>
      <c r="S160">
        <v>103.42000000000002</v>
      </c>
      <c r="T160">
        <v>-40</v>
      </c>
      <c r="U160">
        <v>-40</v>
      </c>
      <c r="V160">
        <v>0</v>
      </c>
      <c r="W160">
        <v>-20</v>
      </c>
      <c r="X160">
        <v>-20</v>
      </c>
      <c r="Y160">
        <v>0</v>
      </c>
      <c r="Z160">
        <v>17441.499999999989</v>
      </c>
      <c r="AA160">
        <v>17539.929999999989</v>
      </c>
      <c r="AB160">
        <v>98.429999999999993</v>
      </c>
      <c r="AC160">
        <v>2252.9000000000005</v>
      </c>
      <c r="AD160">
        <v>1437.0499999999997</v>
      </c>
      <c r="AE160">
        <v>-815.85</v>
      </c>
      <c r="AF160">
        <v>15188.599999999997</v>
      </c>
      <c r="AG160">
        <v>16102.879999999994</v>
      </c>
      <c r="AH160">
        <v>914.27999999999986</v>
      </c>
      <c r="AI160">
        <v>-836.95000000000016</v>
      </c>
      <c r="AJ160">
        <v>0</v>
      </c>
      <c r="AK160">
        <v>836.95000000000016</v>
      </c>
      <c r="AL160">
        <v>16025.549999999994</v>
      </c>
      <c r="AM160">
        <v>16102.879999999994</v>
      </c>
      <c r="AN160">
        <v>77.329999999999814</v>
      </c>
      <c r="AO160">
        <v>282</v>
      </c>
    </row>
    <row r="161" spans="1:41" x14ac:dyDescent="0.35">
      <c r="A161">
        <v>2024</v>
      </c>
      <c r="B161">
        <v>1</v>
      </c>
      <c r="C161">
        <v>4</v>
      </c>
      <c r="D161" s="14">
        <v>45314</v>
      </c>
      <c r="E161" t="s">
        <v>44</v>
      </c>
      <c r="F161" t="s">
        <v>47</v>
      </c>
      <c r="G161" t="s">
        <v>51</v>
      </c>
      <c r="H161">
        <v>1997.3999999999999</v>
      </c>
      <c r="I161">
        <v>1997.3999999999999</v>
      </c>
      <c r="J161">
        <v>0</v>
      </c>
      <c r="K161">
        <v>10</v>
      </c>
      <c r="L161">
        <v>10</v>
      </c>
      <c r="M161">
        <v>0</v>
      </c>
      <c r="N161">
        <v>0</v>
      </c>
      <c r="O161">
        <v>0</v>
      </c>
      <c r="P161">
        <v>0</v>
      </c>
      <c r="Q161">
        <v>-507.37</v>
      </c>
      <c r="R161">
        <v>-507.37</v>
      </c>
      <c r="S161">
        <v>0</v>
      </c>
      <c r="T161">
        <v>-4</v>
      </c>
      <c r="U161">
        <v>-4</v>
      </c>
      <c r="V161">
        <v>0</v>
      </c>
      <c r="W161">
        <v>0</v>
      </c>
      <c r="X161">
        <v>0</v>
      </c>
      <c r="Y161">
        <v>0</v>
      </c>
      <c r="Z161">
        <v>1496.0299999999997</v>
      </c>
      <c r="AA161">
        <v>1496.0299999999997</v>
      </c>
      <c r="AB161">
        <v>0</v>
      </c>
      <c r="AC161">
        <v>16.66</v>
      </c>
      <c r="AD161">
        <v>16.66</v>
      </c>
      <c r="AE161">
        <v>0</v>
      </c>
      <c r="AF161">
        <v>1479.37</v>
      </c>
      <c r="AG161">
        <v>1479.37</v>
      </c>
      <c r="AH161">
        <v>0</v>
      </c>
      <c r="AI161">
        <v>387.58</v>
      </c>
      <c r="AJ161">
        <v>0</v>
      </c>
      <c r="AK161">
        <v>-387.58</v>
      </c>
      <c r="AL161">
        <v>1091.79</v>
      </c>
      <c r="AM161">
        <v>1479.37</v>
      </c>
      <c r="AN161">
        <v>387.57999999999993</v>
      </c>
      <c r="AO161">
        <v>30</v>
      </c>
    </row>
    <row r="162" spans="1:41" x14ac:dyDescent="0.35">
      <c r="A162">
        <v>2024</v>
      </c>
      <c r="B162">
        <v>1</v>
      </c>
      <c r="C162">
        <v>4</v>
      </c>
      <c r="D162" s="14">
        <v>45315</v>
      </c>
      <c r="E162" t="s">
        <v>41</v>
      </c>
      <c r="F162" t="s">
        <v>42</v>
      </c>
      <c r="G162" t="s">
        <v>43</v>
      </c>
      <c r="H162">
        <v>74516.5</v>
      </c>
      <c r="I162">
        <v>74634.5</v>
      </c>
      <c r="J162">
        <v>118</v>
      </c>
      <c r="K162">
        <v>1212.0900000000104</v>
      </c>
      <c r="L162">
        <v>1212.0900000000104</v>
      </c>
      <c r="M162">
        <v>0</v>
      </c>
      <c r="N162">
        <v>1724.7500000000009</v>
      </c>
      <c r="O162">
        <v>1724.7500000000009</v>
      </c>
      <c r="P162">
        <v>0</v>
      </c>
      <c r="Q162">
        <v>-7786</v>
      </c>
      <c r="R162">
        <v>-7265</v>
      </c>
      <c r="S162">
        <v>521</v>
      </c>
      <c r="T162">
        <v>-14.580000000000002</v>
      </c>
      <c r="U162">
        <v>-14.580000000000002</v>
      </c>
      <c r="V162">
        <v>0</v>
      </c>
      <c r="W162">
        <v>-85</v>
      </c>
      <c r="X162">
        <v>-85</v>
      </c>
      <c r="Y162">
        <v>0</v>
      </c>
      <c r="Z162">
        <v>69567.759999999747</v>
      </c>
      <c r="AA162">
        <v>70206.759999999791</v>
      </c>
      <c r="AB162">
        <v>639</v>
      </c>
      <c r="AC162">
        <v>17911.219999999841</v>
      </c>
      <c r="AD162">
        <v>8164.8800000000347</v>
      </c>
      <c r="AE162">
        <v>-9746.3400000000129</v>
      </c>
      <c r="AF162">
        <v>51656.540000000292</v>
      </c>
      <c r="AG162">
        <v>62041.879999999874</v>
      </c>
      <c r="AH162">
        <v>10385.340000000007</v>
      </c>
      <c r="AI162">
        <v>-3889.1200000000003</v>
      </c>
      <c r="AJ162">
        <v>-2.31</v>
      </c>
      <c r="AK162">
        <v>3886.8100000000004</v>
      </c>
      <c r="AL162">
        <v>55545.660000000134</v>
      </c>
      <c r="AM162">
        <v>62044.189999999871</v>
      </c>
      <c r="AN162">
        <v>6498.5300000000434</v>
      </c>
      <c r="AO162">
        <v>1366</v>
      </c>
    </row>
    <row r="163" spans="1:41" x14ac:dyDescent="0.35">
      <c r="A163">
        <v>2024</v>
      </c>
      <c r="B163">
        <v>1</v>
      </c>
      <c r="C163">
        <v>4</v>
      </c>
      <c r="D163" s="14">
        <v>45315</v>
      </c>
      <c r="E163" t="s">
        <v>44</v>
      </c>
      <c r="F163" t="s">
        <v>42</v>
      </c>
      <c r="G163" t="s">
        <v>45</v>
      </c>
      <c r="H163">
        <v>113992.85999999999</v>
      </c>
      <c r="I163">
        <v>114257.85999999999</v>
      </c>
      <c r="J163">
        <v>265</v>
      </c>
      <c r="K163">
        <v>1002.2200000000041</v>
      </c>
      <c r="L163">
        <v>1002.2200000000041</v>
      </c>
      <c r="M163">
        <v>0</v>
      </c>
      <c r="N163">
        <v>4029.3299999999726</v>
      </c>
      <c r="O163">
        <v>4029.3299999999726</v>
      </c>
      <c r="P163">
        <v>0</v>
      </c>
      <c r="Q163">
        <v>-22102.12</v>
      </c>
      <c r="R163">
        <v>-21794.86</v>
      </c>
      <c r="S163">
        <v>307.26</v>
      </c>
      <c r="T163">
        <v>-13.03</v>
      </c>
      <c r="U163">
        <v>-13.03</v>
      </c>
      <c r="V163">
        <v>0</v>
      </c>
      <c r="W163">
        <v>-122.1</v>
      </c>
      <c r="X163">
        <v>-122.1</v>
      </c>
      <c r="Y163">
        <v>0</v>
      </c>
      <c r="Z163">
        <v>96787.160000000353</v>
      </c>
      <c r="AA163">
        <v>97359.420000000391</v>
      </c>
      <c r="AB163">
        <v>572.26</v>
      </c>
      <c r="AC163">
        <v>17967.109999999928</v>
      </c>
      <c r="AD163">
        <v>8635.0500000000193</v>
      </c>
      <c r="AE163">
        <v>-9332.060000000014</v>
      </c>
      <c r="AF163">
        <v>78820.05000000009</v>
      </c>
      <c r="AG163">
        <v>88724.37000000017</v>
      </c>
      <c r="AH163">
        <v>9904.3200000000106</v>
      </c>
      <c r="AI163">
        <v>-4291.3799999999974</v>
      </c>
      <c r="AJ163">
        <v>-8.41</v>
      </c>
      <c r="AK163">
        <v>4282.9699999999966</v>
      </c>
      <c r="AL163">
        <v>83111.429999999935</v>
      </c>
      <c r="AM163">
        <v>88732.780000000173</v>
      </c>
      <c r="AN163">
        <v>5621.3500000000131</v>
      </c>
      <c r="AO163">
        <v>1575</v>
      </c>
    </row>
    <row r="164" spans="1:41" x14ac:dyDescent="0.35">
      <c r="A164">
        <v>2024</v>
      </c>
      <c r="B164">
        <v>1</v>
      </c>
      <c r="C164">
        <v>4</v>
      </c>
      <c r="D164" s="14">
        <v>45315</v>
      </c>
      <c r="E164" t="s">
        <v>44</v>
      </c>
      <c r="F164" t="s">
        <v>42</v>
      </c>
      <c r="G164" t="s">
        <v>46</v>
      </c>
      <c r="H164">
        <v>50688.250000000058</v>
      </c>
      <c r="I164">
        <v>50755.250000000058</v>
      </c>
      <c r="J164">
        <v>67</v>
      </c>
      <c r="K164">
        <v>355.43999999999852</v>
      </c>
      <c r="L164">
        <v>355.43999999999852</v>
      </c>
      <c r="M164">
        <v>0</v>
      </c>
      <c r="N164">
        <v>1208.2400000000005</v>
      </c>
      <c r="O164">
        <v>1208.2400000000005</v>
      </c>
      <c r="P164">
        <v>0</v>
      </c>
      <c r="Q164">
        <v>-18990.580000000042</v>
      </c>
      <c r="R164">
        <v>-18616.16000000004</v>
      </c>
      <c r="S164">
        <v>374.41999999999996</v>
      </c>
      <c r="T164">
        <v>0</v>
      </c>
      <c r="U164">
        <v>0</v>
      </c>
      <c r="V164">
        <v>0</v>
      </c>
      <c r="W164">
        <v>-10</v>
      </c>
      <c r="X164">
        <v>-10</v>
      </c>
      <c r="Y164">
        <v>0</v>
      </c>
      <c r="Z164">
        <v>33251.349999999969</v>
      </c>
      <c r="AA164">
        <v>33692.769999999968</v>
      </c>
      <c r="AB164">
        <v>441.42</v>
      </c>
      <c r="AC164">
        <v>8061.170000000021</v>
      </c>
      <c r="AD164">
        <v>3306.2700000000045</v>
      </c>
      <c r="AE164">
        <v>-4754.9000000000078</v>
      </c>
      <c r="AF164">
        <v>25190.18000000004</v>
      </c>
      <c r="AG164">
        <v>30386.500000000036</v>
      </c>
      <c r="AH164">
        <v>5196.3200000000079</v>
      </c>
      <c r="AI164">
        <v>-1281.5399999999993</v>
      </c>
      <c r="AJ164">
        <v>-8.17</v>
      </c>
      <c r="AK164">
        <v>1273.3699999999992</v>
      </c>
      <c r="AL164">
        <v>26471.720000000008</v>
      </c>
      <c r="AM164">
        <v>30394.670000000038</v>
      </c>
      <c r="AN164">
        <v>3922.9500000000085</v>
      </c>
      <c r="AO164">
        <v>651</v>
      </c>
    </row>
    <row r="165" spans="1:41" x14ac:dyDescent="0.35">
      <c r="A165">
        <v>2024</v>
      </c>
      <c r="B165">
        <v>1</v>
      </c>
      <c r="C165">
        <v>4</v>
      </c>
      <c r="D165" s="14">
        <v>45315</v>
      </c>
      <c r="E165" t="s">
        <v>44</v>
      </c>
      <c r="F165" t="s">
        <v>47</v>
      </c>
      <c r="G165" t="s">
        <v>48</v>
      </c>
      <c r="H165">
        <v>7701.9000000000169</v>
      </c>
      <c r="I165">
        <v>7701.9000000000169</v>
      </c>
      <c r="J165">
        <v>0</v>
      </c>
      <c r="K165">
        <v>722.42000000000007</v>
      </c>
      <c r="L165">
        <v>722.42000000000007</v>
      </c>
      <c r="M165">
        <v>0</v>
      </c>
      <c r="N165">
        <v>47.97</v>
      </c>
      <c r="O165">
        <v>47.97</v>
      </c>
      <c r="P165">
        <v>0</v>
      </c>
      <c r="Q165">
        <v>-1565.0500000000002</v>
      </c>
      <c r="R165">
        <v>-1565.0500000000002</v>
      </c>
      <c r="S165">
        <v>0</v>
      </c>
      <c r="T165">
        <v>-10.5</v>
      </c>
      <c r="U165">
        <v>-10.5</v>
      </c>
      <c r="V165">
        <v>0</v>
      </c>
      <c r="W165">
        <v>0</v>
      </c>
      <c r="X165">
        <v>0</v>
      </c>
      <c r="Y165">
        <v>0</v>
      </c>
      <c r="Z165">
        <v>6896.7400000000116</v>
      </c>
      <c r="AA165">
        <v>6896.7400000000116</v>
      </c>
      <c r="AB165">
        <v>0</v>
      </c>
      <c r="AC165">
        <v>51.7</v>
      </c>
      <c r="AD165">
        <v>24.950000000000003</v>
      </c>
      <c r="AE165">
        <v>-26.75</v>
      </c>
      <c r="AF165">
        <v>6845.0400000000118</v>
      </c>
      <c r="AG165">
        <v>6871.7900000000118</v>
      </c>
      <c r="AH165">
        <v>26.75</v>
      </c>
      <c r="AI165">
        <v>2226.319999999997</v>
      </c>
      <c r="AJ165">
        <v>16.079999999999998</v>
      </c>
      <c r="AK165">
        <v>-2210.2399999999971</v>
      </c>
      <c r="AL165">
        <v>4618.7200000000012</v>
      </c>
      <c r="AM165">
        <v>6855.710000000011</v>
      </c>
      <c r="AN165">
        <v>2236.9899999999971</v>
      </c>
      <c r="AO165">
        <v>215</v>
      </c>
    </row>
    <row r="166" spans="1:41" x14ac:dyDescent="0.35">
      <c r="A166">
        <v>2024</v>
      </c>
      <c r="B166">
        <v>1</v>
      </c>
      <c r="C166">
        <v>4</v>
      </c>
      <c r="D166" s="14">
        <v>45315</v>
      </c>
      <c r="E166" t="s">
        <v>44</v>
      </c>
      <c r="F166" t="s">
        <v>47</v>
      </c>
      <c r="G166" t="s">
        <v>49</v>
      </c>
      <c r="H166">
        <v>18026.599999999999</v>
      </c>
      <c r="I166">
        <v>18040.599999999999</v>
      </c>
      <c r="J166">
        <v>14</v>
      </c>
      <c r="K166">
        <v>111.68999999999998</v>
      </c>
      <c r="L166">
        <v>111.68999999999998</v>
      </c>
      <c r="M166">
        <v>0</v>
      </c>
      <c r="N166">
        <v>149.91</v>
      </c>
      <c r="O166">
        <v>149.91</v>
      </c>
      <c r="P166">
        <v>0</v>
      </c>
      <c r="Q166">
        <v>-6511.05</v>
      </c>
      <c r="R166">
        <v>-6511.05</v>
      </c>
      <c r="S166">
        <v>0</v>
      </c>
      <c r="T166">
        <v>-10</v>
      </c>
      <c r="U166">
        <v>-10</v>
      </c>
      <c r="V166">
        <v>0</v>
      </c>
      <c r="W166">
        <v>0</v>
      </c>
      <c r="X166">
        <v>0</v>
      </c>
      <c r="Y166">
        <v>0</v>
      </c>
      <c r="Z166">
        <v>11767.149999999989</v>
      </c>
      <c r="AA166">
        <v>11781.149999999989</v>
      </c>
      <c r="AB166">
        <v>14</v>
      </c>
      <c r="AC166">
        <v>193.61999999999998</v>
      </c>
      <c r="AD166">
        <v>43.56</v>
      </c>
      <c r="AE166">
        <v>-150.05999999999997</v>
      </c>
      <c r="AF166">
        <v>11573.529999999992</v>
      </c>
      <c r="AG166">
        <v>11737.589999999989</v>
      </c>
      <c r="AH166">
        <v>164.06</v>
      </c>
      <c r="AI166">
        <v>2995.3700000000008</v>
      </c>
      <c r="AJ166">
        <v>0</v>
      </c>
      <c r="AK166">
        <v>-2995.3700000000008</v>
      </c>
      <c r="AL166">
        <v>8578.1600000000053</v>
      </c>
      <c r="AM166">
        <v>11737.589999999989</v>
      </c>
      <c r="AN166">
        <v>3159.4300000000017</v>
      </c>
      <c r="AO166">
        <v>227</v>
      </c>
    </row>
    <row r="167" spans="1:41" x14ac:dyDescent="0.35">
      <c r="A167">
        <v>2024</v>
      </c>
      <c r="B167">
        <v>1</v>
      </c>
      <c r="C167">
        <v>4</v>
      </c>
      <c r="D167" s="14">
        <v>45315</v>
      </c>
      <c r="E167" t="s">
        <v>44</v>
      </c>
      <c r="F167" t="s">
        <v>47</v>
      </c>
      <c r="G167" t="s">
        <v>50</v>
      </c>
      <c r="H167">
        <v>22387.55</v>
      </c>
      <c r="I167">
        <v>22436.55</v>
      </c>
      <c r="J167">
        <v>49</v>
      </c>
      <c r="K167">
        <v>451.01999999999964</v>
      </c>
      <c r="L167">
        <v>451.01999999999964</v>
      </c>
      <c r="M167">
        <v>0</v>
      </c>
      <c r="N167">
        <v>889.4300000000004</v>
      </c>
      <c r="O167">
        <v>876.4400000000004</v>
      </c>
      <c r="P167">
        <v>-12.99</v>
      </c>
      <c r="Q167">
        <v>-7158.43</v>
      </c>
      <c r="R167">
        <v>-7093.01</v>
      </c>
      <c r="S167">
        <v>65.42</v>
      </c>
      <c r="T167">
        <v>-30</v>
      </c>
      <c r="U167">
        <v>-30</v>
      </c>
      <c r="V167">
        <v>0</v>
      </c>
      <c r="W167">
        <v>-15</v>
      </c>
      <c r="X167">
        <v>-15</v>
      </c>
      <c r="Y167">
        <v>0</v>
      </c>
      <c r="Z167">
        <v>16524.569999999992</v>
      </c>
      <c r="AA167">
        <v>16625.999999999993</v>
      </c>
      <c r="AB167">
        <v>101.42999999999998</v>
      </c>
      <c r="AC167">
        <v>2422.2999999999997</v>
      </c>
      <c r="AD167">
        <v>1008.5599999999997</v>
      </c>
      <c r="AE167">
        <v>-1413.7399999999998</v>
      </c>
      <c r="AF167">
        <v>14102.269999999997</v>
      </c>
      <c r="AG167">
        <v>15617.439999999997</v>
      </c>
      <c r="AH167">
        <v>1515.17</v>
      </c>
      <c r="AI167">
        <v>-622.94000000000028</v>
      </c>
      <c r="AJ167">
        <v>0</v>
      </c>
      <c r="AK167">
        <v>622.94000000000028</v>
      </c>
      <c r="AL167">
        <v>14725.210000000006</v>
      </c>
      <c r="AM167">
        <v>15617.439999999997</v>
      </c>
      <c r="AN167">
        <v>892.22999999999979</v>
      </c>
      <c r="AO167">
        <v>279</v>
      </c>
    </row>
    <row r="168" spans="1:41" x14ac:dyDescent="0.35">
      <c r="A168">
        <v>2024</v>
      </c>
      <c r="B168">
        <v>1</v>
      </c>
      <c r="C168">
        <v>4</v>
      </c>
      <c r="D168" s="14">
        <v>45315</v>
      </c>
      <c r="E168" t="s">
        <v>44</v>
      </c>
      <c r="F168" t="s">
        <v>47</v>
      </c>
      <c r="G168" t="s">
        <v>51</v>
      </c>
      <c r="H168">
        <v>4775.75</v>
      </c>
      <c r="I168">
        <v>4775.75</v>
      </c>
      <c r="J168">
        <v>0</v>
      </c>
      <c r="K168">
        <v>20</v>
      </c>
      <c r="L168">
        <v>20</v>
      </c>
      <c r="M168">
        <v>0</v>
      </c>
      <c r="N168">
        <v>0</v>
      </c>
      <c r="O168">
        <v>0</v>
      </c>
      <c r="P168">
        <v>0</v>
      </c>
      <c r="Q168">
        <v>-1170.7000000000003</v>
      </c>
      <c r="R168">
        <v>-1170.7000000000003</v>
      </c>
      <c r="S168">
        <v>0</v>
      </c>
      <c r="T168">
        <v>-8</v>
      </c>
      <c r="U168">
        <v>-8</v>
      </c>
      <c r="V168">
        <v>0</v>
      </c>
      <c r="W168">
        <v>0</v>
      </c>
      <c r="X168">
        <v>0</v>
      </c>
      <c r="Y168">
        <v>0</v>
      </c>
      <c r="Z168">
        <v>3617.0499999999997</v>
      </c>
      <c r="AA168">
        <v>3617.0499999999997</v>
      </c>
      <c r="AB168">
        <v>0</v>
      </c>
      <c r="AC168">
        <v>63.319999999999993</v>
      </c>
      <c r="AD168">
        <v>46.66</v>
      </c>
      <c r="AE168">
        <v>-16.66</v>
      </c>
      <c r="AF168">
        <v>3553.7299999999991</v>
      </c>
      <c r="AG168">
        <v>3570.3899999999994</v>
      </c>
      <c r="AH168">
        <v>16.659999999999997</v>
      </c>
      <c r="AI168">
        <v>797.12000000000046</v>
      </c>
      <c r="AJ168">
        <v>0</v>
      </c>
      <c r="AK168">
        <v>-797.12000000000046</v>
      </c>
      <c r="AL168">
        <v>2756.6099999999988</v>
      </c>
      <c r="AM168">
        <v>3570.3899999999994</v>
      </c>
      <c r="AN168">
        <v>813.78000000000054</v>
      </c>
      <c r="AO168">
        <v>81</v>
      </c>
    </row>
    <row r="169" spans="1:41" x14ac:dyDescent="0.35">
      <c r="A169">
        <v>2024</v>
      </c>
      <c r="B169">
        <v>1</v>
      </c>
      <c r="C169">
        <v>4</v>
      </c>
      <c r="D169" s="14">
        <v>45316</v>
      </c>
      <c r="E169" t="s">
        <v>41</v>
      </c>
      <c r="F169" t="s">
        <v>42</v>
      </c>
      <c r="G169" t="s">
        <v>43</v>
      </c>
      <c r="H169">
        <v>65669.75</v>
      </c>
      <c r="I169">
        <v>65796.75</v>
      </c>
      <c r="J169">
        <v>127</v>
      </c>
      <c r="K169">
        <v>1027.5500000000056</v>
      </c>
      <c r="L169">
        <v>1020.5500000000058</v>
      </c>
      <c r="M169">
        <v>-7</v>
      </c>
      <c r="N169">
        <v>1492.8400000000008</v>
      </c>
      <c r="O169">
        <v>1492.8400000000008</v>
      </c>
      <c r="P169">
        <v>0</v>
      </c>
      <c r="Q169">
        <v>-6971.68</v>
      </c>
      <c r="R169">
        <v>-6650.68</v>
      </c>
      <c r="S169">
        <v>321</v>
      </c>
      <c r="T169">
        <v>-14.89</v>
      </c>
      <c r="U169">
        <v>-14.89</v>
      </c>
      <c r="V169">
        <v>0</v>
      </c>
      <c r="W169">
        <v>-80.990000000000009</v>
      </c>
      <c r="X169">
        <v>-80.990000000000009</v>
      </c>
      <c r="Y169">
        <v>0</v>
      </c>
      <c r="Z169">
        <v>61122.57999999958</v>
      </c>
      <c r="AA169">
        <v>61563.579999999572</v>
      </c>
      <c r="AB169">
        <v>441</v>
      </c>
      <c r="AC169">
        <v>15702.460000000001</v>
      </c>
      <c r="AD169">
        <v>7448.4900000000252</v>
      </c>
      <c r="AE169">
        <v>-8253.9700000000321</v>
      </c>
      <c r="AF169">
        <v>45420.120000000366</v>
      </c>
      <c r="AG169">
        <v>54115.090000000047</v>
      </c>
      <c r="AH169">
        <v>8694.9700000000284</v>
      </c>
      <c r="AI169">
        <v>-3799.8100000000036</v>
      </c>
      <c r="AJ169">
        <v>0</v>
      </c>
      <c r="AK169">
        <v>3799.8100000000036</v>
      </c>
      <c r="AL169">
        <v>49219.930000000124</v>
      </c>
      <c r="AM169">
        <v>54115.090000000047</v>
      </c>
      <c r="AN169">
        <v>4895.1600000000226</v>
      </c>
      <c r="AO169">
        <v>1215</v>
      </c>
    </row>
    <row r="170" spans="1:41" x14ac:dyDescent="0.35">
      <c r="A170">
        <v>2024</v>
      </c>
      <c r="B170">
        <v>1</v>
      </c>
      <c r="C170">
        <v>4</v>
      </c>
      <c r="D170" s="14">
        <v>45316</v>
      </c>
      <c r="E170" t="s">
        <v>44</v>
      </c>
      <c r="F170" t="s">
        <v>42</v>
      </c>
      <c r="G170" t="s">
        <v>45</v>
      </c>
      <c r="H170">
        <v>110808.43</v>
      </c>
      <c r="I170">
        <v>111150.43</v>
      </c>
      <c r="J170">
        <v>342</v>
      </c>
      <c r="K170">
        <v>940.43000000000779</v>
      </c>
      <c r="L170">
        <v>940.43000000000779</v>
      </c>
      <c r="M170">
        <v>0</v>
      </c>
      <c r="N170">
        <v>4707.8499999999622</v>
      </c>
      <c r="O170">
        <v>4707.8499999999622</v>
      </c>
      <c r="P170">
        <v>0</v>
      </c>
      <c r="Q170">
        <v>-20573.209999999992</v>
      </c>
      <c r="R170">
        <v>-20377.739999999998</v>
      </c>
      <c r="S170">
        <v>195.47000000000006</v>
      </c>
      <c r="T170">
        <v>-12.630000000000003</v>
      </c>
      <c r="U170">
        <v>-12.630000000000003</v>
      </c>
      <c r="V170">
        <v>0</v>
      </c>
      <c r="W170">
        <v>-57.599999999999994</v>
      </c>
      <c r="X170">
        <v>-57.599999999999994</v>
      </c>
      <c r="Y170">
        <v>0</v>
      </c>
      <c r="Z170">
        <v>95813.270000000324</v>
      </c>
      <c r="AA170">
        <v>96350.740000000354</v>
      </c>
      <c r="AB170">
        <v>537.47</v>
      </c>
      <c r="AC170">
        <v>17276.929999999935</v>
      </c>
      <c r="AD170">
        <v>8679.060000000014</v>
      </c>
      <c r="AE170">
        <v>-8597.8700000000208</v>
      </c>
      <c r="AF170">
        <v>78536.340000000113</v>
      </c>
      <c r="AG170">
        <v>87671.68000000024</v>
      </c>
      <c r="AH170">
        <v>9135.3400000000074</v>
      </c>
      <c r="AI170">
        <v>-4426.9300000000012</v>
      </c>
      <c r="AJ170">
        <v>0</v>
      </c>
      <c r="AK170">
        <v>4426.9300000000012</v>
      </c>
      <c r="AL170">
        <v>82963.270000000164</v>
      </c>
      <c r="AM170">
        <v>87671.68000000024</v>
      </c>
      <c r="AN170">
        <v>4708.4100000000117</v>
      </c>
      <c r="AO170">
        <v>1545</v>
      </c>
    </row>
    <row r="171" spans="1:41" x14ac:dyDescent="0.35">
      <c r="A171">
        <v>2024</v>
      </c>
      <c r="B171">
        <v>1</v>
      </c>
      <c r="C171">
        <v>4</v>
      </c>
      <c r="D171" s="14">
        <v>45316</v>
      </c>
      <c r="E171" t="s">
        <v>44</v>
      </c>
      <c r="F171" t="s">
        <v>42</v>
      </c>
      <c r="G171" t="s">
        <v>46</v>
      </c>
      <c r="H171">
        <v>50672.430000000058</v>
      </c>
      <c r="I171">
        <v>50750.430000000058</v>
      </c>
      <c r="J171">
        <v>78</v>
      </c>
      <c r="K171">
        <v>414.44999999999931</v>
      </c>
      <c r="L171">
        <v>414.44999999999931</v>
      </c>
      <c r="M171">
        <v>0</v>
      </c>
      <c r="N171">
        <v>1118.3100000000004</v>
      </c>
      <c r="O171">
        <v>1118.3100000000004</v>
      </c>
      <c r="P171">
        <v>0</v>
      </c>
      <c r="Q171">
        <v>-18183.630000000041</v>
      </c>
      <c r="R171">
        <v>-18048.370000000039</v>
      </c>
      <c r="S171">
        <v>135.26000000000002</v>
      </c>
      <c r="T171">
        <v>-10</v>
      </c>
      <c r="U171">
        <v>-10</v>
      </c>
      <c r="V171">
        <v>0</v>
      </c>
      <c r="W171">
        <v>-20</v>
      </c>
      <c r="X171">
        <v>-20</v>
      </c>
      <c r="Y171">
        <v>0</v>
      </c>
      <c r="Z171">
        <v>33991.559999999983</v>
      </c>
      <c r="AA171">
        <v>34204.819999999985</v>
      </c>
      <c r="AB171">
        <v>213.26000000000002</v>
      </c>
      <c r="AC171">
        <v>7167.3300000000154</v>
      </c>
      <c r="AD171">
        <v>3979.460000000005</v>
      </c>
      <c r="AE171">
        <v>-3187.8700000000035</v>
      </c>
      <c r="AF171">
        <v>26824.230000000058</v>
      </c>
      <c r="AG171">
        <v>30225.360000000044</v>
      </c>
      <c r="AH171">
        <v>3401.1300000000037</v>
      </c>
      <c r="AI171">
        <v>-1274.4499999999994</v>
      </c>
      <c r="AJ171">
        <v>0</v>
      </c>
      <c r="AK171">
        <v>1274.4499999999994</v>
      </c>
      <c r="AL171">
        <v>28098.680000000033</v>
      </c>
      <c r="AM171">
        <v>30225.360000000044</v>
      </c>
      <c r="AN171">
        <v>2126.680000000003</v>
      </c>
      <c r="AO171">
        <v>670</v>
      </c>
    </row>
    <row r="172" spans="1:41" x14ac:dyDescent="0.35">
      <c r="A172">
        <v>2024</v>
      </c>
      <c r="B172">
        <v>1</v>
      </c>
      <c r="C172">
        <v>4</v>
      </c>
      <c r="D172" s="14">
        <v>45316</v>
      </c>
      <c r="E172" t="s">
        <v>44</v>
      </c>
      <c r="F172" t="s">
        <v>47</v>
      </c>
      <c r="G172" t="s">
        <v>48</v>
      </c>
      <c r="H172">
        <v>12344.399999999998</v>
      </c>
      <c r="I172">
        <v>12344.399999999998</v>
      </c>
      <c r="J172">
        <v>0</v>
      </c>
      <c r="K172">
        <v>495.24999999999994</v>
      </c>
      <c r="L172">
        <v>495.24999999999994</v>
      </c>
      <c r="M172">
        <v>0</v>
      </c>
      <c r="N172">
        <v>0</v>
      </c>
      <c r="O172">
        <v>0</v>
      </c>
      <c r="P172">
        <v>0</v>
      </c>
      <c r="Q172">
        <v>-2493.9000000000005</v>
      </c>
      <c r="R172">
        <v>-2493.9000000000005</v>
      </c>
      <c r="S172">
        <v>0</v>
      </c>
      <c r="T172">
        <v>-11</v>
      </c>
      <c r="U172">
        <v>-11</v>
      </c>
      <c r="V172">
        <v>0</v>
      </c>
      <c r="W172">
        <v>0</v>
      </c>
      <c r="X172">
        <v>0</v>
      </c>
      <c r="Y172">
        <v>0</v>
      </c>
      <c r="Z172">
        <v>10334.75</v>
      </c>
      <c r="AA172">
        <v>10334.75</v>
      </c>
      <c r="AB172">
        <v>0</v>
      </c>
      <c r="AC172">
        <v>38.340000000000003</v>
      </c>
      <c r="AD172">
        <v>14.5</v>
      </c>
      <c r="AE172">
        <v>-23.840000000000003</v>
      </c>
      <c r="AF172">
        <v>10296.410000000002</v>
      </c>
      <c r="AG172">
        <v>10320.25</v>
      </c>
      <c r="AH172">
        <v>23.840000000000003</v>
      </c>
      <c r="AI172">
        <v>2904.49</v>
      </c>
      <c r="AJ172">
        <v>0</v>
      </c>
      <c r="AK172">
        <v>-2904.49</v>
      </c>
      <c r="AL172">
        <v>7391.9200000000019</v>
      </c>
      <c r="AM172">
        <v>10320.25</v>
      </c>
      <c r="AN172">
        <v>2928.3299999999995</v>
      </c>
      <c r="AO172">
        <v>284</v>
      </c>
    </row>
    <row r="173" spans="1:41" x14ac:dyDescent="0.35">
      <c r="A173">
        <v>2024</v>
      </c>
      <c r="B173">
        <v>1</v>
      </c>
      <c r="C173">
        <v>4</v>
      </c>
      <c r="D173" s="14">
        <v>45316</v>
      </c>
      <c r="E173" t="s">
        <v>44</v>
      </c>
      <c r="F173" t="s">
        <v>47</v>
      </c>
      <c r="G173" t="s">
        <v>49</v>
      </c>
      <c r="H173">
        <v>16434.8</v>
      </c>
      <c r="I173">
        <v>16434.8</v>
      </c>
      <c r="J173">
        <v>0</v>
      </c>
      <c r="K173">
        <v>113.57999999999996</v>
      </c>
      <c r="L173">
        <v>113.57999999999996</v>
      </c>
      <c r="M173">
        <v>0</v>
      </c>
      <c r="N173">
        <v>174.88000000000002</v>
      </c>
      <c r="O173">
        <v>174.88000000000002</v>
      </c>
      <c r="P173">
        <v>0</v>
      </c>
      <c r="Q173">
        <v>-6917.5199999999977</v>
      </c>
      <c r="R173">
        <v>-6907.5199999999977</v>
      </c>
      <c r="S173">
        <v>10</v>
      </c>
      <c r="T173">
        <v>-10</v>
      </c>
      <c r="U173">
        <v>-10</v>
      </c>
      <c r="V173">
        <v>0</v>
      </c>
      <c r="W173">
        <v>-5</v>
      </c>
      <c r="X173">
        <v>-5</v>
      </c>
      <c r="Y173">
        <v>0</v>
      </c>
      <c r="Z173">
        <v>9790.7399999999852</v>
      </c>
      <c r="AA173">
        <v>9800.7399999999852</v>
      </c>
      <c r="AB173">
        <v>10</v>
      </c>
      <c r="AC173">
        <v>189.85000000000002</v>
      </c>
      <c r="AD173">
        <v>135.04000000000002</v>
      </c>
      <c r="AE173">
        <v>-54.809999999999995</v>
      </c>
      <c r="AF173">
        <v>9600.8899999999903</v>
      </c>
      <c r="AG173">
        <v>9665.699999999988</v>
      </c>
      <c r="AH173">
        <v>64.81</v>
      </c>
      <c r="AI173">
        <v>2240.1099999999992</v>
      </c>
      <c r="AJ173">
        <v>10.09</v>
      </c>
      <c r="AK173">
        <v>-2230.0199999999991</v>
      </c>
      <c r="AL173">
        <v>7360.7800000000034</v>
      </c>
      <c r="AM173">
        <v>9655.6099999999878</v>
      </c>
      <c r="AN173">
        <v>2294.8299999999995</v>
      </c>
      <c r="AO173">
        <v>193</v>
      </c>
    </row>
    <row r="174" spans="1:41" x14ac:dyDescent="0.35">
      <c r="A174">
        <v>2024</v>
      </c>
      <c r="B174">
        <v>1</v>
      </c>
      <c r="C174">
        <v>4</v>
      </c>
      <c r="D174" s="14">
        <v>45316</v>
      </c>
      <c r="E174" t="s">
        <v>44</v>
      </c>
      <c r="F174" t="s">
        <v>47</v>
      </c>
      <c r="G174" t="s">
        <v>50</v>
      </c>
      <c r="H174">
        <v>21753.91</v>
      </c>
      <c r="I174">
        <v>21815.91</v>
      </c>
      <c r="J174">
        <v>62</v>
      </c>
      <c r="K174">
        <v>556.69999999999982</v>
      </c>
      <c r="L174">
        <v>556.69999999999982</v>
      </c>
      <c r="M174">
        <v>0</v>
      </c>
      <c r="N174">
        <v>974.40000000000043</v>
      </c>
      <c r="O174">
        <v>974.40000000000043</v>
      </c>
      <c r="P174">
        <v>0</v>
      </c>
      <c r="Q174">
        <v>-7069.3000000000011</v>
      </c>
      <c r="R174">
        <v>-6937.4600000000009</v>
      </c>
      <c r="S174">
        <v>131.84</v>
      </c>
      <c r="T174">
        <v>-45</v>
      </c>
      <c r="U174">
        <v>-45</v>
      </c>
      <c r="V174">
        <v>0</v>
      </c>
      <c r="W174">
        <v>-65.97</v>
      </c>
      <c r="X174">
        <v>-65.97</v>
      </c>
      <c r="Y174">
        <v>0</v>
      </c>
      <c r="Z174">
        <v>16104.739999999982</v>
      </c>
      <c r="AA174">
        <v>16298.579999999982</v>
      </c>
      <c r="AB174">
        <v>193.83999999999997</v>
      </c>
      <c r="AC174">
        <v>2077.6400000000017</v>
      </c>
      <c r="AD174">
        <v>1082.1000000000001</v>
      </c>
      <c r="AE174">
        <v>-995.53999999999894</v>
      </c>
      <c r="AF174">
        <v>14027.100000000004</v>
      </c>
      <c r="AG174">
        <v>15216.48</v>
      </c>
      <c r="AH174">
        <v>1189.3799999999992</v>
      </c>
      <c r="AI174">
        <v>-699.11999999999966</v>
      </c>
      <c r="AJ174">
        <v>0</v>
      </c>
      <c r="AK174">
        <v>699.11999999999966</v>
      </c>
      <c r="AL174">
        <v>14726.220000000003</v>
      </c>
      <c r="AM174">
        <v>15216.48</v>
      </c>
      <c r="AN174">
        <v>490.2600000000001</v>
      </c>
      <c r="AO174">
        <v>265</v>
      </c>
    </row>
    <row r="175" spans="1:41" x14ac:dyDescent="0.35">
      <c r="A175">
        <v>2024</v>
      </c>
      <c r="B175">
        <v>1</v>
      </c>
      <c r="C175">
        <v>4</v>
      </c>
      <c r="D175" s="14">
        <v>45316</v>
      </c>
      <c r="E175" t="s">
        <v>44</v>
      </c>
      <c r="F175" t="s">
        <v>47</v>
      </c>
      <c r="G175" t="s">
        <v>51</v>
      </c>
      <c r="H175">
        <v>3118.8000000000011</v>
      </c>
      <c r="I175">
        <v>3118.8000000000011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-590.25</v>
      </c>
      <c r="R175">
        <v>-590.25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2528.5500000000006</v>
      </c>
      <c r="AA175">
        <v>2528.5500000000006</v>
      </c>
      <c r="AB175">
        <v>0</v>
      </c>
      <c r="AC175">
        <v>54.989999999999995</v>
      </c>
      <c r="AD175">
        <v>8.33</v>
      </c>
      <c r="AE175">
        <v>-46.66</v>
      </c>
      <c r="AF175">
        <v>2473.5600000000009</v>
      </c>
      <c r="AG175">
        <v>2520.2200000000007</v>
      </c>
      <c r="AH175">
        <v>46.66</v>
      </c>
      <c r="AI175">
        <v>559.12</v>
      </c>
      <c r="AJ175">
        <v>0</v>
      </c>
      <c r="AK175">
        <v>-559.12</v>
      </c>
      <c r="AL175">
        <v>1914.4399999999998</v>
      </c>
      <c r="AM175">
        <v>2520.2200000000007</v>
      </c>
      <c r="AN175">
        <v>605.78</v>
      </c>
      <c r="AO175">
        <v>58</v>
      </c>
    </row>
    <row r="176" spans="1:41" x14ac:dyDescent="0.35">
      <c r="A176">
        <v>2024</v>
      </c>
      <c r="B176">
        <v>1</v>
      </c>
      <c r="C176">
        <v>4</v>
      </c>
      <c r="D176" s="14">
        <v>45317</v>
      </c>
      <c r="E176" t="s">
        <v>41</v>
      </c>
      <c r="F176" t="s">
        <v>42</v>
      </c>
      <c r="G176" t="s">
        <v>43</v>
      </c>
      <c r="H176">
        <v>69068.75</v>
      </c>
      <c r="I176">
        <v>69096.75</v>
      </c>
      <c r="J176">
        <v>28</v>
      </c>
      <c r="K176">
        <v>1041.9600000000103</v>
      </c>
      <c r="L176">
        <v>1041.9600000000103</v>
      </c>
      <c r="M176">
        <v>0</v>
      </c>
      <c r="N176">
        <v>1508.8700000000008</v>
      </c>
      <c r="O176">
        <v>1508.8700000000008</v>
      </c>
      <c r="P176">
        <v>0</v>
      </c>
      <c r="Q176">
        <v>-7556.93</v>
      </c>
      <c r="R176">
        <v>-6944.93</v>
      </c>
      <c r="S176">
        <v>612</v>
      </c>
      <c r="T176">
        <v>-13.470000000000002</v>
      </c>
      <c r="U176">
        <v>-13.470000000000002</v>
      </c>
      <c r="V176">
        <v>0</v>
      </c>
      <c r="W176">
        <v>-113.97</v>
      </c>
      <c r="X176">
        <v>-113.97</v>
      </c>
      <c r="Y176">
        <v>0</v>
      </c>
      <c r="Z176">
        <v>63935.209999999526</v>
      </c>
      <c r="AA176">
        <v>64575.209999999519</v>
      </c>
      <c r="AB176">
        <v>640</v>
      </c>
      <c r="AC176">
        <v>16912.329999999947</v>
      </c>
      <c r="AD176">
        <v>9238.7100000000191</v>
      </c>
      <c r="AE176">
        <v>-7673.6200000000244</v>
      </c>
      <c r="AF176">
        <v>47022.880000000405</v>
      </c>
      <c r="AG176">
        <v>55336.500000000022</v>
      </c>
      <c r="AH176">
        <v>8313.6200000000244</v>
      </c>
      <c r="AI176">
        <v>-4584.22</v>
      </c>
      <c r="AJ176">
        <v>0</v>
      </c>
      <c r="AK176">
        <v>4584.22</v>
      </c>
      <c r="AL176">
        <v>51607.10000000026</v>
      </c>
      <c r="AM176">
        <v>55336.500000000022</v>
      </c>
      <c r="AN176">
        <v>3729.4000000000092</v>
      </c>
      <c r="AO176">
        <v>1287</v>
      </c>
    </row>
    <row r="177" spans="1:41" x14ac:dyDescent="0.35">
      <c r="A177">
        <v>2024</v>
      </c>
      <c r="B177">
        <v>1</v>
      </c>
      <c r="C177">
        <v>4</v>
      </c>
      <c r="D177" s="14">
        <v>45317</v>
      </c>
      <c r="E177" t="s">
        <v>44</v>
      </c>
      <c r="F177" t="s">
        <v>42</v>
      </c>
      <c r="G177" t="s">
        <v>45</v>
      </c>
      <c r="H177">
        <v>116587.43</v>
      </c>
      <c r="I177">
        <v>116750.43</v>
      </c>
      <c r="J177">
        <v>163</v>
      </c>
      <c r="K177">
        <v>1060.3400000000054</v>
      </c>
      <c r="L177">
        <v>1060.3400000000054</v>
      </c>
      <c r="M177">
        <v>0</v>
      </c>
      <c r="N177">
        <v>4978.6699999999591</v>
      </c>
      <c r="O177">
        <v>4978.6699999999591</v>
      </c>
      <c r="P177">
        <v>0</v>
      </c>
      <c r="Q177">
        <v>-21749.179999999993</v>
      </c>
      <c r="R177">
        <v>-21226.34</v>
      </c>
      <c r="S177">
        <v>522.83999999999992</v>
      </c>
      <c r="T177">
        <v>-5.0300000000000011</v>
      </c>
      <c r="U177">
        <v>-5.0300000000000011</v>
      </c>
      <c r="V177">
        <v>0</v>
      </c>
      <c r="W177">
        <v>-104.58</v>
      </c>
      <c r="X177">
        <v>-104.58</v>
      </c>
      <c r="Y177">
        <v>0</v>
      </c>
      <c r="Z177">
        <v>100767.65000000042</v>
      </c>
      <c r="AA177">
        <v>101453.49000000047</v>
      </c>
      <c r="AB177">
        <v>685.8399999999998</v>
      </c>
      <c r="AC177">
        <v>18023.839999999902</v>
      </c>
      <c r="AD177">
        <v>9392.4900000000107</v>
      </c>
      <c r="AE177">
        <v>-8631.3500000000076</v>
      </c>
      <c r="AF177">
        <v>82743.810000000129</v>
      </c>
      <c r="AG177">
        <v>92061.000000000247</v>
      </c>
      <c r="AH177">
        <v>9317.1900000000023</v>
      </c>
      <c r="AI177">
        <v>-4646.63</v>
      </c>
      <c r="AJ177">
        <v>0</v>
      </c>
      <c r="AK177">
        <v>4646.63</v>
      </c>
      <c r="AL177">
        <v>87390.440000000104</v>
      </c>
      <c r="AM177">
        <v>92061.000000000247</v>
      </c>
      <c r="AN177">
        <v>4670.5600000000113</v>
      </c>
      <c r="AO177">
        <v>1630</v>
      </c>
    </row>
    <row r="178" spans="1:41" x14ac:dyDescent="0.35">
      <c r="A178">
        <v>2024</v>
      </c>
      <c r="B178">
        <v>1</v>
      </c>
      <c r="C178">
        <v>4</v>
      </c>
      <c r="D178" s="14">
        <v>45317</v>
      </c>
      <c r="E178" t="s">
        <v>44</v>
      </c>
      <c r="F178" t="s">
        <v>42</v>
      </c>
      <c r="G178" t="s">
        <v>46</v>
      </c>
      <c r="H178">
        <v>55084.160000000084</v>
      </c>
      <c r="I178">
        <v>55280.160000000084</v>
      </c>
      <c r="J178">
        <v>196</v>
      </c>
      <c r="K178">
        <v>459.55999999999852</v>
      </c>
      <c r="L178">
        <v>459.55999999999852</v>
      </c>
      <c r="M178">
        <v>0</v>
      </c>
      <c r="N178">
        <v>1349.1600000000005</v>
      </c>
      <c r="O178">
        <v>1349.1600000000005</v>
      </c>
      <c r="P178">
        <v>0</v>
      </c>
      <c r="Q178">
        <v>-20758.260000000064</v>
      </c>
      <c r="R178">
        <v>-20229.840000000055</v>
      </c>
      <c r="S178">
        <v>528.41999999999996</v>
      </c>
      <c r="T178">
        <v>-15</v>
      </c>
      <c r="U178">
        <v>-15</v>
      </c>
      <c r="V178">
        <v>0</v>
      </c>
      <c r="W178">
        <v>-53.989999999999995</v>
      </c>
      <c r="X178">
        <v>-53.989999999999995</v>
      </c>
      <c r="Y178">
        <v>0</v>
      </c>
      <c r="Z178">
        <v>36065.629999999961</v>
      </c>
      <c r="AA178">
        <v>36790.049999999959</v>
      </c>
      <c r="AB178">
        <v>724.42000000000007</v>
      </c>
      <c r="AC178">
        <v>8444.0700000000106</v>
      </c>
      <c r="AD178">
        <v>4568.9700000000057</v>
      </c>
      <c r="AE178">
        <v>-3875.100000000004</v>
      </c>
      <c r="AF178">
        <v>27621.560000000074</v>
      </c>
      <c r="AG178">
        <v>32221.080000000049</v>
      </c>
      <c r="AH178">
        <v>4599.5200000000068</v>
      </c>
      <c r="AI178">
        <v>-1704.8599999999992</v>
      </c>
      <c r="AJ178">
        <v>0</v>
      </c>
      <c r="AK178">
        <v>1704.8599999999992</v>
      </c>
      <c r="AL178">
        <v>29326.420000000082</v>
      </c>
      <c r="AM178">
        <v>32221.080000000049</v>
      </c>
      <c r="AN178">
        <v>2894.6600000000094</v>
      </c>
      <c r="AO178">
        <v>718</v>
      </c>
    </row>
    <row r="179" spans="1:41" x14ac:dyDescent="0.35">
      <c r="A179">
        <v>2024</v>
      </c>
      <c r="B179">
        <v>1</v>
      </c>
      <c r="C179">
        <v>4</v>
      </c>
      <c r="D179" s="14">
        <v>45317</v>
      </c>
      <c r="E179" t="s">
        <v>44</v>
      </c>
      <c r="F179" t="s">
        <v>47</v>
      </c>
      <c r="G179" t="s">
        <v>48</v>
      </c>
      <c r="H179">
        <v>13658.749999999922</v>
      </c>
      <c r="I179">
        <v>13658.749999999922</v>
      </c>
      <c r="J179">
        <v>0</v>
      </c>
      <c r="K179">
        <v>672.65000000000009</v>
      </c>
      <c r="L179">
        <v>672.65000000000009</v>
      </c>
      <c r="M179">
        <v>0</v>
      </c>
      <c r="N179">
        <v>85.949999999999989</v>
      </c>
      <c r="O179">
        <v>85.949999999999989</v>
      </c>
      <c r="P179">
        <v>0</v>
      </c>
      <c r="Q179">
        <v>-3223.1399999999985</v>
      </c>
      <c r="R179">
        <v>-3223.1399999999985</v>
      </c>
      <c r="S179">
        <v>0</v>
      </c>
      <c r="T179">
        <v>0</v>
      </c>
      <c r="U179">
        <v>0</v>
      </c>
      <c r="V179">
        <v>0</v>
      </c>
      <c r="W179">
        <v>-23.99</v>
      </c>
      <c r="X179">
        <v>-23.99</v>
      </c>
      <c r="Y179">
        <v>0</v>
      </c>
      <c r="Z179">
        <v>11170.219999999948</v>
      </c>
      <c r="AA179">
        <v>11170.219999999948</v>
      </c>
      <c r="AB179">
        <v>0</v>
      </c>
      <c r="AC179">
        <v>43.519999999999996</v>
      </c>
      <c r="AD179">
        <v>29.02</v>
      </c>
      <c r="AE179">
        <v>-14.5</v>
      </c>
      <c r="AF179">
        <v>11126.699999999948</v>
      </c>
      <c r="AG179">
        <v>11141.199999999948</v>
      </c>
      <c r="AH179">
        <v>14.5</v>
      </c>
      <c r="AI179">
        <v>3522.389999999999</v>
      </c>
      <c r="AJ179">
        <v>0</v>
      </c>
      <c r="AK179">
        <v>-3522.389999999999</v>
      </c>
      <c r="AL179">
        <v>7604.3100000000049</v>
      </c>
      <c r="AM179">
        <v>11141.199999999948</v>
      </c>
      <c r="AN179">
        <v>3536.889999999999</v>
      </c>
      <c r="AO179">
        <v>327</v>
      </c>
    </row>
    <row r="180" spans="1:41" x14ac:dyDescent="0.35">
      <c r="A180">
        <v>2024</v>
      </c>
      <c r="B180">
        <v>1</v>
      </c>
      <c r="C180">
        <v>4</v>
      </c>
      <c r="D180" s="14">
        <v>45317</v>
      </c>
      <c r="E180" t="s">
        <v>44</v>
      </c>
      <c r="F180" t="s">
        <v>47</v>
      </c>
      <c r="G180" t="s">
        <v>49</v>
      </c>
      <c r="H180">
        <v>14644.25</v>
      </c>
      <c r="I180">
        <v>14644.25</v>
      </c>
      <c r="J180">
        <v>0</v>
      </c>
      <c r="K180">
        <v>235.48000000000008</v>
      </c>
      <c r="L180">
        <v>235.48000000000008</v>
      </c>
      <c r="M180">
        <v>0</v>
      </c>
      <c r="N180">
        <v>164.89999999999998</v>
      </c>
      <c r="O180">
        <v>164.89999999999998</v>
      </c>
      <c r="P180">
        <v>0</v>
      </c>
      <c r="Q180">
        <v>-5436.4999999999991</v>
      </c>
      <c r="R180">
        <v>-5436.4999999999991</v>
      </c>
      <c r="S180">
        <v>0</v>
      </c>
      <c r="T180">
        <v>-15.5</v>
      </c>
      <c r="U180">
        <v>-15.5</v>
      </c>
      <c r="V180">
        <v>0</v>
      </c>
      <c r="W180">
        <v>-15</v>
      </c>
      <c r="X180">
        <v>-15</v>
      </c>
      <c r="Y180">
        <v>0</v>
      </c>
      <c r="Z180">
        <v>9577.6299999999937</v>
      </c>
      <c r="AA180">
        <v>9577.6299999999937</v>
      </c>
      <c r="AB180">
        <v>0</v>
      </c>
      <c r="AC180">
        <v>380.83000000000015</v>
      </c>
      <c r="AD180">
        <v>261.38</v>
      </c>
      <c r="AE180">
        <v>-119.45000000000002</v>
      </c>
      <c r="AF180">
        <v>9196.799999999992</v>
      </c>
      <c r="AG180">
        <v>9316.2499999999927</v>
      </c>
      <c r="AH180">
        <v>119.44999999999999</v>
      </c>
      <c r="AI180">
        <v>1801.0999999999995</v>
      </c>
      <c r="AJ180">
        <v>0</v>
      </c>
      <c r="AK180">
        <v>-1801.0999999999995</v>
      </c>
      <c r="AL180">
        <v>7395.6999999999989</v>
      </c>
      <c r="AM180">
        <v>9316.2499999999927</v>
      </c>
      <c r="AN180">
        <v>1920.5499999999995</v>
      </c>
      <c r="AO180">
        <v>173</v>
      </c>
    </row>
    <row r="181" spans="1:41" x14ac:dyDescent="0.35">
      <c r="A181">
        <v>2024</v>
      </c>
      <c r="B181">
        <v>1</v>
      </c>
      <c r="C181">
        <v>4</v>
      </c>
      <c r="D181" s="14">
        <v>45317</v>
      </c>
      <c r="E181" t="s">
        <v>44</v>
      </c>
      <c r="F181" t="s">
        <v>47</v>
      </c>
      <c r="G181" t="s">
        <v>50</v>
      </c>
      <c r="H181">
        <v>28728.39</v>
      </c>
      <c r="I181">
        <v>28735.39</v>
      </c>
      <c r="J181">
        <v>7</v>
      </c>
      <c r="K181">
        <v>638.33000000000061</v>
      </c>
      <c r="L181">
        <v>638.33000000000061</v>
      </c>
      <c r="M181">
        <v>0</v>
      </c>
      <c r="N181">
        <v>1143.3000000000004</v>
      </c>
      <c r="O181">
        <v>1143.3000000000004</v>
      </c>
      <c r="P181">
        <v>0</v>
      </c>
      <c r="Q181">
        <v>-9965.0400000000027</v>
      </c>
      <c r="R181">
        <v>-9891.4100000000017</v>
      </c>
      <c r="S181">
        <v>73.63</v>
      </c>
      <c r="T181">
        <v>-55</v>
      </c>
      <c r="U181">
        <v>-55</v>
      </c>
      <c r="V181">
        <v>0</v>
      </c>
      <c r="W181">
        <v>-70.97</v>
      </c>
      <c r="X181">
        <v>-70.97</v>
      </c>
      <c r="Y181">
        <v>0</v>
      </c>
      <c r="Z181">
        <v>20419.010000000009</v>
      </c>
      <c r="AA181">
        <v>20499.640000000007</v>
      </c>
      <c r="AB181">
        <v>80.629999999999967</v>
      </c>
      <c r="AC181">
        <v>2375.0300000000025</v>
      </c>
      <c r="AD181">
        <v>1292.9299999999994</v>
      </c>
      <c r="AE181">
        <v>-1082.1000000000004</v>
      </c>
      <c r="AF181">
        <v>18043.980000000021</v>
      </c>
      <c r="AG181">
        <v>19206.71</v>
      </c>
      <c r="AH181">
        <v>1162.7300000000002</v>
      </c>
      <c r="AI181">
        <v>-880.94000000000028</v>
      </c>
      <c r="AJ181">
        <v>0</v>
      </c>
      <c r="AK181">
        <v>880.94000000000028</v>
      </c>
      <c r="AL181">
        <v>18924.920000000016</v>
      </c>
      <c r="AM181">
        <v>19206.71</v>
      </c>
      <c r="AN181">
        <v>281.78999999999996</v>
      </c>
      <c r="AO181">
        <v>342</v>
      </c>
    </row>
    <row r="182" spans="1:41" x14ac:dyDescent="0.35">
      <c r="A182">
        <v>2024</v>
      </c>
      <c r="B182">
        <v>1</v>
      </c>
      <c r="C182">
        <v>4</v>
      </c>
      <c r="D182" s="14">
        <v>45317</v>
      </c>
      <c r="E182" t="s">
        <v>44</v>
      </c>
      <c r="F182" t="s">
        <v>47</v>
      </c>
      <c r="G182" t="s">
        <v>51</v>
      </c>
      <c r="H182">
        <v>4346.0300000000007</v>
      </c>
      <c r="I182">
        <v>4346.0300000000007</v>
      </c>
      <c r="J182">
        <v>0</v>
      </c>
      <c r="K182">
        <v>0</v>
      </c>
      <c r="L182">
        <v>0</v>
      </c>
      <c r="M182">
        <v>0</v>
      </c>
      <c r="N182">
        <v>8.99</v>
      </c>
      <c r="O182">
        <v>8.99</v>
      </c>
      <c r="P182">
        <v>0</v>
      </c>
      <c r="Q182">
        <v>-1001.4800000000001</v>
      </c>
      <c r="R182">
        <v>-1001.4800000000001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3353.5400000000004</v>
      </c>
      <c r="AA182">
        <v>3353.5400000000004</v>
      </c>
      <c r="AB182">
        <v>0</v>
      </c>
      <c r="AC182">
        <v>92.16</v>
      </c>
      <c r="AD182">
        <v>83.83</v>
      </c>
      <c r="AE182">
        <v>-8.33</v>
      </c>
      <c r="AF182">
        <v>3261.3800000000006</v>
      </c>
      <c r="AG182">
        <v>3269.7100000000005</v>
      </c>
      <c r="AH182">
        <v>8.3299999999999983</v>
      </c>
      <c r="AI182">
        <v>945.89000000000033</v>
      </c>
      <c r="AJ182">
        <v>0</v>
      </c>
      <c r="AK182">
        <v>-945.89000000000033</v>
      </c>
      <c r="AL182">
        <v>2315.4899999999998</v>
      </c>
      <c r="AM182">
        <v>3269.7100000000005</v>
      </c>
      <c r="AN182">
        <v>954.22000000000014</v>
      </c>
      <c r="AO182">
        <v>67</v>
      </c>
    </row>
    <row r="183" spans="1:41" x14ac:dyDescent="0.35">
      <c r="A183">
        <v>2024</v>
      </c>
      <c r="B183">
        <v>1</v>
      </c>
      <c r="C183">
        <v>4</v>
      </c>
      <c r="D183" s="14">
        <v>45318</v>
      </c>
      <c r="E183" t="s">
        <v>41</v>
      </c>
      <c r="F183" t="s">
        <v>42</v>
      </c>
      <c r="G183" t="s">
        <v>43</v>
      </c>
      <c r="H183">
        <v>79329</v>
      </c>
      <c r="I183">
        <v>79600</v>
      </c>
      <c r="J183">
        <v>271</v>
      </c>
      <c r="K183">
        <v>1242.7400000000084</v>
      </c>
      <c r="L183">
        <v>1242.7400000000084</v>
      </c>
      <c r="M183">
        <v>0</v>
      </c>
      <c r="N183">
        <v>1547.8100000000009</v>
      </c>
      <c r="O183">
        <v>1547.8100000000009</v>
      </c>
      <c r="P183">
        <v>0</v>
      </c>
      <c r="Q183">
        <v>-8670.25</v>
      </c>
      <c r="R183">
        <v>-7961.25</v>
      </c>
      <c r="S183">
        <v>709</v>
      </c>
      <c r="T183">
        <v>-8.8800000000000026</v>
      </c>
      <c r="U183">
        <v>-8.8800000000000026</v>
      </c>
      <c r="V183">
        <v>0</v>
      </c>
      <c r="W183">
        <v>-95.98</v>
      </c>
      <c r="X183">
        <v>-95.98</v>
      </c>
      <c r="Y183">
        <v>0</v>
      </c>
      <c r="Z183">
        <v>73344.439999999842</v>
      </c>
      <c r="AA183">
        <v>74324.439999999871</v>
      </c>
      <c r="AB183">
        <v>980</v>
      </c>
      <c r="AC183">
        <v>19720.289999999797</v>
      </c>
      <c r="AD183">
        <v>10592.01000000002</v>
      </c>
      <c r="AE183">
        <v>-9128.2800000000298</v>
      </c>
      <c r="AF183">
        <v>53624.150000000584</v>
      </c>
      <c r="AG183">
        <v>63732.430000000146</v>
      </c>
      <c r="AH183">
        <v>10108.280000000024</v>
      </c>
      <c r="AI183">
        <v>-5241.6699999999955</v>
      </c>
      <c r="AJ183">
        <v>0</v>
      </c>
      <c r="AK183">
        <v>5241.6699999999955</v>
      </c>
      <c r="AL183">
        <v>58865.820000000233</v>
      </c>
      <c r="AM183">
        <v>63732.430000000146</v>
      </c>
      <c r="AN183">
        <v>4866.610000000027</v>
      </c>
      <c r="AO183">
        <v>1472</v>
      </c>
    </row>
    <row r="184" spans="1:41" x14ac:dyDescent="0.35">
      <c r="A184">
        <v>2024</v>
      </c>
      <c r="B184">
        <v>1</v>
      </c>
      <c r="C184">
        <v>4</v>
      </c>
      <c r="D184" s="14">
        <v>45318</v>
      </c>
      <c r="E184" t="s">
        <v>44</v>
      </c>
      <c r="F184" t="s">
        <v>42</v>
      </c>
      <c r="G184" t="s">
        <v>45</v>
      </c>
      <c r="H184">
        <v>110656.25</v>
      </c>
      <c r="I184">
        <v>110882.25</v>
      </c>
      <c r="J184">
        <v>226</v>
      </c>
      <c r="K184">
        <v>1066.5800000000081</v>
      </c>
      <c r="L184">
        <v>1059.5800000000079</v>
      </c>
      <c r="M184">
        <v>-7</v>
      </c>
      <c r="N184">
        <v>4379.0899999999674</v>
      </c>
      <c r="O184">
        <v>4347.1099999999678</v>
      </c>
      <c r="P184">
        <v>-31.98</v>
      </c>
      <c r="Q184">
        <v>-20768.759999999998</v>
      </c>
      <c r="R184">
        <v>-20341.5</v>
      </c>
      <c r="S184">
        <v>427.25999999999993</v>
      </c>
      <c r="T184">
        <v>-12.510000000000002</v>
      </c>
      <c r="U184">
        <v>-12.510000000000002</v>
      </c>
      <c r="V184">
        <v>0</v>
      </c>
      <c r="W184">
        <v>-72.3</v>
      </c>
      <c r="X184">
        <v>-72.3</v>
      </c>
      <c r="Y184">
        <v>0</v>
      </c>
      <c r="Z184">
        <v>95248.350000000239</v>
      </c>
      <c r="AA184">
        <v>95862.630000000281</v>
      </c>
      <c r="AB184">
        <v>614.28</v>
      </c>
      <c r="AC184">
        <v>17970.799999999905</v>
      </c>
      <c r="AD184">
        <v>8801.2200000000157</v>
      </c>
      <c r="AE184">
        <v>-9169.5800000000108</v>
      </c>
      <c r="AF184">
        <v>77277.550000000148</v>
      </c>
      <c r="AG184">
        <v>87061.410000000149</v>
      </c>
      <c r="AH184">
        <v>9783.8600000000042</v>
      </c>
      <c r="AI184">
        <v>-4414.9999999999945</v>
      </c>
      <c r="AJ184">
        <v>0</v>
      </c>
      <c r="AK184">
        <v>4414.9999999999945</v>
      </c>
      <c r="AL184">
        <v>81692.550000000017</v>
      </c>
      <c r="AM184">
        <v>87061.410000000149</v>
      </c>
      <c r="AN184">
        <v>5368.8600000000179</v>
      </c>
      <c r="AO184">
        <v>1543</v>
      </c>
    </row>
    <row r="185" spans="1:41" x14ac:dyDescent="0.35">
      <c r="A185">
        <v>2024</v>
      </c>
      <c r="B185">
        <v>1</v>
      </c>
      <c r="C185">
        <v>4</v>
      </c>
      <c r="D185" s="14">
        <v>45318</v>
      </c>
      <c r="E185" t="s">
        <v>44</v>
      </c>
      <c r="F185" t="s">
        <v>42</v>
      </c>
      <c r="G185" t="s">
        <v>46</v>
      </c>
      <c r="H185">
        <v>57072.310000000063</v>
      </c>
      <c r="I185">
        <v>57208.310000000063</v>
      </c>
      <c r="J185">
        <v>136</v>
      </c>
      <c r="K185">
        <v>534.71999999999912</v>
      </c>
      <c r="L185">
        <v>534.71999999999912</v>
      </c>
      <c r="M185">
        <v>0</v>
      </c>
      <c r="N185">
        <v>1452.0800000000006</v>
      </c>
      <c r="O185">
        <v>1452.0800000000006</v>
      </c>
      <c r="P185">
        <v>0</v>
      </c>
      <c r="Q185">
        <v>-21278.220000000056</v>
      </c>
      <c r="R185">
        <v>-20872.48000000005</v>
      </c>
      <c r="S185">
        <v>405.74</v>
      </c>
      <c r="T185">
        <v>0</v>
      </c>
      <c r="U185">
        <v>0</v>
      </c>
      <c r="V185">
        <v>0</v>
      </c>
      <c r="W185">
        <v>-38.989999999999995</v>
      </c>
      <c r="X185">
        <v>-38.989999999999995</v>
      </c>
      <c r="Y185">
        <v>0</v>
      </c>
      <c r="Z185">
        <v>37741.899999999951</v>
      </c>
      <c r="AA185">
        <v>38283.639999999956</v>
      </c>
      <c r="AB185">
        <v>541.74</v>
      </c>
      <c r="AC185">
        <v>9022.8900000000231</v>
      </c>
      <c r="AD185">
        <v>4464.4600000000073</v>
      </c>
      <c r="AE185">
        <v>-4558.4300000000048</v>
      </c>
      <c r="AF185">
        <v>28719.010000000108</v>
      </c>
      <c r="AG185">
        <v>33819.180000000051</v>
      </c>
      <c r="AH185">
        <v>5100.1700000000055</v>
      </c>
      <c r="AI185">
        <v>-1584.1899999999973</v>
      </c>
      <c r="AJ185">
        <v>0</v>
      </c>
      <c r="AK185">
        <v>1584.1899999999973</v>
      </c>
      <c r="AL185">
        <v>30303.200000000077</v>
      </c>
      <c r="AM185">
        <v>33819.180000000051</v>
      </c>
      <c r="AN185">
        <v>3515.9800000000068</v>
      </c>
      <c r="AO185">
        <v>739</v>
      </c>
    </row>
    <row r="186" spans="1:41" x14ac:dyDescent="0.35">
      <c r="A186">
        <v>2024</v>
      </c>
      <c r="B186">
        <v>1</v>
      </c>
      <c r="C186">
        <v>4</v>
      </c>
      <c r="D186" s="14">
        <v>45318</v>
      </c>
      <c r="E186" t="s">
        <v>44</v>
      </c>
      <c r="F186" t="s">
        <v>47</v>
      </c>
      <c r="G186" t="s">
        <v>48</v>
      </c>
      <c r="H186">
        <v>8187.2000000000016</v>
      </c>
      <c r="I186">
        <v>8187.2000000000016</v>
      </c>
      <c r="J186">
        <v>0</v>
      </c>
      <c r="K186">
        <v>483.76999999999992</v>
      </c>
      <c r="L186">
        <v>483.76999999999992</v>
      </c>
      <c r="M186">
        <v>0</v>
      </c>
      <c r="N186">
        <v>31.98</v>
      </c>
      <c r="O186">
        <v>31.98</v>
      </c>
      <c r="P186">
        <v>0</v>
      </c>
      <c r="Q186">
        <v>-1734.1499999999994</v>
      </c>
      <c r="R186">
        <v>-1734.1499999999994</v>
      </c>
      <c r="S186">
        <v>0</v>
      </c>
      <c r="T186">
        <v>-8</v>
      </c>
      <c r="U186">
        <v>-8</v>
      </c>
      <c r="V186">
        <v>0</v>
      </c>
      <c r="W186">
        <v>-5</v>
      </c>
      <c r="X186">
        <v>-5</v>
      </c>
      <c r="Y186">
        <v>0</v>
      </c>
      <c r="Z186">
        <v>6955.7999999999993</v>
      </c>
      <c r="AA186">
        <v>6955.7999999999993</v>
      </c>
      <c r="AB186">
        <v>0</v>
      </c>
      <c r="AC186">
        <v>43.52</v>
      </c>
      <c r="AD186">
        <v>14.5</v>
      </c>
      <c r="AE186">
        <v>-29.020000000000003</v>
      </c>
      <c r="AF186">
        <v>6912.28</v>
      </c>
      <c r="AG186">
        <v>6941.2999999999993</v>
      </c>
      <c r="AH186">
        <v>29.020000000000003</v>
      </c>
      <c r="AI186">
        <v>2280.7299999999977</v>
      </c>
      <c r="AJ186">
        <v>0</v>
      </c>
      <c r="AK186">
        <v>-2280.7299999999977</v>
      </c>
      <c r="AL186">
        <v>4631.5499999999956</v>
      </c>
      <c r="AM186">
        <v>6941.2999999999993</v>
      </c>
      <c r="AN186">
        <v>2309.7499999999982</v>
      </c>
      <c r="AO186">
        <v>213</v>
      </c>
    </row>
    <row r="187" spans="1:41" x14ac:dyDescent="0.35">
      <c r="A187">
        <v>2024</v>
      </c>
      <c r="B187">
        <v>1</v>
      </c>
      <c r="C187">
        <v>4</v>
      </c>
      <c r="D187" s="14">
        <v>45318</v>
      </c>
      <c r="E187" t="s">
        <v>44</v>
      </c>
      <c r="F187" t="s">
        <v>47</v>
      </c>
      <c r="G187" t="s">
        <v>49</v>
      </c>
      <c r="H187">
        <v>14575.849999999999</v>
      </c>
      <c r="I187">
        <v>14575.849999999999</v>
      </c>
      <c r="J187">
        <v>0</v>
      </c>
      <c r="K187">
        <v>140.21000000000004</v>
      </c>
      <c r="L187">
        <v>140.21000000000004</v>
      </c>
      <c r="M187">
        <v>0</v>
      </c>
      <c r="N187">
        <v>146.93</v>
      </c>
      <c r="O187">
        <v>146.93</v>
      </c>
      <c r="P187">
        <v>0</v>
      </c>
      <c r="Q187">
        <v>-5496.259999999992</v>
      </c>
      <c r="R187">
        <v>-5477.049999999992</v>
      </c>
      <c r="S187">
        <v>19.21</v>
      </c>
      <c r="T187">
        <v>-10</v>
      </c>
      <c r="U187">
        <v>-10</v>
      </c>
      <c r="V187">
        <v>0</v>
      </c>
      <c r="W187">
        <v>-10</v>
      </c>
      <c r="X187">
        <v>-10</v>
      </c>
      <c r="Y187">
        <v>0</v>
      </c>
      <c r="Z187">
        <v>9346.73</v>
      </c>
      <c r="AA187">
        <v>9365.94</v>
      </c>
      <c r="AB187">
        <v>19.209999999999994</v>
      </c>
      <c r="AC187">
        <v>334.02000000000004</v>
      </c>
      <c r="AD187">
        <v>78.900000000000006</v>
      </c>
      <c r="AE187">
        <v>-255.11999999999998</v>
      </c>
      <c r="AF187">
        <v>9012.7099999999991</v>
      </c>
      <c r="AG187">
        <v>9287.0399999999991</v>
      </c>
      <c r="AH187">
        <v>274.33000000000004</v>
      </c>
      <c r="AI187">
        <v>2124.969999999998</v>
      </c>
      <c r="AJ187">
        <v>7.4</v>
      </c>
      <c r="AK187">
        <v>-2117.5699999999983</v>
      </c>
      <c r="AL187">
        <v>6887.7400000000016</v>
      </c>
      <c r="AM187">
        <v>9279.64</v>
      </c>
      <c r="AN187">
        <v>2391.8999999999996</v>
      </c>
      <c r="AO187">
        <v>179</v>
      </c>
    </row>
    <row r="188" spans="1:41" x14ac:dyDescent="0.35">
      <c r="A188">
        <v>2024</v>
      </c>
      <c r="B188">
        <v>1</v>
      </c>
      <c r="C188">
        <v>4</v>
      </c>
      <c r="D188" s="14">
        <v>45318</v>
      </c>
      <c r="E188" t="s">
        <v>44</v>
      </c>
      <c r="F188" t="s">
        <v>47</v>
      </c>
      <c r="G188" t="s">
        <v>50</v>
      </c>
      <c r="H188">
        <v>24917.63</v>
      </c>
      <c r="I188">
        <v>24977.63</v>
      </c>
      <c r="J188">
        <v>60</v>
      </c>
      <c r="K188">
        <v>397.35999999999962</v>
      </c>
      <c r="L188">
        <v>397.35999999999962</v>
      </c>
      <c r="M188">
        <v>0</v>
      </c>
      <c r="N188">
        <v>1020.3500000000005</v>
      </c>
      <c r="O188">
        <v>1004.3600000000005</v>
      </c>
      <c r="P188">
        <v>-15.99</v>
      </c>
      <c r="Q188">
        <v>-8796.4599999999991</v>
      </c>
      <c r="R188">
        <v>-8721.83</v>
      </c>
      <c r="S188">
        <v>74.63</v>
      </c>
      <c r="T188">
        <v>-20</v>
      </c>
      <c r="U188">
        <v>-20</v>
      </c>
      <c r="V188">
        <v>0</v>
      </c>
      <c r="W188">
        <v>-36.980000000000004</v>
      </c>
      <c r="X188">
        <v>-36.980000000000004</v>
      </c>
      <c r="Y188">
        <v>0</v>
      </c>
      <c r="Z188">
        <v>17481.899999999987</v>
      </c>
      <c r="AA188">
        <v>17600.539999999986</v>
      </c>
      <c r="AB188">
        <v>118.63999999999999</v>
      </c>
      <c r="AC188">
        <v>2626.0400000000031</v>
      </c>
      <c r="AD188">
        <v>1337.7800000000004</v>
      </c>
      <c r="AE188">
        <v>-1288.26</v>
      </c>
      <c r="AF188">
        <v>14855.860000000004</v>
      </c>
      <c r="AG188">
        <v>16262.759999999991</v>
      </c>
      <c r="AH188">
        <v>1406.9</v>
      </c>
      <c r="AI188">
        <v>-750.3499999999998</v>
      </c>
      <c r="AJ188">
        <v>0</v>
      </c>
      <c r="AK188">
        <v>750.3499999999998</v>
      </c>
      <c r="AL188">
        <v>15606.21000000001</v>
      </c>
      <c r="AM188">
        <v>16262.759999999991</v>
      </c>
      <c r="AN188">
        <v>656.54999999999973</v>
      </c>
      <c r="AO188">
        <v>306</v>
      </c>
    </row>
    <row r="189" spans="1:41" x14ac:dyDescent="0.35">
      <c r="A189">
        <v>2024</v>
      </c>
      <c r="B189">
        <v>1</v>
      </c>
      <c r="C189">
        <v>4</v>
      </c>
      <c r="D189" s="14">
        <v>45318</v>
      </c>
      <c r="E189" t="s">
        <v>44</v>
      </c>
      <c r="F189" t="s">
        <v>47</v>
      </c>
      <c r="G189" t="s">
        <v>51</v>
      </c>
      <c r="H189">
        <v>3971.8300000000004</v>
      </c>
      <c r="I189">
        <v>3971.8300000000004</v>
      </c>
      <c r="J189">
        <v>0</v>
      </c>
      <c r="K189">
        <v>12</v>
      </c>
      <c r="L189">
        <v>12</v>
      </c>
      <c r="M189">
        <v>0</v>
      </c>
      <c r="N189">
        <v>0</v>
      </c>
      <c r="O189">
        <v>0</v>
      </c>
      <c r="P189">
        <v>0</v>
      </c>
      <c r="Q189">
        <v>-907.17999999999984</v>
      </c>
      <c r="R189">
        <v>-907.17999999999984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3076.65</v>
      </c>
      <c r="AA189">
        <v>3076.65</v>
      </c>
      <c r="AB189">
        <v>0</v>
      </c>
      <c r="AC189">
        <v>98.33</v>
      </c>
      <c r="AD189">
        <v>14.5</v>
      </c>
      <c r="AE189">
        <v>-83.83</v>
      </c>
      <c r="AF189">
        <v>2978.32</v>
      </c>
      <c r="AG189">
        <v>3062.15</v>
      </c>
      <c r="AH189">
        <v>83.83</v>
      </c>
      <c r="AI189">
        <v>663.56000000000029</v>
      </c>
      <c r="AJ189">
        <v>0</v>
      </c>
      <c r="AK189">
        <v>-663.56000000000029</v>
      </c>
      <c r="AL189">
        <v>2314.7599999999998</v>
      </c>
      <c r="AM189">
        <v>3062.15</v>
      </c>
      <c r="AN189">
        <v>747.39000000000033</v>
      </c>
      <c r="AO189">
        <v>66</v>
      </c>
    </row>
    <row r="190" spans="1:41" x14ac:dyDescent="0.35">
      <c r="A190">
        <v>2024</v>
      </c>
      <c r="B190">
        <v>1</v>
      </c>
      <c r="C190">
        <v>5</v>
      </c>
      <c r="D190" s="14">
        <v>45319</v>
      </c>
      <c r="E190" t="s">
        <v>41</v>
      </c>
      <c r="F190" t="s">
        <v>42</v>
      </c>
      <c r="G190" t="s">
        <v>43</v>
      </c>
      <c r="H190">
        <v>78122.75</v>
      </c>
      <c r="I190">
        <v>78290.75</v>
      </c>
      <c r="J190">
        <v>168</v>
      </c>
      <c r="K190">
        <v>1128.8800000000128</v>
      </c>
      <c r="L190">
        <v>1128.8800000000128</v>
      </c>
      <c r="M190">
        <v>0</v>
      </c>
      <c r="N190">
        <v>1789.680000000001</v>
      </c>
      <c r="O190">
        <v>1773.690000000001</v>
      </c>
      <c r="P190">
        <v>-15.99</v>
      </c>
      <c r="Q190">
        <v>-8539.6</v>
      </c>
      <c r="R190">
        <v>-7621.6</v>
      </c>
      <c r="S190">
        <v>918</v>
      </c>
      <c r="T190">
        <v>-6.14</v>
      </c>
      <c r="U190">
        <v>-6.14</v>
      </c>
      <c r="V190">
        <v>0</v>
      </c>
      <c r="W190">
        <v>-100.98</v>
      </c>
      <c r="X190">
        <v>-100.98</v>
      </c>
      <c r="Y190">
        <v>0</v>
      </c>
      <c r="Z190">
        <v>72394.589999999778</v>
      </c>
      <c r="AA190">
        <v>73464.599999999831</v>
      </c>
      <c r="AB190">
        <v>1070.01</v>
      </c>
      <c r="AC190">
        <v>18660.109999999884</v>
      </c>
      <c r="AD190">
        <v>7800.1200000000235</v>
      </c>
      <c r="AE190">
        <v>-10859.99000000002</v>
      </c>
      <c r="AF190">
        <v>53734.480000000513</v>
      </c>
      <c r="AG190">
        <v>65664.479999999923</v>
      </c>
      <c r="AH190">
        <v>11930.000000000024</v>
      </c>
      <c r="AI190">
        <v>-4136.7499999999955</v>
      </c>
      <c r="AJ190">
        <v>0</v>
      </c>
      <c r="AK190">
        <v>4136.7499999999955</v>
      </c>
      <c r="AL190">
        <v>57871.230000000345</v>
      </c>
      <c r="AM190">
        <v>65664.479999999923</v>
      </c>
      <c r="AN190">
        <v>7793.2500000000373</v>
      </c>
      <c r="AO190">
        <v>1450</v>
      </c>
    </row>
    <row r="191" spans="1:41" x14ac:dyDescent="0.35">
      <c r="A191">
        <v>2024</v>
      </c>
      <c r="B191">
        <v>1</v>
      </c>
      <c r="C191">
        <v>5</v>
      </c>
      <c r="D191" s="14">
        <v>45319</v>
      </c>
      <c r="E191" t="s">
        <v>44</v>
      </c>
      <c r="F191" t="s">
        <v>42</v>
      </c>
      <c r="G191" t="s">
        <v>45</v>
      </c>
      <c r="H191">
        <v>101703.25</v>
      </c>
      <c r="I191">
        <v>101943.25</v>
      </c>
      <c r="J191">
        <v>240</v>
      </c>
      <c r="K191">
        <v>898.45000000000471</v>
      </c>
      <c r="L191">
        <v>898.45000000000471</v>
      </c>
      <c r="M191">
        <v>0</v>
      </c>
      <c r="N191">
        <v>4845.8099999999604</v>
      </c>
      <c r="O191">
        <v>4845.8099999999604</v>
      </c>
      <c r="P191">
        <v>0</v>
      </c>
      <c r="Q191">
        <v>-19229.86</v>
      </c>
      <c r="R191">
        <v>-18805.599999999999</v>
      </c>
      <c r="S191">
        <v>424.26</v>
      </c>
      <c r="T191">
        <v>-13.610000000000001</v>
      </c>
      <c r="U191">
        <v>-13.610000000000001</v>
      </c>
      <c r="V191">
        <v>0</v>
      </c>
      <c r="W191">
        <v>-98.09</v>
      </c>
      <c r="X191">
        <v>-98.09</v>
      </c>
      <c r="Y191">
        <v>0</v>
      </c>
      <c r="Z191">
        <v>88105.950000000259</v>
      </c>
      <c r="AA191">
        <v>88770.210000000268</v>
      </c>
      <c r="AB191">
        <v>664.26</v>
      </c>
      <c r="AC191">
        <v>16120.949999999975</v>
      </c>
      <c r="AD191">
        <v>7395.5500000000166</v>
      </c>
      <c r="AE191">
        <v>-8725.400000000016</v>
      </c>
      <c r="AF191">
        <v>71985.000000000146</v>
      </c>
      <c r="AG191">
        <v>81374.660000000207</v>
      </c>
      <c r="AH191">
        <v>9389.6600000000126</v>
      </c>
      <c r="AI191">
        <v>-3877.5400000000077</v>
      </c>
      <c r="AJ191">
        <v>0</v>
      </c>
      <c r="AK191">
        <v>3877.5400000000077</v>
      </c>
      <c r="AL191">
        <v>75862.540000000052</v>
      </c>
      <c r="AM191">
        <v>81374.660000000207</v>
      </c>
      <c r="AN191">
        <v>5512.1200000000017</v>
      </c>
      <c r="AO191">
        <v>1424</v>
      </c>
    </row>
    <row r="192" spans="1:41" x14ac:dyDescent="0.35">
      <c r="A192">
        <v>2024</v>
      </c>
      <c r="B192">
        <v>1</v>
      </c>
      <c r="C192">
        <v>5</v>
      </c>
      <c r="D192" s="14">
        <v>45319</v>
      </c>
      <c r="E192" t="s">
        <v>44</v>
      </c>
      <c r="F192" t="s">
        <v>42</v>
      </c>
      <c r="G192" t="s">
        <v>46</v>
      </c>
      <c r="H192">
        <v>46925.170000000042</v>
      </c>
      <c r="I192">
        <v>47059.170000000049</v>
      </c>
      <c r="J192">
        <v>134</v>
      </c>
      <c r="K192">
        <v>234.39000000000019</v>
      </c>
      <c r="L192">
        <v>234.39000000000019</v>
      </c>
      <c r="M192">
        <v>0</v>
      </c>
      <c r="N192">
        <v>1234.2100000000005</v>
      </c>
      <c r="O192">
        <v>1234.2100000000005</v>
      </c>
      <c r="P192">
        <v>0</v>
      </c>
      <c r="Q192">
        <v>-17973.800000000043</v>
      </c>
      <c r="R192">
        <v>-17397.16000000004</v>
      </c>
      <c r="S192">
        <v>576.6400000000001</v>
      </c>
      <c r="T192">
        <v>-0.95</v>
      </c>
      <c r="U192">
        <v>-0.95</v>
      </c>
      <c r="V192">
        <v>0</v>
      </c>
      <c r="W192">
        <v>0</v>
      </c>
      <c r="X192">
        <v>0</v>
      </c>
      <c r="Y192">
        <v>0</v>
      </c>
      <c r="Z192">
        <v>30419.01999999999</v>
      </c>
      <c r="AA192">
        <v>31129.659999999993</v>
      </c>
      <c r="AB192">
        <v>710.6400000000001</v>
      </c>
      <c r="AC192">
        <v>7385.0200000000141</v>
      </c>
      <c r="AD192">
        <v>2977.6200000000013</v>
      </c>
      <c r="AE192">
        <v>-4407.4000000000051</v>
      </c>
      <c r="AF192">
        <v>23034.000000000033</v>
      </c>
      <c r="AG192">
        <v>28152.040000000026</v>
      </c>
      <c r="AH192">
        <v>5118.0400000000081</v>
      </c>
      <c r="AI192">
        <v>-1505.89</v>
      </c>
      <c r="AJ192">
        <v>0</v>
      </c>
      <c r="AK192">
        <v>1505.89</v>
      </c>
      <c r="AL192">
        <v>24539.890000000036</v>
      </c>
      <c r="AM192">
        <v>28152.040000000026</v>
      </c>
      <c r="AN192">
        <v>3612.1500000000087</v>
      </c>
      <c r="AO192">
        <v>577</v>
      </c>
    </row>
    <row r="193" spans="1:41" x14ac:dyDescent="0.35">
      <c r="A193">
        <v>2024</v>
      </c>
      <c r="B193">
        <v>1</v>
      </c>
      <c r="C193">
        <v>5</v>
      </c>
      <c r="D193" s="14">
        <v>45319</v>
      </c>
      <c r="E193" t="s">
        <v>44</v>
      </c>
      <c r="F193" t="s">
        <v>47</v>
      </c>
      <c r="G193" t="s">
        <v>48</v>
      </c>
      <c r="H193">
        <v>8180.9500000000007</v>
      </c>
      <c r="I193">
        <v>8180.9500000000007</v>
      </c>
      <c r="J193">
        <v>0</v>
      </c>
      <c r="K193">
        <v>5</v>
      </c>
      <c r="L193">
        <v>5</v>
      </c>
      <c r="M193">
        <v>0</v>
      </c>
      <c r="N193">
        <v>0</v>
      </c>
      <c r="O193">
        <v>0</v>
      </c>
      <c r="P193">
        <v>0</v>
      </c>
      <c r="Q193">
        <v>-2853.2499999999977</v>
      </c>
      <c r="R193">
        <v>-2853.2499999999977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5332.6999999999971</v>
      </c>
      <c r="AA193">
        <v>5332.6999999999971</v>
      </c>
      <c r="AB193">
        <v>0</v>
      </c>
      <c r="AC193">
        <v>14.5</v>
      </c>
      <c r="AE193">
        <v>-14.5</v>
      </c>
      <c r="AF193">
        <v>5318.1999999999971</v>
      </c>
      <c r="AG193">
        <v>5332.6999999999971</v>
      </c>
      <c r="AH193">
        <v>14.5</v>
      </c>
      <c r="AI193">
        <v>1852.8200000000004</v>
      </c>
      <c r="AJ193">
        <v>0</v>
      </c>
      <c r="AK193">
        <v>-1852.8200000000004</v>
      </c>
      <c r="AL193">
        <v>3465.3799999999978</v>
      </c>
      <c r="AM193">
        <v>5332.6999999999971</v>
      </c>
      <c r="AN193">
        <v>1867.3200000000006</v>
      </c>
      <c r="AO193">
        <v>113</v>
      </c>
    </row>
    <row r="194" spans="1:41" x14ac:dyDescent="0.35">
      <c r="A194">
        <v>2024</v>
      </c>
      <c r="B194">
        <v>1</v>
      </c>
      <c r="C194">
        <v>5</v>
      </c>
      <c r="D194" s="14">
        <v>45319</v>
      </c>
      <c r="E194" t="s">
        <v>44</v>
      </c>
      <c r="F194" t="s">
        <v>47</v>
      </c>
      <c r="G194" t="s">
        <v>49</v>
      </c>
      <c r="H194">
        <v>7551</v>
      </c>
      <c r="I194">
        <v>7551</v>
      </c>
      <c r="J194">
        <v>0</v>
      </c>
      <c r="K194">
        <v>109.92999999999996</v>
      </c>
      <c r="L194">
        <v>109.92999999999996</v>
      </c>
      <c r="M194">
        <v>0</v>
      </c>
      <c r="N194">
        <v>114.92999999999999</v>
      </c>
      <c r="O194">
        <v>114.92999999999999</v>
      </c>
      <c r="P194">
        <v>0</v>
      </c>
      <c r="Q194">
        <v>-2434.8599999999992</v>
      </c>
      <c r="R194">
        <v>-2429.6499999999992</v>
      </c>
      <c r="S194">
        <v>5.2100000000000009</v>
      </c>
      <c r="T194">
        <v>-10</v>
      </c>
      <c r="U194">
        <v>-10</v>
      </c>
      <c r="V194">
        <v>0</v>
      </c>
      <c r="W194">
        <v>0</v>
      </c>
      <c r="X194">
        <v>0</v>
      </c>
      <c r="Y194">
        <v>0</v>
      </c>
      <c r="Z194">
        <v>5331</v>
      </c>
      <c r="AA194">
        <v>5336.2100000000009</v>
      </c>
      <c r="AB194">
        <v>5.2099999999999937</v>
      </c>
      <c r="AC194">
        <v>144.30000000000001</v>
      </c>
      <c r="AD194">
        <v>65.400000000000006</v>
      </c>
      <c r="AE194">
        <v>-78.900000000000006</v>
      </c>
      <c r="AF194">
        <v>5186.7000000000016</v>
      </c>
      <c r="AG194">
        <v>5270.8100000000013</v>
      </c>
      <c r="AH194">
        <v>84.110000000000014</v>
      </c>
      <c r="AI194">
        <v>1163.4699999999996</v>
      </c>
      <c r="AJ194">
        <v>0</v>
      </c>
      <c r="AK194">
        <v>-1163.4699999999996</v>
      </c>
      <c r="AL194">
        <v>4023.23</v>
      </c>
      <c r="AM194">
        <v>5270.8100000000013</v>
      </c>
      <c r="AN194">
        <v>1247.5799999999995</v>
      </c>
      <c r="AO194">
        <v>99</v>
      </c>
    </row>
    <row r="195" spans="1:41" x14ac:dyDescent="0.35">
      <c r="A195">
        <v>2024</v>
      </c>
      <c r="B195">
        <v>1</v>
      </c>
      <c r="C195">
        <v>5</v>
      </c>
      <c r="D195" s="14">
        <v>45319</v>
      </c>
      <c r="E195" t="s">
        <v>44</v>
      </c>
      <c r="F195" t="s">
        <v>47</v>
      </c>
      <c r="G195" t="s">
        <v>50</v>
      </c>
      <c r="H195">
        <v>24592</v>
      </c>
      <c r="I195">
        <v>24657</v>
      </c>
      <c r="J195">
        <v>65</v>
      </c>
      <c r="K195">
        <v>385.13999999999947</v>
      </c>
      <c r="L195">
        <v>385.13999999999947</v>
      </c>
      <c r="M195">
        <v>0</v>
      </c>
      <c r="N195">
        <v>1139.2800000000004</v>
      </c>
      <c r="O195">
        <v>1139.2800000000004</v>
      </c>
      <c r="P195">
        <v>0</v>
      </c>
      <c r="Q195">
        <v>-7801.29</v>
      </c>
      <c r="R195">
        <v>-7601.45</v>
      </c>
      <c r="S195">
        <v>199.84</v>
      </c>
      <c r="T195">
        <v>-15</v>
      </c>
      <c r="U195">
        <v>-15</v>
      </c>
      <c r="V195">
        <v>0</v>
      </c>
      <c r="W195">
        <v>-48.58</v>
      </c>
      <c r="X195">
        <v>-48.58</v>
      </c>
      <c r="Y195">
        <v>0</v>
      </c>
      <c r="Z195">
        <v>18251.549999999996</v>
      </c>
      <c r="AA195">
        <v>18516.389999999992</v>
      </c>
      <c r="AB195">
        <v>264.84000000000003</v>
      </c>
      <c r="AC195">
        <v>2280.5500000000025</v>
      </c>
      <c r="AD195">
        <v>987.1099999999999</v>
      </c>
      <c r="AE195">
        <v>-1293.4400000000003</v>
      </c>
      <c r="AF195">
        <v>15971.000000000011</v>
      </c>
      <c r="AG195">
        <v>17529.28</v>
      </c>
      <c r="AH195">
        <v>1558.2800000000004</v>
      </c>
      <c r="AI195">
        <v>-661.67999999999927</v>
      </c>
      <c r="AJ195">
        <v>0</v>
      </c>
      <c r="AK195">
        <v>661.67999999999927</v>
      </c>
      <c r="AL195">
        <v>16632.680000000018</v>
      </c>
      <c r="AM195">
        <v>17529.28</v>
      </c>
      <c r="AN195">
        <v>896.60000000000059</v>
      </c>
      <c r="AO195">
        <v>302</v>
      </c>
    </row>
    <row r="196" spans="1:41" x14ac:dyDescent="0.35">
      <c r="A196">
        <v>2024</v>
      </c>
      <c r="B196">
        <v>1</v>
      </c>
      <c r="C196">
        <v>5</v>
      </c>
      <c r="D196" s="14">
        <v>45319</v>
      </c>
      <c r="E196" t="s">
        <v>44</v>
      </c>
      <c r="F196" t="s">
        <v>47</v>
      </c>
      <c r="G196" t="s">
        <v>51</v>
      </c>
      <c r="H196">
        <v>1643.6</v>
      </c>
      <c r="I196">
        <v>1643.6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-471.1</v>
      </c>
      <c r="R196">
        <v>-471.1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1172.5000000000002</v>
      </c>
      <c r="AA196">
        <v>1172.5000000000002</v>
      </c>
      <c r="AB196">
        <v>0</v>
      </c>
      <c r="AC196">
        <v>14.5</v>
      </c>
      <c r="AE196">
        <v>-14.5</v>
      </c>
      <c r="AF196">
        <v>1158.0000000000002</v>
      </c>
      <c r="AG196">
        <v>1172.5000000000002</v>
      </c>
      <c r="AH196">
        <v>14.5</v>
      </c>
      <c r="AI196">
        <v>320.51</v>
      </c>
      <c r="AJ196">
        <v>0</v>
      </c>
      <c r="AK196">
        <v>-320.51</v>
      </c>
      <c r="AL196">
        <v>837.4899999999999</v>
      </c>
      <c r="AM196">
        <v>1172.5000000000002</v>
      </c>
      <c r="AN196">
        <v>335.01</v>
      </c>
      <c r="AO196">
        <v>26</v>
      </c>
    </row>
    <row r="197" spans="1:41" x14ac:dyDescent="0.35">
      <c r="A197">
        <v>2024</v>
      </c>
      <c r="B197">
        <v>1</v>
      </c>
      <c r="C197">
        <v>5</v>
      </c>
      <c r="D197" s="14">
        <v>45320</v>
      </c>
      <c r="E197" t="s">
        <v>41</v>
      </c>
      <c r="F197" t="s">
        <v>42</v>
      </c>
      <c r="G197" t="s">
        <v>43</v>
      </c>
      <c r="H197">
        <v>62292</v>
      </c>
      <c r="I197">
        <v>62420</v>
      </c>
      <c r="J197">
        <v>128</v>
      </c>
      <c r="K197">
        <v>785.93000000000427</v>
      </c>
      <c r="L197">
        <v>785.93000000000427</v>
      </c>
      <c r="M197">
        <v>0</v>
      </c>
      <c r="N197">
        <v>1491.9300000000007</v>
      </c>
      <c r="O197">
        <v>1491.9300000000007</v>
      </c>
      <c r="P197">
        <v>0</v>
      </c>
      <c r="Q197">
        <v>-6712.6</v>
      </c>
      <c r="R197">
        <v>-6420.6</v>
      </c>
      <c r="S197">
        <v>292</v>
      </c>
      <c r="T197">
        <v>-1.6099999999999999</v>
      </c>
      <c r="U197">
        <v>-1.6099999999999999</v>
      </c>
      <c r="V197">
        <v>0</v>
      </c>
      <c r="W197">
        <v>-70</v>
      </c>
      <c r="X197">
        <v>-70</v>
      </c>
      <c r="Y197">
        <v>0</v>
      </c>
      <c r="Z197">
        <v>57785.649999999594</v>
      </c>
      <c r="AA197">
        <v>58205.649999999601</v>
      </c>
      <c r="AB197">
        <v>420</v>
      </c>
      <c r="AC197">
        <v>14290.980000000014</v>
      </c>
      <c r="AD197">
        <v>6554.1200000000199</v>
      </c>
      <c r="AE197">
        <v>-7736.8600000000251</v>
      </c>
      <c r="AF197">
        <v>43494.670000000369</v>
      </c>
      <c r="AG197">
        <v>51651.52999999997</v>
      </c>
      <c r="AH197">
        <v>8156.8600000000251</v>
      </c>
      <c r="AI197">
        <v>-3501.1499999999951</v>
      </c>
      <c r="AJ197">
        <v>0</v>
      </c>
      <c r="AK197">
        <v>3501.1499999999951</v>
      </c>
      <c r="AL197">
        <v>46995.82000000024</v>
      </c>
      <c r="AM197">
        <v>51651.52999999997</v>
      </c>
      <c r="AN197">
        <v>4655.7100000000282</v>
      </c>
      <c r="AO197">
        <v>1155</v>
      </c>
    </row>
    <row r="198" spans="1:41" x14ac:dyDescent="0.35">
      <c r="A198">
        <v>2024</v>
      </c>
      <c r="B198">
        <v>1</v>
      </c>
      <c r="C198">
        <v>5</v>
      </c>
      <c r="D198" s="14">
        <v>45320</v>
      </c>
      <c r="E198" t="s">
        <v>44</v>
      </c>
      <c r="F198" t="s">
        <v>42</v>
      </c>
      <c r="G198" t="s">
        <v>45</v>
      </c>
      <c r="H198">
        <v>82017.25</v>
      </c>
      <c r="I198">
        <v>82139.25</v>
      </c>
      <c r="J198">
        <v>122</v>
      </c>
      <c r="K198">
        <v>668.28000000000327</v>
      </c>
      <c r="L198">
        <v>668.28000000000327</v>
      </c>
      <c r="M198">
        <v>0</v>
      </c>
      <c r="N198">
        <v>3707.5599999999777</v>
      </c>
      <c r="O198">
        <v>3694.5699999999779</v>
      </c>
      <c r="P198">
        <v>-12.99</v>
      </c>
      <c r="Q198">
        <v>-15076.169999999995</v>
      </c>
      <c r="R198">
        <v>-14974.91</v>
      </c>
      <c r="S198">
        <v>101.25999999999999</v>
      </c>
      <c r="T198">
        <v>-6.8800000000000017</v>
      </c>
      <c r="U198">
        <v>-6.8800000000000017</v>
      </c>
      <c r="V198">
        <v>0</v>
      </c>
      <c r="W198">
        <v>-70.38</v>
      </c>
      <c r="X198">
        <v>-70.38</v>
      </c>
      <c r="Y198">
        <v>0</v>
      </c>
      <c r="Z198">
        <v>71239.659999999771</v>
      </c>
      <c r="AA198">
        <v>71449.929999999789</v>
      </c>
      <c r="AB198">
        <v>210.27</v>
      </c>
      <c r="AC198">
        <v>12334.339999999976</v>
      </c>
      <c r="AD198">
        <v>4974.0500000000102</v>
      </c>
      <c r="AE198">
        <v>-7360.2900000000191</v>
      </c>
      <c r="AF198">
        <v>58918.070000000065</v>
      </c>
      <c r="AG198">
        <v>66488.629999999845</v>
      </c>
      <c r="AH198">
        <v>7570.5600000000195</v>
      </c>
      <c r="AI198">
        <v>-2730.9000000000019</v>
      </c>
      <c r="AJ198">
        <v>0</v>
      </c>
      <c r="AK198">
        <v>2730.9000000000019</v>
      </c>
      <c r="AL198">
        <v>61648.97</v>
      </c>
      <c r="AM198">
        <v>66488.629999999845</v>
      </c>
      <c r="AN198">
        <v>4839.6600000000035</v>
      </c>
      <c r="AO198">
        <v>1135</v>
      </c>
    </row>
    <row r="199" spans="1:41" x14ac:dyDescent="0.35">
      <c r="A199">
        <v>2024</v>
      </c>
      <c r="B199">
        <v>1</v>
      </c>
      <c r="C199">
        <v>5</v>
      </c>
      <c r="D199" s="14">
        <v>45320</v>
      </c>
      <c r="E199" t="s">
        <v>44</v>
      </c>
      <c r="F199" t="s">
        <v>42</v>
      </c>
      <c r="G199" t="s">
        <v>46</v>
      </c>
      <c r="H199">
        <v>30601.500000000029</v>
      </c>
      <c r="I199">
        <v>30686.500000000029</v>
      </c>
      <c r="J199">
        <v>85</v>
      </c>
      <c r="K199">
        <v>146.96999999999997</v>
      </c>
      <c r="L199">
        <v>146.96999999999997</v>
      </c>
      <c r="M199">
        <v>0</v>
      </c>
      <c r="N199">
        <v>855.47000000000037</v>
      </c>
      <c r="O199">
        <v>855.47000000000037</v>
      </c>
      <c r="P199">
        <v>0</v>
      </c>
      <c r="Q199">
        <v>-11897.210000000021</v>
      </c>
      <c r="R199">
        <v>-11883.790000000019</v>
      </c>
      <c r="S199">
        <v>13.420000000000002</v>
      </c>
      <c r="T199">
        <v>-0.95</v>
      </c>
      <c r="U199">
        <v>-0.95</v>
      </c>
      <c r="V199">
        <v>0</v>
      </c>
      <c r="W199">
        <v>0</v>
      </c>
      <c r="X199">
        <v>0</v>
      </c>
      <c r="Y199">
        <v>0</v>
      </c>
      <c r="Z199">
        <v>19705.779999999992</v>
      </c>
      <c r="AA199">
        <v>19804.199999999993</v>
      </c>
      <c r="AB199">
        <v>98.419999999999987</v>
      </c>
      <c r="AC199">
        <v>4471.2900000000072</v>
      </c>
      <c r="AD199">
        <v>1582.4700000000005</v>
      </c>
      <c r="AE199">
        <v>-2888.8200000000024</v>
      </c>
      <c r="AF199">
        <v>15234.489999999998</v>
      </c>
      <c r="AG199">
        <v>18221.73</v>
      </c>
      <c r="AH199">
        <v>2987.2400000000025</v>
      </c>
      <c r="AI199">
        <v>-791.45000000000016</v>
      </c>
      <c r="AJ199">
        <v>0</v>
      </c>
      <c r="AK199">
        <v>791.45000000000016</v>
      </c>
      <c r="AL199">
        <v>16025.939999999993</v>
      </c>
      <c r="AM199">
        <v>18221.73</v>
      </c>
      <c r="AN199">
        <v>2195.7900000000004</v>
      </c>
      <c r="AO199">
        <v>379</v>
      </c>
    </row>
    <row r="200" spans="1:41" x14ac:dyDescent="0.35">
      <c r="A200">
        <v>2024</v>
      </c>
      <c r="B200">
        <v>1</v>
      </c>
      <c r="C200">
        <v>5</v>
      </c>
      <c r="D200" s="14">
        <v>45320</v>
      </c>
      <c r="E200" t="s">
        <v>44</v>
      </c>
      <c r="F200" t="s">
        <v>47</v>
      </c>
      <c r="G200" t="s">
        <v>48</v>
      </c>
      <c r="H200">
        <v>320.5</v>
      </c>
      <c r="I200">
        <v>320.5</v>
      </c>
      <c r="J200">
        <v>0</v>
      </c>
      <c r="K200">
        <v>63.400000000000006</v>
      </c>
      <c r="L200">
        <v>63.400000000000006</v>
      </c>
      <c r="M200">
        <v>0</v>
      </c>
      <c r="N200">
        <v>0</v>
      </c>
      <c r="O200">
        <v>0</v>
      </c>
      <c r="P200">
        <v>0</v>
      </c>
      <c r="Q200">
        <v>-41.599999999999994</v>
      </c>
      <c r="R200">
        <v>-41.599999999999994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342.30000000000007</v>
      </c>
      <c r="AA200">
        <v>342.30000000000007</v>
      </c>
      <c r="AB200">
        <v>0</v>
      </c>
      <c r="AE200">
        <v>0</v>
      </c>
      <c r="AF200">
        <v>342.30000000000007</v>
      </c>
      <c r="AG200">
        <v>342.30000000000007</v>
      </c>
      <c r="AH200">
        <v>0</v>
      </c>
      <c r="AI200">
        <v>291.52</v>
      </c>
      <c r="AJ200">
        <v>0</v>
      </c>
      <c r="AK200">
        <v>-291.52</v>
      </c>
      <c r="AL200">
        <v>50.779999999999973</v>
      </c>
      <c r="AM200">
        <v>342.30000000000007</v>
      </c>
      <c r="AN200">
        <v>291.52</v>
      </c>
      <c r="AO200">
        <v>12</v>
      </c>
    </row>
    <row r="201" spans="1:41" x14ac:dyDescent="0.35">
      <c r="A201">
        <v>2024</v>
      </c>
      <c r="B201">
        <v>1</v>
      </c>
      <c r="C201">
        <v>5</v>
      </c>
      <c r="D201" s="14">
        <v>45320</v>
      </c>
      <c r="E201" t="s">
        <v>44</v>
      </c>
      <c r="F201" t="s">
        <v>47</v>
      </c>
      <c r="G201" t="s">
        <v>49</v>
      </c>
      <c r="H201">
        <v>1785</v>
      </c>
      <c r="I201">
        <v>1785</v>
      </c>
      <c r="J201">
        <v>0</v>
      </c>
      <c r="K201">
        <v>22.7</v>
      </c>
      <c r="L201">
        <v>22.7</v>
      </c>
      <c r="M201">
        <v>0</v>
      </c>
      <c r="N201">
        <v>69.960000000000008</v>
      </c>
      <c r="O201">
        <v>69.960000000000008</v>
      </c>
      <c r="P201">
        <v>0</v>
      </c>
      <c r="Q201">
        <v>-563.30999999999995</v>
      </c>
      <c r="R201">
        <v>-558.1</v>
      </c>
      <c r="S201">
        <v>5.2100000000000009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1314.3500000000001</v>
      </c>
      <c r="AA201">
        <v>1319.5600000000002</v>
      </c>
      <c r="AB201">
        <v>5.2100000000000009</v>
      </c>
      <c r="AC201">
        <v>73.790000000000006</v>
      </c>
      <c r="AD201">
        <v>8.39</v>
      </c>
      <c r="AE201">
        <v>-65.400000000000006</v>
      </c>
      <c r="AF201">
        <v>1240.56</v>
      </c>
      <c r="AG201">
        <v>1311.17</v>
      </c>
      <c r="AH201">
        <v>70.610000000000014</v>
      </c>
      <c r="AI201">
        <v>218.70999999999998</v>
      </c>
      <c r="AJ201">
        <v>0</v>
      </c>
      <c r="AK201">
        <v>-218.70999999999998</v>
      </c>
      <c r="AL201">
        <v>1021.85</v>
      </c>
      <c r="AM201">
        <v>1311.17</v>
      </c>
      <c r="AN201">
        <v>289.32</v>
      </c>
      <c r="AO201">
        <v>22</v>
      </c>
    </row>
    <row r="202" spans="1:41" x14ac:dyDescent="0.35">
      <c r="A202">
        <v>2024</v>
      </c>
      <c r="B202">
        <v>1</v>
      </c>
      <c r="C202">
        <v>5</v>
      </c>
      <c r="D202" s="14">
        <v>45320</v>
      </c>
      <c r="E202" t="s">
        <v>44</v>
      </c>
      <c r="F202" t="s">
        <v>47</v>
      </c>
      <c r="G202" t="s">
        <v>50</v>
      </c>
      <c r="H202">
        <v>16476.799999999996</v>
      </c>
      <c r="I202">
        <v>16508.799999999996</v>
      </c>
      <c r="J202">
        <v>32</v>
      </c>
      <c r="K202">
        <v>263.68999999999983</v>
      </c>
      <c r="L202">
        <v>263.68999999999983</v>
      </c>
      <c r="M202">
        <v>0</v>
      </c>
      <c r="N202">
        <v>638.61000000000024</v>
      </c>
      <c r="O202">
        <v>638.61000000000024</v>
      </c>
      <c r="P202">
        <v>0</v>
      </c>
      <c r="Q202">
        <v>-4774.95</v>
      </c>
      <c r="R202">
        <v>-4759.53</v>
      </c>
      <c r="S202">
        <v>15.420000000000002</v>
      </c>
      <c r="T202">
        <v>0</v>
      </c>
      <c r="U202">
        <v>0</v>
      </c>
      <c r="V202">
        <v>0</v>
      </c>
      <c r="W202">
        <v>-8.99</v>
      </c>
      <c r="X202">
        <v>-8.99</v>
      </c>
      <c r="Y202">
        <v>0</v>
      </c>
      <c r="Z202">
        <v>12595.159999999994</v>
      </c>
      <c r="AA202">
        <v>12642.579999999993</v>
      </c>
      <c r="AB202">
        <v>47.419999999999995</v>
      </c>
      <c r="AC202">
        <v>1724.0200000000002</v>
      </c>
      <c r="AD202">
        <v>736.90999999999985</v>
      </c>
      <c r="AE202">
        <v>-987.11</v>
      </c>
      <c r="AF202">
        <v>10871.14</v>
      </c>
      <c r="AG202">
        <v>11905.669999999995</v>
      </c>
      <c r="AH202">
        <v>1034.53</v>
      </c>
      <c r="AI202">
        <v>-387.00000000000006</v>
      </c>
      <c r="AJ202">
        <v>0</v>
      </c>
      <c r="AK202">
        <v>387.00000000000006</v>
      </c>
      <c r="AL202">
        <v>11258.140000000001</v>
      </c>
      <c r="AM202">
        <v>11905.669999999995</v>
      </c>
      <c r="AN202">
        <v>647.53000000000065</v>
      </c>
      <c r="AO202">
        <v>209</v>
      </c>
    </row>
    <row r="203" spans="1:41" x14ac:dyDescent="0.35">
      <c r="A203">
        <v>2024</v>
      </c>
      <c r="B203">
        <v>1</v>
      </c>
      <c r="C203">
        <v>5</v>
      </c>
      <c r="D203" s="14">
        <v>45320</v>
      </c>
      <c r="E203" t="s">
        <v>44</v>
      </c>
      <c r="F203" t="s">
        <v>47</v>
      </c>
      <c r="G203" t="s">
        <v>51</v>
      </c>
      <c r="H203">
        <v>19.05</v>
      </c>
      <c r="I203">
        <v>19.05</v>
      </c>
      <c r="J203">
        <v>0</v>
      </c>
      <c r="K203">
        <v>2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21.05</v>
      </c>
      <c r="AA203">
        <v>21.05</v>
      </c>
      <c r="AB203">
        <v>0</v>
      </c>
      <c r="AE203">
        <v>0</v>
      </c>
      <c r="AF203">
        <v>21.05</v>
      </c>
      <c r="AG203">
        <v>21.05</v>
      </c>
      <c r="AH203">
        <v>0</v>
      </c>
      <c r="AI203">
        <v>6.3</v>
      </c>
      <c r="AJ203">
        <v>0</v>
      </c>
      <c r="AK203">
        <v>-6.3</v>
      </c>
      <c r="AL203">
        <v>14.75</v>
      </c>
      <c r="AM203">
        <v>21.05</v>
      </c>
      <c r="AN203">
        <v>6.3000000000000007</v>
      </c>
      <c r="AO203">
        <v>1</v>
      </c>
    </row>
    <row r="204" spans="1:41" x14ac:dyDescent="0.35">
      <c r="A204">
        <v>2024</v>
      </c>
      <c r="B204">
        <v>1</v>
      </c>
      <c r="C204">
        <v>5</v>
      </c>
      <c r="D204" s="14">
        <v>45321</v>
      </c>
      <c r="E204" t="s">
        <v>41</v>
      </c>
      <c r="F204" t="s">
        <v>42</v>
      </c>
      <c r="G204" t="s">
        <v>43</v>
      </c>
      <c r="H204">
        <v>65793.25</v>
      </c>
      <c r="I204">
        <v>65793.25</v>
      </c>
      <c r="J204">
        <v>0</v>
      </c>
      <c r="K204">
        <v>951.12000000000251</v>
      </c>
      <c r="L204">
        <v>951.12000000000251</v>
      </c>
      <c r="M204">
        <v>0</v>
      </c>
      <c r="N204">
        <v>1533.8900000000008</v>
      </c>
      <c r="O204">
        <v>1533.8900000000008</v>
      </c>
      <c r="P204">
        <v>0</v>
      </c>
      <c r="Q204">
        <v>-7292.1</v>
      </c>
      <c r="R204">
        <v>-6992.1</v>
      </c>
      <c r="S204">
        <v>300</v>
      </c>
      <c r="T204">
        <v>-1.1200000000000001</v>
      </c>
      <c r="U204">
        <v>-1.1200000000000001</v>
      </c>
      <c r="V204">
        <v>0</v>
      </c>
      <c r="W204">
        <v>-48</v>
      </c>
      <c r="X204">
        <v>-48</v>
      </c>
      <c r="Y204">
        <v>0</v>
      </c>
      <c r="Z204">
        <v>60937.039999999608</v>
      </c>
      <c r="AA204">
        <v>61237.039999999601</v>
      </c>
      <c r="AB204">
        <v>300</v>
      </c>
      <c r="AC204">
        <v>16541.550000000039</v>
      </c>
      <c r="AD204">
        <v>9998.5600000000304</v>
      </c>
      <c r="AE204">
        <v>-6542.9900000000189</v>
      </c>
      <c r="AF204">
        <v>44395.490000000391</v>
      </c>
      <c r="AG204">
        <v>51238.480000000141</v>
      </c>
      <c r="AH204">
        <v>6842.9900000000198</v>
      </c>
      <c r="AI204">
        <v>-4976.4699999999948</v>
      </c>
      <c r="AJ204">
        <v>0</v>
      </c>
      <c r="AK204">
        <v>4976.4699999999948</v>
      </c>
      <c r="AL204">
        <v>49371.960000000101</v>
      </c>
      <c r="AM204">
        <v>51238.480000000141</v>
      </c>
      <c r="AN204">
        <v>1866.5200000000041</v>
      </c>
      <c r="AO204">
        <v>1214</v>
      </c>
    </row>
    <row r="205" spans="1:41" x14ac:dyDescent="0.35">
      <c r="A205">
        <v>2024</v>
      </c>
      <c r="B205">
        <v>1</v>
      </c>
      <c r="C205">
        <v>5</v>
      </c>
      <c r="D205" s="14">
        <v>45321</v>
      </c>
      <c r="E205" t="s">
        <v>44</v>
      </c>
      <c r="F205" t="s">
        <v>42</v>
      </c>
      <c r="G205" t="s">
        <v>45</v>
      </c>
      <c r="H205">
        <v>86455</v>
      </c>
      <c r="I205">
        <v>86455</v>
      </c>
      <c r="J205">
        <v>0</v>
      </c>
      <c r="K205">
        <v>785.06000000000438</v>
      </c>
      <c r="L205">
        <v>785.06000000000438</v>
      </c>
      <c r="M205">
        <v>0</v>
      </c>
      <c r="N205">
        <v>3849.4899999999748</v>
      </c>
      <c r="O205">
        <v>3849.4899999999748</v>
      </c>
      <c r="P205">
        <v>0</v>
      </c>
      <c r="Q205">
        <v>-15737.469999999998</v>
      </c>
      <c r="R205">
        <v>-15596</v>
      </c>
      <c r="S205">
        <v>141.47</v>
      </c>
      <c r="T205">
        <v>-6.6900000000000013</v>
      </c>
      <c r="U205">
        <v>-6.6900000000000013</v>
      </c>
      <c r="V205">
        <v>0</v>
      </c>
      <c r="W205">
        <v>-91.28</v>
      </c>
      <c r="X205">
        <v>-91.28</v>
      </c>
      <c r="Y205">
        <v>0</v>
      </c>
      <c r="Z205">
        <v>75254.109999999971</v>
      </c>
      <c r="AA205">
        <v>75395.579999999973</v>
      </c>
      <c r="AB205">
        <v>141.46999999999997</v>
      </c>
      <c r="AC205">
        <v>12764.859999999981</v>
      </c>
      <c r="AD205">
        <v>7803.5600000000186</v>
      </c>
      <c r="AE205">
        <v>-4961.3000000000084</v>
      </c>
      <c r="AF205">
        <v>62489.250000000167</v>
      </c>
      <c r="AG205">
        <v>67592.01999999999</v>
      </c>
      <c r="AH205">
        <v>5102.7700000000086</v>
      </c>
      <c r="AI205">
        <v>-3742.7200000000048</v>
      </c>
      <c r="AJ205">
        <v>0</v>
      </c>
      <c r="AK205">
        <v>3742.7200000000048</v>
      </c>
      <c r="AL205">
        <v>66231.969999999987</v>
      </c>
      <c r="AM205">
        <v>67592.01999999999</v>
      </c>
      <c r="AN205">
        <v>1360.0500000000002</v>
      </c>
      <c r="AO205">
        <v>1191</v>
      </c>
    </row>
    <row r="206" spans="1:41" x14ac:dyDescent="0.35">
      <c r="A206">
        <v>2024</v>
      </c>
      <c r="B206">
        <v>1</v>
      </c>
      <c r="C206">
        <v>5</v>
      </c>
      <c r="D206" s="14">
        <v>45321</v>
      </c>
      <c r="E206" t="s">
        <v>44</v>
      </c>
      <c r="F206" t="s">
        <v>42</v>
      </c>
      <c r="G206" t="s">
        <v>46</v>
      </c>
      <c r="H206">
        <v>38323.000000000036</v>
      </c>
      <c r="I206">
        <v>38323.000000000036</v>
      </c>
      <c r="J206">
        <v>0</v>
      </c>
      <c r="K206">
        <v>201.15999999999997</v>
      </c>
      <c r="L206">
        <v>201.15999999999997</v>
      </c>
      <c r="M206">
        <v>0</v>
      </c>
      <c r="N206">
        <v>984.38000000000045</v>
      </c>
      <c r="O206">
        <v>1003.3700000000005</v>
      </c>
      <c r="P206">
        <v>18.989999999999998</v>
      </c>
      <c r="Q206">
        <v>-13786.960000000025</v>
      </c>
      <c r="R206">
        <v>-13756.120000000024</v>
      </c>
      <c r="S206">
        <v>30.84</v>
      </c>
      <c r="T206">
        <v>-5</v>
      </c>
      <c r="U206">
        <v>-5</v>
      </c>
      <c r="V206">
        <v>0</v>
      </c>
      <c r="W206">
        <v>-5</v>
      </c>
      <c r="X206">
        <v>-5</v>
      </c>
      <c r="Y206">
        <v>0</v>
      </c>
      <c r="Z206">
        <v>25711.580000000013</v>
      </c>
      <c r="AA206">
        <v>25761.410000000014</v>
      </c>
      <c r="AB206">
        <v>49.83</v>
      </c>
      <c r="AC206">
        <v>5701.880000000011</v>
      </c>
      <c r="AD206">
        <v>4152.3400000000056</v>
      </c>
      <c r="AE206">
        <v>-1549.54</v>
      </c>
      <c r="AF206">
        <v>20009.700000000033</v>
      </c>
      <c r="AG206">
        <v>21609.070000000043</v>
      </c>
      <c r="AH206">
        <v>1599.3700000000003</v>
      </c>
      <c r="AI206">
        <v>-1397.549999999999</v>
      </c>
      <c r="AJ206">
        <v>0</v>
      </c>
      <c r="AK206">
        <v>1397.549999999999</v>
      </c>
      <c r="AL206">
        <v>21407.250000000015</v>
      </c>
      <c r="AM206">
        <v>21609.070000000043</v>
      </c>
      <c r="AN206">
        <v>201.82000000000005</v>
      </c>
      <c r="AO206">
        <v>498</v>
      </c>
    </row>
    <row r="207" spans="1:41" x14ac:dyDescent="0.35">
      <c r="A207">
        <v>2024</v>
      </c>
      <c r="B207">
        <v>1</v>
      </c>
      <c r="C207">
        <v>5</v>
      </c>
      <c r="D207" s="14">
        <v>45321</v>
      </c>
      <c r="E207" t="s">
        <v>44</v>
      </c>
      <c r="F207" t="s">
        <v>47</v>
      </c>
      <c r="G207" t="s">
        <v>48</v>
      </c>
      <c r="H207">
        <v>6414.6500000000315</v>
      </c>
      <c r="I207">
        <v>6414.6500000000315</v>
      </c>
      <c r="J207">
        <v>0</v>
      </c>
      <c r="K207">
        <v>1992.6000000000015</v>
      </c>
      <c r="L207">
        <v>1992.6000000000015</v>
      </c>
      <c r="M207">
        <v>0</v>
      </c>
      <c r="N207">
        <v>0</v>
      </c>
      <c r="O207">
        <v>0</v>
      </c>
      <c r="P207">
        <v>0</v>
      </c>
      <c r="Q207">
        <v>-245.2</v>
      </c>
      <c r="R207">
        <v>-245.2</v>
      </c>
      <c r="S207">
        <v>0</v>
      </c>
      <c r="T207">
        <v>-222.20000000000002</v>
      </c>
      <c r="U207">
        <v>-222.20000000000002</v>
      </c>
      <c r="V207">
        <v>0</v>
      </c>
      <c r="W207">
        <v>0</v>
      </c>
      <c r="X207">
        <v>0</v>
      </c>
      <c r="Y207">
        <v>0</v>
      </c>
      <c r="Z207">
        <v>7939.850000000034</v>
      </c>
      <c r="AA207">
        <v>7939.850000000034</v>
      </c>
      <c r="AB207">
        <v>0</v>
      </c>
      <c r="AE207">
        <v>0</v>
      </c>
      <c r="AF207">
        <v>7939.850000000034</v>
      </c>
      <c r="AG207">
        <v>7939.850000000034</v>
      </c>
      <c r="AH207">
        <v>0</v>
      </c>
      <c r="AI207">
        <v>2660.4200000000033</v>
      </c>
      <c r="AJ207">
        <v>0</v>
      </c>
      <c r="AK207">
        <v>-2660.4200000000033</v>
      </c>
      <c r="AL207">
        <v>5279.4299999999957</v>
      </c>
      <c r="AM207">
        <v>7939.850000000034</v>
      </c>
      <c r="AN207">
        <v>2660.4200000000037</v>
      </c>
      <c r="AO207">
        <v>303</v>
      </c>
    </row>
    <row r="208" spans="1:41" x14ac:dyDescent="0.35">
      <c r="A208">
        <v>2024</v>
      </c>
      <c r="B208">
        <v>1</v>
      </c>
      <c r="C208">
        <v>5</v>
      </c>
      <c r="D208" s="14">
        <v>45321</v>
      </c>
      <c r="E208" t="s">
        <v>44</v>
      </c>
      <c r="F208" t="s">
        <v>47</v>
      </c>
      <c r="G208" t="s">
        <v>49</v>
      </c>
      <c r="H208">
        <v>7094.350000000004</v>
      </c>
      <c r="I208">
        <v>7094.350000000004</v>
      </c>
      <c r="J208">
        <v>0</v>
      </c>
      <c r="K208">
        <v>215.20000000000005</v>
      </c>
      <c r="L208">
        <v>215.20000000000005</v>
      </c>
      <c r="M208">
        <v>0</v>
      </c>
      <c r="N208">
        <v>129.91999999999999</v>
      </c>
      <c r="O208">
        <v>129.91999999999999</v>
      </c>
      <c r="P208">
        <v>0</v>
      </c>
      <c r="Q208">
        <v>-2744.7500000000005</v>
      </c>
      <c r="R208">
        <v>-2739.7500000000009</v>
      </c>
      <c r="S208">
        <v>5</v>
      </c>
      <c r="T208">
        <v>-10</v>
      </c>
      <c r="U208">
        <v>-10</v>
      </c>
      <c r="V208">
        <v>0</v>
      </c>
      <c r="W208">
        <v>0</v>
      </c>
      <c r="X208">
        <v>0</v>
      </c>
      <c r="Y208">
        <v>0</v>
      </c>
      <c r="Z208">
        <v>4684.7200000000021</v>
      </c>
      <c r="AA208">
        <v>4689.7200000000021</v>
      </c>
      <c r="AB208">
        <v>5</v>
      </c>
      <c r="AC208">
        <v>137.25</v>
      </c>
      <c r="AD208">
        <v>128.86000000000001</v>
      </c>
      <c r="AE208">
        <v>-8.39</v>
      </c>
      <c r="AF208">
        <v>4547.47</v>
      </c>
      <c r="AG208">
        <v>4560.8600000000006</v>
      </c>
      <c r="AH208">
        <v>13.390000000000004</v>
      </c>
      <c r="AI208">
        <v>779.84000000000015</v>
      </c>
      <c r="AJ208">
        <v>0</v>
      </c>
      <c r="AK208">
        <v>-779.84000000000015</v>
      </c>
      <c r="AL208">
        <v>3767.6300000000019</v>
      </c>
      <c r="AM208">
        <v>4560.8600000000006</v>
      </c>
      <c r="AN208">
        <v>793.23000000000025</v>
      </c>
      <c r="AO208">
        <v>102</v>
      </c>
    </row>
    <row r="209" spans="1:41" x14ac:dyDescent="0.35">
      <c r="A209">
        <v>2024</v>
      </c>
      <c r="B209">
        <v>1</v>
      </c>
      <c r="C209">
        <v>5</v>
      </c>
      <c r="D209" s="14">
        <v>45321</v>
      </c>
      <c r="E209" t="s">
        <v>44</v>
      </c>
      <c r="F209" t="s">
        <v>47</v>
      </c>
      <c r="G209" t="s">
        <v>50</v>
      </c>
      <c r="H209">
        <v>22979.48</v>
      </c>
      <c r="I209">
        <v>22979.48</v>
      </c>
      <c r="J209">
        <v>0</v>
      </c>
      <c r="K209">
        <v>470.57999999999925</v>
      </c>
      <c r="L209">
        <v>445.57999999999925</v>
      </c>
      <c r="M209">
        <v>-25</v>
      </c>
      <c r="N209">
        <v>854.47000000000037</v>
      </c>
      <c r="O209">
        <v>854.47000000000037</v>
      </c>
      <c r="P209">
        <v>0</v>
      </c>
      <c r="Q209">
        <v>-7286.52</v>
      </c>
      <c r="R209">
        <v>-7115.31</v>
      </c>
      <c r="S209">
        <v>171.20999999999998</v>
      </c>
      <c r="T209">
        <v>-27.95</v>
      </c>
      <c r="U209">
        <v>-27.95</v>
      </c>
      <c r="V209">
        <v>0</v>
      </c>
      <c r="W209">
        <v>-48.989999999999995</v>
      </c>
      <c r="X209">
        <v>-48.989999999999995</v>
      </c>
      <c r="Y209">
        <v>0</v>
      </c>
      <c r="Z209">
        <v>16941.069999999978</v>
      </c>
      <c r="AA209">
        <v>17087.279999999977</v>
      </c>
      <c r="AB209">
        <v>146.21</v>
      </c>
      <c r="AC209">
        <v>1992.9300000000003</v>
      </c>
      <c r="AD209">
        <v>1256.0200000000002</v>
      </c>
      <c r="AE209">
        <v>-736.90999999999985</v>
      </c>
      <c r="AF209">
        <v>14948.140000000005</v>
      </c>
      <c r="AG209">
        <v>15831.26</v>
      </c>
      <c r="AH209">
        <v>883.12</v>
      </c>
      <c r="AI209">
        <v>-849.82999999999981</v>
      </c>
      <c r="AJ209">
        <v>0</v>
      </c>
      <c r="AK209">
        <v>849.82999999999981</v>
      </c>
      <c r="AL209">
        <v>15797.970000000012</v>
      </c>
      <c r="AM209">
        <v>15831.26</v>
      </c>
      <c r="AN209">
        <v>33.290000000000077</v>
      </c>
      <c r="AO209">
        <v>279</v>
      </c>
    </row>
    <row r="210" spans="1:41" x14ac:dyDescent="0.35">
      <c r="A210">
        <v>2024</v>
      </c>
      <c r="B210">
        <v>1</v>
      </c>
      <c r="C210">
        <v>5</v>
      </c>
      <c r="D210" s="14">
        <v>45321</v>
      </c>
      <c r="E210" t="s">
        <v>44</v>
      </c>
      <c r="F210" t="s">
        <v>47</v>
      </c>
      <c r="G210" t="s">
        <v>51</v>
      </c>
      <c r="H210">
        <v>2800.5</v>
      </c>
      <c r="I210">
        <v>2800.5</v>
      </c>
      <c r="J210">
        <v>0</v>
      </c>
      <c r="K210">
        <v>20.46</v>
      </c>
      <c r="L210">
        <v>20.46</v>
      </c>
      <c r="M210">
        <v>0</v>
      </c>
      <c r="N210">
        <v>18.989999999999998</v>
      </c>
      <c r="O210">
        <v>18.989999999999998</v>
      </c>
      <c r="P210">
        <v>0</v>
      </c>
      <c r="Q210">
        <v>-760.85</v>
      </c>
      <c r="R210">
        <v>-760.85</v>
      </c>
      <c r="S210">
        <v>0</v>
      </c>
      <c r="T210">
        <v>-4</v>
      </c>
      <c r="U210">
        <v>-4</v>
      </c>
      <c r="V210">
        <v>0</v>
      </c>
      <c r="W210">
        <v>0</v>
      </c>
      <c r="X210">
        <v>0</v>
      </c>
      <c r="Y210">
        <v>0</v>
      </c>
      <c r="Z210">
        <v>2075.1</v>
      </c>
      <c r="AA210">
        <v>2075.1</v>
      </c>
      <c r="AB210">
        <v>0</v>
      </c>
      <c r="AC210">
        <v>31.17</v>
      </c>
      <c r="AD210">
        <v>31.17</v>
      </c>
      <c r="AE210">
        <v>0</v>
      </c>
      <c r="AF210">
        <v>2043.9299999999998</v>
      </c>
      <c r="AG210">
        <v>2043.9299999999998</v>
      </c>
      <c r="AH210">
        <v>0</v>
      </c>
      <c r="AI210">
        <v>786.58000000000027</v>
      </c>
      <c r="AJ210">
        <v>0</v>
      </c>
      <c r="AK210">
        <v>-786.58000000000027</v>
      </c>
      <c r="AL210">
        <v>1257.3499999999995</v>
      </c>
      <c r="AM210">
        <v>2043.9299999999998</v>
      </c>
      <c r="AN210">
        <v>786.58000000000027</v>
      </c>
      <c r="AO210">
        <v>45</v>
      </c>
    </row>
    <row r="211" spans="1:41" x14ac:dyDescent="0.35">
      <c r="A211">
        <v>2024</v>
      </c>
      <c r="B211">
        <v>1</v>
      </c>
      <c r="C211">
        <v>5</v>
      </c>
      <c r="D211" s="14">
        <v>45322</v>
      </c>
      <c r="E211" t="s">
        <v>41</v>
      </c>
      <c r="F211" t="s">
        <v>42</v>
      </c>
      <c r="G211" t="s">
        <v>43</v>
      </c>
      <c r="H211">
        <v>79261.25</v>
      </c>
      <c r="I211">
        <v>79261.25</v>
      </c>
      <c r="J211">
        <v>0</v>
      </c>
      <c r="K211">
        <v>1107.3800000000135</v>
      </c>
      <c r="L211">
        <v>1107.3800000000135</v>
      </c>
      <c r="M211">
        <v>0</v>
      </c>
      <c r="N211">
        <v>1906.620000000001</v>
      </c>
      <c r="O211">
        <v>1893.630000000001</v>
      </c>
      <c r="P211">
        <v>-12.99</v>
      </c>
      <c r="Q211">
        <v>-8648.25</v>
      </c>
      <c r="R211">
        <v>-8018.25</v>
      </c>
      <c r="S211">
        <v>630</v>
      </c>
      <c r="T211">
        <v>-3.26</v>
      </c>
      <c r="U211">
        <v>-3.26</v>
      </c>
      <c r="V211">
        <v>0</v>
      </c>
      <c r="W211">
        <v>-78.990000000000009</v>
      </c>
      <c r="X211">
        <v>-78.990000000000009</v>
      </c>
      <c r="Y211">
        <v>0</v>
      </c>
      <c r="Z211">
        <v>73544.749999999694</v>
      </c>
      <c r="AA211">
        <v>74161.759999999689</v>
      </c>
      <c r="AB211">
        <v>617.01</v>
      </c>
      <c r="AC211">
        <v>21493.359999999815</v>
      </c>
      <c r="AD211">
        <v>11388.230000000001</v>
      </c>
      <c r="AE211">
        <v>-10105.130000000017</v>
      </c>
      <c r="AF211">
        <v>52051.390000000421</v>
      </c>
      <c r="AG211">
        <v>62773.529999999977</v>
      </c>
      <c r="AH211">
        <v>10722.140000000018</v>
      </c>
      <c r="AI211">
        <v>-5697.3200000000043</v>
      </c>
      <c r="AJ211">
        <v>0</v>
      </c>
      <c r="AK211">
        <v>5697.3200000000043</v>
      </c>
      <c r="AL211">
        <v>57748.710000000217</v>
      </c>
      <c r="AM211">
        <v>62773.529999999977</v>
      </c>
      <c r="AN211">
        <v>5024.8200000000161</v>
      </c>
      <c r="AO211">
        <v>1462</v>
      </c>
    </row>
    <row r="212" spans="1:41" x14ac:dyDescent="0.35">
      <c r="A212">
        <v>2024</v>
      </c>
      <c r="B212">
        <v>1</v>
      </c>
      <c r="C212">
        <v>5</v>
      </c>
      <c r="D212" s="14">
        <v>45322</v>
      </c>
      <c r="E212" t="s">
        <v>44</v>
      </c>
      <c r="F212" t="s">
        <v>42</v>
      </c>
      <c r="G212" t="s">
        <v>45</v>
      </c>
      <c r="H212">
        <v>104794.5</v>
      </c>
      <c r="I212">
        <v>104794.5</v>
      </c>
      <c r="J212">
        <v>0</v>
      </c>
      <c r="K212">
        <v>795.84000000000174</v>
      </c>
      <c r="L212">
        <v>795.84000000000174</v>
      </c>
      <c r="M212">
        <v>0</v>
      </c>
      <c r="N212">
        <v>4372.0999999999676</v>
      </c>
      <c r="O212">
        <v>4372.0999999999676</v>
      </c>
      <c r="P212">
        <v>0</v>
      </c>
      <c r="Q212">
        <v>-19442.369999999995</v>
      </c>
      <c r="R212">
        <v>-18788.32</v>
      </c>
      <c r="S212">
        <v>654.05000000000018</v>
      </c>
      <c r="T212">
        <v>-8.4500000000000011</v>
      </c>
      <c r="U212">
        <v>-8.4500000000000011</v>
      </c>
      <c r="V212">
        <v>0</v>
      </c>
      <c r="W212">
        <v>-100.08</v>
      </c>
      <c r="X212">
        <v>-100.08</v>
      </c>
      <c r="Y212">
        <v>0</v>
      </c>
      <c r="Z212">
        <v>90411.540000000401</v>
      </c>
      <c r="AA212">
        <v>91065.590000000448</v>
      </c>
      <c r="AB212">
        <v>654.05000000000018</v>
      </c>
      <c r="AC212">
        <v>17979.219999999881</v>
      </c>
      <c r="AD212">
        <v>10218.220000000005</v>
      </c>
      <c r="AE212">
        <v>-7761.0000000000182</v>
      </c>
      <c r="AF212">
        <v>72432.320000000211</v>
      </c>
      <c r="AG212">
        <v>80847.370000000214</v>
      </c>
      <c r="AH212">
        <v>8415.0500000000156</v>
      </c>
      <c r="AI212">
        <v>-5090.3499999999985</v>
      </c>
      <c r="AJ212">
        <v>0</v>
      </c>
      <c r="AK212">
        <v>5090.3499999999985</v>
      </c>
      <c r="AL212">
        <v>77522.67</v>
      </c>
      <c r="AM212">
        <v>80847.370000000214</v>
      </c>
      <c r="AN212">
        <v>3324.700000000013</v>
      </c>
      <c r="AO212">
        <v>1458</v>
      </c>
    </row>
    <row r="213" spans="1:41" x14ac:dyDescent="0.35">
      <c r="A213">
        <v>2024</v>
      </c>
      <c r="B213">
        <v>1</v>
      </c>
      <c r="C213">
        <v>5</v>
      </c>
      <c r="D213" s="14">
        <v>45322</v>
      </c>
      <c r="E213" t="s">
        <v>44</v>
      </c>
      <c r="F213" t="s">
        <v>42</v>
      </c>
      <c r="G213" t="s">
        <v>46</v>
      </c>
      <c r="H213">
        <v>48012.900000000052</v>
      </c>
      <c r="I213">
        <v>48012.900000000052</v>
      </c>
      <c r="J213">
        <v>0</v>
      </c>
      <c r="K213">
        <v>268.02999999999975</v>
      </c>
      <c r="L213">
        <v>268.02999999999975</v>
      </c>
      <c r="M213">
        <v>0</v>
      </c>
      <c r="N213">
        <v>1053.3300000000004</v>
      </c>
      <c r="O213">
        <v>1053.3300000000004</v>
      </c>
      <c r="P213">
        <v>0</v>
      </c>
      <c r="Q213">
        <v>-17739.820000000029</v>
      </c>
      <c r="R213">
        <v>-17213.190000000031</v>
      </c>
      <c r="S213">
        <v>526.62999999999988</v>
      </c>
      <c r="T213">
        <v>0</v>
      </c>
      <c r="U213">
        <v>0</v>
      </c>
      <c r="V213">
        <v>0</v>
      </c>
      <c r="W213">
        <v>-10</v>
      </c>
      <c r="X213">
        <v>-10</v>
      </c>
      <c r="Y213">
        <v>0</v>
      </c>
      <c r="Z213">
        <v>31584.439999999988</v>
      </c>
      <c r="AA213">
        <v>32111.069999999989</v>
      </c>
      <c r="AB213">
        <v>526.62999999999988</v>
      </c>
      <c r="AC213">
        <v>8323.9300000000221</v>
      </c>
      <c r="AD213">
        <v>4181.9700000000075</v>
      </c>
      <c r="AE213">
        <v>-4141.9600000000055</v>
      </c>
      <c r="AF213">
        <v>23260.510000000057</v>
      </c>
      <c r="AG213">
        <v>27929.100000000057</v>
      </c>
      <c r="AH213">
        <v>4668.5900000000056</v>
      </c>
      <c r="AI213">
        <v>-1513.0099999999998</v>
      </c>
      <c r="AJ213">
        <v>0</v>
      </c>
      <c r="AK213">
        <v>1513.0099999999998</v>
      </c>
      <c r="AL213">
        <v>24773.519999999997</v>
      </c>
      <c r="AM213">
        <v>27929.100000000057</v>
      </c>
      <c r="AN213">
        <v>3155.5799999999995</v>
      </c>
      <c r="AO213">
        <v>618</v>
      </c>
    </row>
    <row r="214" spans="1:41" x14ac:dyDescent="0.35">
      <c r="A214">
        <v>2024</v>
      </c>
      <c r="B214">
        <v>1</v>
      </c>
      <c r="C214">
        <v>5</v>
      </c>
      <c r="D214" s="14">
        <v>45322</v>
      </c>
      <c r="E214" t="s">
        <v>44</v>
      </c>
      <c r="F214" t="s">
        <v>47</v>
      </c>
      <c r="G214" t="s">
        <v>48</v>
      </c>
      <c r="H214">
        <v>10526.399999999981</v>
      </c>
      <c r="I214">
        <v>10526.399999999981</v>
      </c>
      <c r="J214">
        <v>0</v>
      </c>
      <c r="K214">
        <v>1069.7000000000005</v>
      </c>
      <c r="L214">
        <v>1069.7000000000005</v>
      </c>
      <c r="M214">
        <v>0</v>
      </c>
      <c r="N214">
        <v>31.98</v>
      </c>
      <c r="O214">
        <v>31.98</v>
      </c>
      <c r="P214">
        <v>0</v>
      </c>
      <c r="Q214">
        <v>-936.40000000000032</v>
      </c>
      <c r="R214">
        <v>-936.40000000000032</v>
      </c>
      <c r="S214">
        <v>0</v>
      </c>
      <c r="T214">
        <v>-5</v>
      </c>
      <c r="U214">
        <v>-5</v>
      </c>
      <c r="V214">
        <v>0</v>
      </c>
      <c r="W214">
        <v>0</v>
      </c>
      <c r="X214">
        <v>0</v>
      </c>
      <c r="Y214">
        <v>0</v>
      </c>
      <c r="Z214">
        <v>10686.67999999998</v>
      </c>
      <c r="AA214">
        <v>10686.67999999998</v>
      </c>
      <c r="AB214">
        <v>0</v>
      </c>
      <c r="AC214">
        <v>10</v>
      </c>
      <c r="AD214">
        <v>10</v>
      </c>
      <c r="AE214">
        <v>0</v>
      </c>
      <c r="AF214">
        <v>10676.679999999978</v>
      </c>
      <c r="AG214">
        <v>10676.679999999978</v>
      </c>
      <c r="AH214">
        <v>0</v>
      </c>
      <c r="AI214">
        <v>3713.8899999999994</v>
      </c>
      <c r="AJ214">
        <v>0</v>
      </c>
      <c r="AK214">
        <v>-3713.8899999999994</v>
      </c>
      <c r="AL214">
        <v>6962.7899999999981</v>
      </c>
      <c r="AM214">
        <v>10676.679999999978</v>
      </c>
      <c r="AN214">
        <v>3713.889999999999</v>
      </c>
      <c r="AO214">
        <v>313</v>
      </c>
    </row>
    <row r="215" spans="1:41" x14ac:dyDescent="0.35">
      <c r="A215">
        <v>2024</v>
      </c>
      <c r="B215">
        <v>1</v>
      </c>
      <c r="C215">
        <v>5</v>
      </c>
      <c r="D215" s="14">
        <v>45322</v>
      </c>
      <c r="E215" t="s">
        <v>44</v>
      </c>
      <c r="F215" t="s">
        <v>47</v>
      </c>
      <c r="G215" t="s">
        <v>49</v>
      </c>
      <c r="H215">
        <v>12340.05</v>
      </c>
      <c r="I215">
        <v>12340.05</v>
      </c>
      <c r="J215">
        <v>0</v>
      </c>
      <c r="K215">
        <v>168.32999999999998</v>
      </c>
      <c r="L215">
        <v>168.32999999999998</v>
      </c>
      <c r="M215">
        <v>0</v>
      </c>
      <c r="N215">
        <v>168.9</v>
      </c>
      <c r="O215">
        <v>168.9</v>
      </c>
      <c r="P215">
        <v>0</v>
      </c>
      <c r="Q215">
        <v>-4548.0599999999986</v>
      </c>
      <c r="R215">
        <v>-4508.0599999999986</v>
      </c>
      <c r="S215">
        <v>40</v>
      </c>
      <c r="T215">
        <v>-30</v>
      </c>
      <c r="U215">
        <v>-30</v>
      </c>
      <c r="V215">
        <v>0</v>
      </c>
      <c r="W215">
        <v>-10</v>
      </c>
      <c r="X215">
        <v>-10</v>
      </c>
      <c r="Y215">
        <v>0</v>
      </c>
      <c r="Z215">
        <v>8089.22</v>
      </c>
      <c r="AA215">
        <v>8129.22</v>
      </c>
      <c r="AB215">
        <v>40</v>
      </c>
      <c r="AC215">
        <v>252.88000000000002</v>
      </c>
      <c r="AD215">
        <v>124.02</v>
      </c>
      <c r="AE215">
        <v>-128.86000000000001</v>
      </c>
      <c r="AF215">
        <v>7836.3399999999992</v>
      </c>
      <c r="AG215">
        <v>8005.2</v>
      </c>
      <c r="AH215">
        <v>168.85999999999999</v>
      </c>
      <c r="AI215">
        <v>1856.04</v>
      </c>
      <c r="AJ215">
        <v>0</v>
      </c>
      <c r="AK215">
        <v>-1856.04</v>
      </c>
      <c r="AL215">
        <v>5980.2999999999856</v>
      </c>
      <c r="AM215">
        <v>8005.2</v>
      </c>
      <c r="AN215">
        <v>2024.8999999999996</v>
      </c>
      <c r="AO215">
        <v>158</v>
      </c>
    </row>
    <row r="216" spans="1:41" x14ac:dyDescent="0.35">
      <c r="A216">
        <v>2024</v>
      </c>
      <c r="B216">
        <v>1</v>
      </c>
      <c r="C216">
        <v>5</v>
      </c>
      <c r="D216" s="14">
        <v>45322</v>
      </c>
      <c r="E216" t="s">
        <v>44</v>
      </c>
      <c r="F216" t="s">
        <v>47</v>
      </c>
      <c r="G216" t="s">
        <v>50</v>
      </c>
      <c r="H216">
        <v>29858.629999999997</v>
      </c>
      <c r="I216">
        <v>29858.629999999997</v>
      </c>
      <c r="J216">
        <v>0</v>
      </c>
      <c r="K216">
        <v>842.57000000000062</v>
      </c>
      <c r="L216">
        <v>842.57000000000062</v>
      </c>
      <c r="M216">
        <v>0</v>
      </c>
      <c r="N216">
        <v>1177.2400000000005</v>
      </c>
      <c r="O216">
        <v>1177.2400000000005</v>
      </c>
      <c r="P216">
        <v>0</v>
      </c>
      <c r="Q216">
        <v>-10455.91</v>
      </c>
      <c r="R216">
        <v>-10329.909999999998</v>
      </c>
      <c r="S216">
        <v>126</v>
      </c>
      <c r="T216">
        <v>-55</v>
      </c>
      <c r="U216">
        <v>-55</v>
      </c>
      <c r="V216">
        <v>0</v>
      </c>
      <c r="W216">
        <v>-60</v>
      </c>
      <c r="X216">
        <v>-60</v>
      </c>
      <c r="Y216">
        <v>0</v>
      </c>
      <c r="Z216">
        <v>21307.530000000006</v>
      </c>
      <c r="AA216">
        <v>21433.530000000006</v>
      </c>
      <c r="AB216">
        <v>126</v>
      </c>
      <c r="AC216">
        <v>3053.390000000004</v>
      </c>
      <c r="AD216">
        <v>1764.68</v>
      </c>
      <c r="AE216">
        <v>-1288.7100000000003</v>
      </c>
      <c r="AF216">
        <v>18254.140000000003</v>
      </c>
      <c r="AG216">
        <v>19668.850000000009</v>
      </c>
      <c r="AH216">
        <v>1414.7100000000005</v>
      </c>
      <c r="AI216">
        <v>-1000.6999999999996</v>
      </c>
      <c r="AJ216">
        <v>0</v>
      </c>
      <c r="AK216">
        <v>1000.6999999999996</v>
      </c>
      <c r="AL216">
        <v>19254.840000000007</v>
      </c>
      <c r="AM216">
        <v>19668.850000000009</v>
      </c>
      <c r="AN216">
        <v>414.01000000000005</v>
      </c>
      <c r="AO216">
        <v>366</v>
      </c>
    </row>
    <row r="217" spans="1:41" x14ac:dyDescent="0.35">
      <c r="A217">
        <v>2024</v>
      </c>
      <c r="B217">
        <v>1</v>
      </c>
      <c r="C217">
        <v>5</v>
      </c>
      <c r="D217" s="14">
        <v>45322</v>
      </c>
      <c r="E217" t="s">
        <v>44</v>
      </c>
      <c r="F217" t="s">
        <v>47</v>
      </c>
      <c r="G217" t="s">
        <v>51</v>
      </c>
      <c r="H217">
        <v>5580.9000000000005</v>
      </c>
      <c r="I217">
        <v>5580.9000000000005</v>
      </c>
      <c r="J217">
        <v>0</v>
      </c>
      <c r="K217">
        <v>31.46</v>
      </c>
      <c r="L217">
        <v>31.46</v>
      </c>
      <c r="M217">
        <v>0</v>
      </c>
      <c r="N217">
        <v>0</v>
      </c>
      <c r="O217">
        <v>0</v>
      </c>
      <c r="P217">
        <v>0</v>
      </c>
      <c r="Q217">
        <v>-1080.1500000000001</v>
      </c>
      <c r="R217">
        <v>-1080.1500000000001</v>
      </c>
      <c r="S217">
        <v>0</v>
      </c>
      <c r="T217">
        <v>-12</v>
      </c>
      <c r="U217">
        <v>-12</v>
      </c>
      <c r="V217">
        <v>0</v>
      </c>
      <c r="W217">
        <v>0</v>
      </c>
      <c r="X217">
        <v>0</v>
      </c>
      <c r="Y217">
        <v>0</v>
      </c>
      <c r="Z217">
        <v>4520.2099999999982</v>
      </c>
      <c r="AA217">
        <v>4520.2099999999982</v>
      </c>
      <c r="AB217">
        <v>0</v>
      </c>
      <c r="AC217">
        <v>31.17</v>
      </c>
      <c r="AE217">
        <v>-31.17</v>
      </c>
      <c r="AF217">
        <v>4489.0399999999981</v>
      </c>
      <c r="AG217">
        <v>4520.2099999999982</v>
      </c>
      <c r="AH217">
        <v>31.17</v>
      </c>
      <c r="AI217">
        <v>1170.7999999999993</v>
      </c>
      <c r="AJ217">
        <v>0</v>
      </c>
      <c r="AK217">
        <v>-1170.7999999999993</v>
      </c>
      <c r="AL217">
        <v>3318.2400000000016</v>
      </c>
      <c r="AM217">
        <v>4520.2099999999982</v>
      </c>
      <c r="AN217">
        <v>1201.9699999999996</v>
      </c>
      <c r="AO217">
        <v>83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190"/>
  <sheetViews>
    <sheetView topLeftCell="A166" workbookViewId="0"/>
  </sheetViews>
  <sheetFormatPr defaultRowHeight="14.5" x14ac:dyDescent="0.35"/>
  <cols>
    <col min="1" max="3" width="13" customWidth="1"/>
    <col min="4" max="4" width="12" customWidth="1"/>
    <col min="5" max="5" width="13" customWidth="1"/>
    <col min="6" max="6" width="8" customWidth="1"/>
    <col min="7" max="7" width="12" customWidth="1"/>
    <col min="8" max="19" width="13" customWidth="1"/>
    <col min="20" max="20" width="16" customWidth="1"/>
    <col min="21" max="21" width="17" customWidth="1"/>
    <col min="22" max="22" width="16" customWidth="1"/>
    <col min="23" max="28" width="13" customWidth="1"/>
    <col min="29" max="29" width="18" customWidth="1"/>
    <col min="30" max="30" width="19" customWidth="1"/>
    <col min="31" max="31" width="18" customWidth="1"/>
    <col min="32" max="41" width="13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2024</v>
      </c>
      <c r="B2">
        <v>7</v>
      </c>
      <c r="C2">
        <v>27</v>
      </c>
      <c r="D2" s="14">
        <v>45474</v>
      </c>
      <c r="E2" t="s">
        <v>41</v>
      </c>
      <c r="F2" t="s">
        <v>42</v>
      </c>
      <c r="G2" t="s">
        <v>43</v>
      </c>
      <c r="H2">
        <v>103104.25</v>
      </c>
      <c r="I2">
        <v>103104.25</v>
      </c>
      <c r="J2">
        <v>0</v>
      </c>
      <c r="K2">
        <v>1042.0400000000052</v>
      </c>
      <c r="L2">
        <v>1049.040000000005</v>
      </c>
      <c r="M2">
        <v>7</v>
      </c>
      <c r="N2">
        <v>1974.670000000001</v>
      </c>
      <c r="O2">
        <v>1974.670000000001</v>
      </c>
      <c r="P2">
        <v>0</v>
      </c>
      <c r="Q2">
        <v>-10836.75</v>
      </c>
      <c r="R2">
        <v>-9118.75</v>
      </c>
      <c r="S2">
        <v>1718</v>
      </c>
      <c r="T2">
        <v>-14.45</v>
      </c>
      <c r="U2">
        <v>-7.91</v>
      </c>
      <c r="V2">
        <v>6.54</v>
      </c>
      <c r="W2">
        <v>-52.1</v>
      </c>
      <c r="X2">
        <v>-52.1</v>
      </c>
      <c r="Y2">
        <v>0</v>
      </c>
      <c r="Z2">
        <v>95217.660000000367</v>
      </c>
      <c r="AA2">
        <v>96949.200000000448</v>
      </c>
      <c r="AB2">
        <v>1731.54</v>
      </c>
      <c r="AC2">
        <v>37056.079999999696</v>
      </c>
      <c r="AD2">
        <v>30245.449999999677</v>
      </c>
      <c r="AE2">
        <v>-6810.6300000000128</v>
      </c>
      <c r="AF2">
        <v>58161.579999999878</v>
      </c>
      <c r="AG2">
        <v>66703.749999999753</v>
      </c>
      <c r="AH2">
        <v>8542.170000000011</v>
      </c>
      <c r="AI2">
        <v>-14802.540000000008</v>
      </c>
      <c r="AJ2">
        <v>0</v>
      </c>
      <c r="AK2">
        <v>14802.540000000008</v>
      </c>
      <c r="AL2">
        <v>72964.119999999966</v>
      </c>
      <c r="AM2">
        <v>66703.749999999753</v>
      </c>
      <c r="AN2">
        <v>-6260.3700000000035</v>
      </c>
      <c r="AO2">
        <v>1782</v>
      </c>
    </row>
    <row r="3" spans="1:41" x14ac:dyDescent="0.35">
      <c r="A3">
        <v>2024</v>
      </c>
      <c r="B3">
        <v>7</v>
      </c>
      <c r="C3">
        <v>27</v>
      </c>
      <c r="D3" s="14">
        <v>45475</v>
      </c>
      <c r="E3" t="s">
        <v>41</v>
      </c>
      <c r="F3" t="s">
        <v>42</v>
      </c>
      <c r="G3" t="s">
        <v>43</v>
      </c>
      <c r="H3">
        <v>151771.75</v>
      </c>
      <c r="I3">
        <v>151771.75</v>
      </c>
      <c r="J3">
        <v>0</v>
      </c>
      <c r="K3">
        <v>1541.6600000000294</v>
      </c>
      <c r="L3">
        <v>1534.6600000000292</v>
      </c>
      <c r="M3">
        <v>-7</v>
      </c>
      <c r="N3">
        <v>2742.0999999999908</v>
      </c>
      <c r="O3">
        <v>2729.109999999991</v>
      </c>
      <c r="P3">
        <v>-12.99</v>
      </c>
      <c r="Q3">
        <v>-14527.75</v>
      </c>
      <c r="R3">
        <v>-13249.75</v>
      </c>
      <c r="S3">
        <v>1278</v>
      </c>
      <c r="T3">
        <v>-16.900000000000006</v>
      </c>
      <c r="U3">
        <v>-16.900000000000006</v>
      </c>
      <c r="V3">
        <v>0</v>
      </c>
      <c r="W3">
        <v>-71</v>
      </c>
      <c r="X3">
        <v>-71</v>
      </c>
      <c r="Y3">
        <v>0</v>
      </c>
      <c r="Z3">
        <v>141439.86000000132</v>
      </c>
      <c r="AA3">
        <v>142697.87000000131</v>
      </c>
      <c r="AB3">
        <v>1258.01</v>
      </c>
      <c r="AC3">
        <v>56971.279999999817</v>
      </c>
      <c r="AD3">
        <v>27050.879999999783</v>
      </c>
      <c r="AE3">
        <v>-29920.399999999787</v>
      </c>
      <c r="AF3">
        <v>84468.580000000235</v>
      </c>
      <c r="AG3">
        <v>115646.99000000086</v>
      </c>
      <c r="AH3">
        <v>31178.409999999778</v>
      </c>
      <c r="AI3">
        <v>-12993.150000000027</v>
      </c>
      <c r="AJ3">
        <v>0</v>
      </c>
      <c r="AK3">
        <v>12993.150000000027</v>
      </c>
      <c r="AL3">
        <v>97461.730000000112</v>
      </c>
      <c r="AM3">
        <v>115646.99000000086</v>
      </c>
      <c r="AN3">
        <v>18185.259999999918</v>
      </c>
      <c r="AO3">
        <v>2652</v>
      </c>
    </row>
    <row r="4" spans="1:41" x14ac:dyDescent="0.35">
      <c r="A4">
        <v>2024</v>
      </c>
      <c r="B4">
        <v>7</v>
      </c>
      <c r="C4">
        <v>27</v>
      </c>
      <c r="D4" s="14">
        <v>45476</v>
      </c>
      <c r="E4" t="s">
        <v>41</v>
      </c>
      <c r="F4" t="s">
        <v>42</v>
      </c>
      <c r="G4" t="s">
        <v>43</v>
      </c>
      <c r="H4">
        <v>171603</v>
      </c>
      <c r="I4">
        <v>171603</v>
      </c>
      <c r="J4">
        <v>0</v>
      </c>
      <c r="K4">
        <v>1798.1200000000179</v>
      </c>
      <c r="L4">
        <v>1784.1200000000176</v>
      </c>
      <c r="M4">
        <v>-14</v>
      </c>
      <c r="N4">
        <v>3303.7299999999832</v>
      </c>
      <c r="O4">
        <v>3303.7299999999832</v>
      </c>
      <c r="P4">
        <v>0</v>
      </c>
      <c r="Q4">
        <v>-16212.65</v>
      </c>
      <c r="R4">
        <v>-13258.65</v>
      </c>
      <c r="S4">
        <v>2954</v>
      </c>
      <c r="T4">
        <v>-14.240000000000002</v>
      </c>
      <c r="U4">
        <v>-13.780000000000001</v>
      </c>
      <c r="V4">
        <v>0.46</v>
      </c>
      <c r="W4">
        <v>-77.59</v>
      </c>
      <c r="X4">
        <v>-64.599999999999994</v>
      </c>
      <c r="Y4">
        <v>12.99</v>
      </c>
      <c r="Z4">
        <v>160400.37000000081</v>
      </c>
      <c r="AA4">
        <v>163353.82000000082</v>
      </c>
      <c r="AB4">
        <v>2953.45</v>
      </c>
      <c r="AC4">
        <v>65888.769999999742</v>
      </c>
      <c r="AD4">
        <v>38962.199999999742</v>
      </c>
      <c r="AE4">
        <v>-26926.569999999734</v>
      </c>
      <c r="AF4">
        <v>94511.600000000399</v>
      </c>
      <c r="AG4">
        <v>124391.62000000117</v>
      </c>
      <c r="AH4">
        <v>29880.019999999713</v>
      </c>
      <c r="AI4">
        <v>-18151.910000000011</v>
      </c>
      <c r="AJ4">
        <v>0</v>
      </c>
      <c r="AK4">
        <v>18151.910000000011</v>
      </c>
      <c r="AL4">
        <v>112663.51000000002</v>
      </c>
      <c r="AM4">
        <v>124391.62000000117</v>
      </c>
      <c r="AN4">
        <v>11728.109999999919</v>
      </c>
      <c r="AO4">
        <v>2990</v>
      </c>
    </row>
    <row r="5" spans="1:41" x14ac:dyDescent="0.35">
      <c r="A5">
        <v>2024</v>
      </c>
      <c r="B5">
        <v>7</v>
      </c>
      <c r="C5">
        <v>27</v>
      </c>
      <c r="D5" s="14">
        <v>45477</v>
      </c>
      <c r="E5" t="s">
        <v>41</v>
      </c>
      <c r="F5" t="s">
        <v>42</v>
      </c>
      <c r="G5" t="s">
        <v>43</v>
      </c>
      <c r="H5">
        <v>153957</v>
      </c>
      <c r="I5">
        <v>153957</v>
      </c>
      <c r="J5">
        <v>0</v>
      </c>
      <c r="K5">
        <v>1839.1700000000305</v>
      </c>
      <c r="L5">
        <v>1832.1700000000305</v>
      </c>
      <c r="M5">
        <v>-7</v>
      </c>
      <c r="N5">
        <v>3568.5599999999772</v>
      </c>
      <c r="O5">
        <v>3568.5599999999772</v>
      </c>
      <c r="P5">
        <v>0</v>
      </c>
      <c r="Q5">
        <v>-13133.75</v>
      </c>
      <c r="R5">
        <v>-11996.25</v>
      </c>
      <c r="S5">
        <v>1137.5</v>
      </c>
      <c r="T5">
        <v>-6.8699999999999992</v>
      </c>
      <c r="U5">
        <v>-6.8699999999999992</v>
      </c>
      <c r="V5">
        <v>0</v>
      </c>
      <c r="W5">
        <v>-55.7</v>
      </c>
      <c r="X5">
        <v>-55.7</v>
      </c>
      <c r="Y5">
        <v>0</v>
      </c>
      <c r="Z5">
        <v>146168.41000000128</v>
      </c>
      <c r="AA5">
        <v>147298.91000000131</v>
      </c>
      <c r="AB5">
        <v>1130.5</v>
      </c>
      <c r="AC5">
        <v>59670.179999999425</v>
      </c>
      <c r="AD5">
        <v>21276.169999999875</v>
      </c>
      <c r="AE5">
        <v>-38394.009999999726</v>
      </c>
      <c r="AF5">
        <v>86498.230000000374</v>
      </c>
      <c r="AG5">
        <v>126022.74000000091</v>
      </c>
      <c r="AH5">
        <v>39524.50999999974</v>
      </c>
      <c r="AI5">
        <v>-10264.500000000015</v>
      </c>
      <c r="AJ5">
        <v>0</v>
      </c>
      <c r="AK5">
        <v>10264.500000000015</v>
      </c>
      <c r="AL5">
        <v>96762.730000000403</v>
      </c>
      <c r="AM5">
        <v>126022.74000000091</v>
      </c>
      <c r="AN5">
        <v>29260.009999999678</v>
      </c>
      <c r="AO5">
        <v>2684</v>
      </c>
    </row>
    <row r="6" spans="1:41" x14ac:dyDescent="0.35">
      <c r="A6">
        <v>2024</v>
      </c>
      <c r="B6">
        <v>7</v>
      </c>
      <c r="C6">
        <v>27</v>
      </c>
      <c r="D6" s="14">
        <v>45478</v>
      </c>
      <c r="E6" t="s">
        <v>41</v>
      </c>
      <c r="F6" t="s">
        <v>42</v>
      </c>
      <c r="G6" t="s">
        <v>43</v>
      </c>
      <c r="H6">
        <v>96759.25</v>
      </c>
      <c r="I6">
        <v>96759.25</v>
      </c>
      <c r="J6">
        <v>0</v>
      </c>
      <c r="K6">
        <v>1220.9900000000059</v>
      </c>
      <c r="L6">
        <v>1220.9900000000059</v>
      </c>
      <c r="M6">
        <v>0</v>
      </c>
      <c r="N6">
        <v>2300.3899999999976</v>
      </c>
      <c r="O6">
        <v>2300.3899999999976</v>
      </c>
      <c r="P6">
        <v>0</v>
      </c>
      <c r="Q6">
        <v>-8023.1</v>
      </c>
      <c r="R6">
        <v>-7237.1</v>
      </c>
      <c r="S6">
        <v>786</v>
      </c>
      <c r="T6">
        <v>-3.7600000000000002</v>
      </c>
      <c r="U6">
        <v>-3.7600000000000002</v>
      </c>
      <c r="V6">
        <v>0</v>
      </c>
      <c r="W6">
        <v>-55</v>
      </c>
      <c r="X6">
        <v>-55</v>
      </c>
      <c r="Y6">
        <v>0</v>
      </c>
      <c r="Z6">
        <v>92198.77000000031</v>
      </c>
      <c r="AA6">
        <v>92984.770000000324</v>
      </c>
      <c r="AB6">
        <v>786</v>
      </c>
      <c r="AC6">
        <v>40050.559999999314</v>
      </c>
      <c r="AD6">
        <v>18773.739999999925</v>
      </c>
      <c r="AE6">
        <v>-21276.819999999872</v>
      </c>
      <c r="AF6">
        <v>52148.210000000377</v>
      </c>
      <c r="AG6">
        <v>74211.030000000057</v>
      </c>
      <c r="AH6">
        <v>22062.819999999851</v>
      </c>
      <c r="AI6">
        <v>-8901.5399999999918</v>
      </c>
      <c r="AJ6">
        <v>0</v>
      </c>
      <c r="AK6">
        <v>8901.5399999999918</v>
      </c>
      <c r="AL6">
        <v>61049.750000000284</v>
      </c>
      <c r="AM6">
        <v>74211.030000000057</v>
      </c>
      <c r="AN6">
        <v>13161.279999999984</v>
      </c>
      <c r="AO6">
        <v>1693</v>
      </c>
    </row>
    <row r="7" spans="1:41" x14ac:dyDescent="0.35">
      <c r="A7">
        <v>2024</v>
      </c>
      <c r="B7">
        <v>7</v>
      </c>
      <c r="C7">
        <v>27</v>
      </c>
      <c r="D7" s="14">
        <v>45479</v>
      </c>
      <c r="E7" t="s">
        <v>41</v>
      </c>
      <c r="F7" t="s">
        <v>42</v>
      </c>
      <c r="G7" t="s">
        <v>43</v>
      </c>
      <c r="H7">
        <v>89626.75</v>
      </c>
      <c r="I7">
        <v>89626.75</v>
      </c>
      <c r="J7">
        <v>0</v>
      </c>
      <c r="K7">
        <v>1074.8800000000153</v>
      </c>
      <c r="L7">
        <v>1074.8800000000153</v>
      </c>
      <c r="M7">
        <v>0</v>
      </c>
      <c r="N7">
        <v>2158.4599999999991</v>
      </c>
      <c r="O7">
        <v>2158.4599999999991</v>
      </c>
      <c r="P7">
        <v>0</v>
      </c>
      <c r="Q7">
        <v>-7533.75</v>
      </c>
      <c r="R7">
        <v>-6947.75</v>
      </c>
      <c r="S7">
        <v>586</v>
      </c>
      <c r="T7">
        <v>-5.2600000000000007</v>
      </c>
      <c r="U7">
        <v>-5.2600000000000007</v>
      </c>
      <c r="V7">
        <v>0</v>
      </c>
      <c r="W7">
        <v>-40</v>
      </c>
      <c r="X7">
        <v>-40</v>
      </c>
      <c r="Y7">
        <v>0</v>
      </c>
      <c r="Z7">
        <v>85281.080000000162</v>
      </c>
      <c r="AA7">
        <v>85867.080000000176</v>
      </c>
      <c r="AB7">
        <v>586</v>
      </c>
      <c r="AC7">
        <v>37702.36999999945</v>
      </c>
      <c r="AD7">
        <v>18940.539999999917</v>
      </c>
      <c r="AE7">
        <v>-18761.829999999889</v>
      </c>
      <c r="AF7">
        <v>47578.710000000348</v>
      </c>
      <c r="AG7">
        <v>66926.53999999995</v>
      </c>
      <c r="AH7">
        <v>19347.829999999885</v>
      </c>
      <c r="AI7">
        <v>-9103.9200000000019</v>
      </c>
      <c r="AJ7">
        <v>0</v>
      </c>
      <c r="AK7">
        <v>9103.9200000000019</v>
      </c>
      <c r="AL7">
        <v>56682.630000000347</v>
      </c>
      <c r="AM7">
        <v>66926.53999999995</v>
      </c>
      <c r="AN7">
        <v>10243.910000000016</v>
      </c>
      <c r="AO7">
        <v>1574</v>
      </c>
    </row>
    <row r="8" spans="1:41" x14ac:dyDescent="0.35">
      <c r="A8">
        <v>2024</v>
      </c>
      <c r="B8">
        <v>7</v>
      </c>
      <c r="C8">
        <v>27</v>
      </c>
      <c r="D8" s="14">
        <v>45474</v>
      </c>
      <c r="E8" t="s">
        <v>44</v>
      </c>
      <c r="F8" t="s">
        <v>42</v>
      </c>
      <c r="G8" t="s">
        <v>45</v>
      </c>
      <c r="H8">
        <v>112888</v>
      </c>
      <c r="I8">
        <v>112888</v>
      </c>
      <c r="J8">
        <v>0</v>
      </c>
      <c r="K8">
        <v>694.4800000000007</v>
      </c>
      <c r="L8">
        <v>694.4800000000007</v>
      </c>
      <c r="M8">
        <v>0</v>
      </c>
      <c r="N8">
        <v>4711.9999999999645</v>
      </c>
      <c r="O8">
        <v>4711.9999999999645</v>
      </c>
      <c r="P8">
        <v>0</v>
      </c>
      <c r="Q8">
        <v>-19174.5</v>
      </c>
      <c r="R8">
        <v>-17932.75</v>
      </c>
      <c r="S8">
        <v>1241.75</v>
      </c>
      <c r="T8">
        <v>-1.06</v>
      </c>
      <c r="U8">
        <v>-1.06</v>
      </c>
      <c r="V8">
        <v>0</v>
      </c>
      <c r="W8">
        <v>-47.6</v>
      </c>
      <c r="X8">
        <v>-47.6</v>
      </c>
      <c r="Y8">
        <v>0</v>
      </c>
      <c r="Z8">
        <v>99071.32000000024</v>
      </c>
      <c r="AA8">
        <v>100313.07000000024</v>
      </c>
      <c r="AB8">
        <v>1241.75</v>
      </c>
      <c r="AC8">
        <v>26338.699999999888</v>
      </c>
      <c r="AD8">
        <v>22260.359999999902</v>
      </c>
      <c r="AE8">
        <v>-4078.3400000000029</v>
      </c>
      <c r="AF8">
        <v>72761.920000000056</v>
      </c>
      <c r="AG8">
        <v>78082.01000000014</v>
      </c>
      <c r="AH8">
        <v>5320.0900000000038</v>
      </c>
      <c r="AI8">
        <v>-11032.000000000029</v>
      </c>
      <c r="AJ8">
        <v>0</v>
      </c>
      <c r="AK8">
        <v>11032.000000000029</v>
      </c>
      <c r="AL8">
        <v>83793.919999999955</v>
      </c>
      <c r="AM8">
        <v>78082.01000000014</v>
      </c>
      <c r="AN8">
        <v>-5711.9099999999926</v>
      </c>
      <c r="AO8">
        <v>1441</v>
      </c>
    </row>
    <row r="9" spans="1:41" x14ac:dyDescent="0.35">
      <c r="A9">
        <v>2024</v>
      </c>
      <c r="B9">
        <v>7</v>
      </c>
      <c r="C9">
        <v>27</v>
      </c>
      <c r="D9" s="14">
        <v>45475</v>
      </c>
      <c r="E9" t="s">
        <v>44</v>
      </c>
      <c r="F9" t="s">
        <v>42</v>
      </c>
      <c r="G9" t="s">
        <v>45</v>
      </c>
      <c r="H9">
        <v>152418</v>
      </c>
      <c r="I9">
        <v>152418</v>
      </c>
      <c r="J9">
        <v>0</v>
      </c>
      <c r="K9">
        <v>957.29000000001031</v>
      </c>
      <c r="L9">
        <v>957.29000000001031</v>
      </c>
      <c r="M9">
        <v>0</v>
      </c>
      <c r="N9">
        <v>5762.3099999999486</v>
      </c>
      <c r="O9">
        <v>5762.3099999999486</v>
      </c>
      <c r="P9">
        <v>0</v>
      </c>
      <c r="Q9">
        <v>-25383.25</v>
      </c>
      <c r="R9">
        <v>-24650</v>
      </c>
      <c r="S9">
        <v>733.25</v>
      </c>
      <c r="T9">
        <v>-3.83</v>
      </c>
      <c r="U9">
        <v>-3.83</v>
      </c>
      <c r="V9">
        <v>0</v>
      </c>
      <c r="W9">
        <v>-91.39</v>
      </c>
      <c r="X9">
        <v>-91.39</v>
      </c>
      <c r="Y9">
        <v>0</v>
      </c>
      <c r="Z9">
        <v>133659.13000000088</v>
      </c>
      <c r="AA9">
        <v>134392.38000000085</v>
      </c>
      <c r="AB9">
        <v>733.25</v>
      </c>
      <c r="AC9">
        <v>37277.5199999998</v>
      </c>
      <c r="AD9">
        <v>15855.58999999994</v>
      </c>
      <c r="AE9">
        <v>-21421.929999999928</v>
      </c>
      <c r="AF9">
        <v>96381.610000000059</v>
      </c>
      <c r="AG9">
        <v>118536.79000000055</v>
      </c>
      <c r="AH9">
        <v>22155.179999999924</v>
      </c>
      <c r="AI9">
        <v>-7922.7400000000016</v>
      </c>
      <c r="AJ9">
        <v>0</v>
      </c>
      <c r="AK9">
        <v>7922.7400000000016</v>
      </c>
      <c r="AL9">
        <v>104304.34999999983</v>
      </c>
      <c r="AM9">
        <v>118536.79000000055</v>
      </c>
      <c r="AN9">
        <v>14232.439999999897</v>
      </c>
      <c r="AO9">
        <v>1959</v>
      </c>
    </row>
    <row r="10" spans="1:41" x14ac:dyDescent="0.35">
      <c r="A10">
        <v>2024</v>
      </c>
      <c r="B10">
        <v>7</v>
      </c>
      <c r="C10">
        <v>27</v>
      </c>
      <c r="D10" s="14">
        <v>45476</v>
      </c>
      <c r="E10" t="s">
        <v>44</v>
      </c>
      <c r="F10" t="s">
        <v>42</v>
      </c>
      <c r="G10" t="s">
        <v>45</v>
      </c>
      <c r="H10">
        <v>186246.5</v>
      </c>
      <c r="I10">
        <v>186246.5</v>
      </c>
      <c r="J10">
        <v>0</v>
      </c>
      <c r="K10">
        <v>1126.1100000000049</v>
      </c>
      <c r="L10">
        <v>1126.1100000000049</v>
      </c>
      <c r="M10">
        <v>0</v>
      </c>
      <c r="N10">
        <v>6910.6499999999351</v>
      </c>
      <c r="O10">
        <v>6894.6599999999353</v>
      </c>
      <c r="P10">
        <v>-15.99</v>
      </c>
      <c r="Q10">
        <v>-31580</v>
      </c>
      <c r="R10">
        <v>-29524.25</v>
      </c>
      <c r="S10">
        <v>2055.75</v>
      </c>
      <c r="T10">
        <v>-6.7200000000000006</v>
      </c>
      <c r="U10">
        <v>-6.7200000000000006</v>
      </c>
      <c r="V10">
        <v>0</v>
      </c>
      <c r="W10">
        <v>-106.19</v>
      </c>
      <c r="X10">
        <v>-106.19</v>
      </c>
      <c r="Y10">
        <v>0</v>
      </c>
      <c r="Z10">
        <v>162590.35000000027</v>
      </c>
      <c r="AA10">
        <v>164630.11000000025</v>
      </c>
      <c r="AB10">
        <v>2039.76</v>
      </c>
      <c r="AC10">
        <v>46061.509999999769</v>
      </c>
      <c r="AD10">
        <v>30431.059999999896</v>
      </c>
      <c r="AE10">
        <v>-15630.449999999953</v>
      </c>
      <c r="AF10">
        <v>116528.8400000004</v>
      </c>
      <c r="AG10">
        <v>134199.05000000069</v>
      </c>
      <c r="AH10">
        <v>17670.209999999955</v>
      </c>
      <c r="AI10">
        <v>-14658.540000000026</v>
      </c>
      <c r="AJ10">
        <v>0</v>
      </c>
      <c r="AK10">
        <v>14658.540000000026</v>
      </c>
      <c r="AL10">
        <v>131187.37999999989</v>
      </c>
      <c r="AM10">
        <v>134199.05000000069</v>
      </c>
      <c r="AN10">
        <v>3011.6700000000128</v>
      </c>
      <c r="AO10">
        <v>2385</v>
      </c>
    </row>
    <row r="11" spans="1:41" x14ac:dyDescent="0.35">
      <c r="A11">
        <v>2024</v>
      </c>
      <c r="B11">
        <v>7</v>
      </c>
      <c r="C11">
        <v>27</v>
      </c>
      <c r="D11" s="14">
        <v>45477</v>
      </c>
      <c r="E11" t="s">
        <v>44</v>
      </c>
      <c r="F11" t="s">
        <v>42</v>
      </c>
      <c r="G11" t="s">
        <v>45</v>
      </c>
      <c r="H11">
        <v>194967</v>
      </c>
      <c r="I11">
        <v>194967</v>
      </c>
      <c r="J11">
        <v>0</v>
      </c>
      <c r="K11">
        <v>1330.5300000000173</v>
      </c>
      <c r="L11">
        <v>1330.5300000000173</v>
      </c>
      <c r="M11">
        <v>0</v>
      </c>
      <c r="N11">
        <v>7466.1999999999252</v>
      </c>
      <c r="O11">
        <v>7418.2299999999259</v>
      </c>
      <c r="P11">
        <v>-47.97</v>
      </c>
      <c r="Q11">
        <v>-31548.25</v>
      </c>
      <c r="R11">
        <v>-30549.75</v>
      </c>
      <c r="S11">
        <v>998.5</v>
      </c>
      <c r="T11">
        <v>-7.5600000000000005</v>
      </c>
      <c r="U11">
        <v>-7.5600000000000005</v>
      </c>
      <c r="V11">
        <v>0</v>
      </c>
      <c r="W11">
        <v>-155.47999999999999</v>
      </c>
      <c r="X11">
        <v>-155.47999999999999</v>
      </c>
      <c r="Y11">
        <v>0</v>
      </c>
      <c r="Z11">
        <v>172052.44000000009</v>
      </c>
      <c r="AA11">
        <v>173002.97000000006</v>
      </c>
      <c r="AB11">
        <v>950.53</v>
      </c>
      <c r="AC11">
        <v>48882.439999999609</v>
      </c>
      <c r="AD11">
        <v>19021.97999999993</v>
      </c>
      <c r="AE11">
        <v>-29860.459999999915</v>
      </c>
      <c r="AF11">
        <v>123170.00000000036</v>
      </c>
      <c r="AG11">
        <v>153980.9900000004</v>
      </c>
      <c r="AH11">
        <v>30810.989999999914</v>
      </c>
      <c r="AI11">
        <v>-9488.2700000000059</v>
      </c>
      <c r="AJ11">
        <v>0</v>
      </c>
      <c r="AK11">
        <v>9488.2700000000059</v>
      </c>
      <c r="AL11">
        <v>132658.26999999993</v>
      </c>
      <c r="AM11">
        <v>153980.9900000004</v>
      </c>
      <c r="AN11">
        <v>21322.719999999885</v>
      </c>
      <c r="AO11">
        <v>2508</v>
      </c>
    </row>
    <row r="12" spans="1:41" x14ac:dyDescent="0.35">
      <c r="A12">
        <v>2024</v>
      </c>
      <c r="B12">
        <v>7</v>
      </c>
      <c r="C12">
        <v>27</v>
      </c>
      <c r="D12" s="14">
        <v>45478</v>
      </c>
      <c r="E12" t="s">
        <v>44</v>
      </c>
      <c r="F12" t="s">
        <v>42</v>
      </c>
      <c r="G12" t="s">
        <v>45</v>
      </c>
      <c r="H12">
        <v>133727</v>
      </c>
      <c r="I12">
        <v>133727</v>
      </c>
      <c r="J12">
        <v>0</v>
      </c>
      <c r="K12">
        <v>984.8400000000031</v>
      </c>
      <c r="L12">
        <v>984.8400000000031</v>
      </c>
      <c r="M12">
        <v>0</v>
      </c>
      <c r="N12">
        <v>5376.469999999953</v>
      </c>
      <c r="O12">
        <v>5357.4799999999532</v>
      </c>
      <c r="P12">
        <v>-18.990000000000002</v>
      </c>
      <c r="Q12">
        <v>-20560.75</v>
      </c>
      <c r="R12">
        <v>-19812.75</v>
      </c>
      <c r="S12">
        <v>748</v>
      </c>
      <c r="T12">
        <v>-3.06</v>
      </c>
      <c r="U12">
        <v>-3.06</v>
      </c>
      <c r="V12">
        <v>0</v>
      </c>
      <c r="W12">
        <v>-103.99000000000001</v>
      </c>
      <c r="X12">
        <v>-103.99000000000001</v>
      </c>
      <c r="Y12">
        <v>0</v>
      </c>
      <c r="Z12">
        <v>119420.51000000056</v>
      </c>
      <c r="AA12">
        <v>120149.52000000054</v>
      </c>
      <c r="AB12">
        <v>729.01</v>
      </c>
      <c r="AC12">
        <v>33127.979999999785</v>
      </c>
      <c r="AD12">
        <v>14538.19999999997</v>
      </c>
      <c r="AE12">
        <v>-18589.779999999933</v>
      </c>
      <c r="AF12">
        <v>86292.530000000261</v>
      </c>
      <c r="AG12">
        <v>105611.32000000039</v>
      </c>
      <c r="AH12">
        <v>19318.789999999924</v>
      </c>
      <c r="AI12">
        <v>-7400.6499999999969</v>
      </c>
      <c r="AJ12">
        <v>0</v>
      </c>
      <c r="AK12">
        <v>7400.6499999999969</v>
      </c>
      <c r="AL12">
        <v>93693.18000000024</v>
      </c>
      <c r="AM12">
        <v>105611.32000000039</v>
      </c>
      <c r="AN12">
        <v>11918.139999999968</v>
      </c>
      <c r="AO12">
        <v>1751</v>
      </c>
    </row>
    <row r="13" spans="1:41" x14ac:dyDescent="0.35">
      <c r="A13">
        <v>2024</v>
      </c>
      <c r="B13">
        <v>7</v>
      </c>
      <c r="C13">
        <v>27</v>
      </c>
      <c r="D13" s="14">
        <v>45479</v>
      </c>
      <c r="E13" t="s">
        <v>44</v>
      </c>
      <c r="F13" t="s">
        <v>42</v>
      </c>
      <c r="G13" t="s">
        <v>45</v>
      </c>
      <c r="H13">
        <v>119114</v>
      </c>
      <c r="I13">
        <v>119114</v>
      </c>
      <c r="J13">
        <v>0</v>
      </c>
      <c r="K13">
        <v>822.63000000000739</v>
      </c>
      <c r="L13">
        <v>852.63000000000807</v>
      </c>
      <c r="M13">
        <v>30</v>
      </c>
      <c r="N13">
        <v>5170.6199999999553</v>
      </c>
      <c r="O13">
        <v>5170.6199999999553</v>
      </c>
      <c r="P13">
        <v>0</v>
      </c>
      <c r="Q13">
        <v>-18697.25</v>
      </c>
      <c r="R13">
        <v>-17878.75</v>
      </c>
      <c r="S13">
        <v>818.5</v>
      </c>
      <c r="T13">
        <v>-1.9</v>
      </c>
      <c r="U13">
        <v>-1.9</v>
      </c>
      <c r="V13">
        <v>0</v>
      </c>
      <c r="W13">
        <v>-115.77999999999999</v>
      </c>
      <c r="X13">
        <v>-115.78999999999999</v>
      </c>
      <c r="Y13">
        <v>-9.9999999999997868E-3</v>
      </c>
      <c r="Z13">
        <v>106292.32000000075</v>
      </c>
      <c r="AA13">
        <v>107140.81000000075</v>
      </c>
      <c r="AB13">
        <v>848.49</v>
      </c>
      <c r="AC13">
        <v>27264.209999999854</v>
      </c>
      <c r="AD13">
        <v>13126.079999999965</v>
      </c>
      <c r="AE13">
        <v>-14138.129999999979</v>
      </c>
      <c r="AF13">
        <v>79028.110000000335</v>
      </c>
      <c r="AG13">
        <v>94014.740000000544</v>
      </c>
      <c r="AH13">
        <v>14986.629999999977</v>
      </c>
      <c r="AI13">
        <v>-6782.0599999999913</v>
      </c>
      <c r="AJ13">
        <v>0</v>
      </c>
      <c r="AK13">
        <v>6782.0599999999913</v>
      </c>
      <c r="AL13">
        <v>85810.170000000027</v>
      </c>
      <c r="AM13">
        <v>94014.740000000544</v>
      </c>
      <c r="AN13">
        <v>8204.570000000027</v>
      </c>
      <c r="AO13">
        <v>1544</v>
      </c>
    </row>
    <row r="14" spans="1:41" x14ac:dyDescent="0.35">
      <c r="A14">
        <v>2024</v>
      </c>
      <c r="B14">
        <v>7</v>
      </c>
      <c r="C14">
        <v>27</v>
      </c>
      <c r="D14" s="14">
        <v>45474</v>
      </c>
      <c r="E14" t="s">
        <v>44</v>
      </c>
      <c r="F14" t="s">
        <v>42</v>
      </c>
      <c r="G14" t="s">
        <v>46</v>
      </c>
      <c r="H14">
        <v>36178.5</v>
      </c>
      <c r="I14">
        <v>36178.5</v>
      </c>
      <c r="J14">
        <v>0</v>
      </c>
      <c r="K14">
        <v>143.74999999999994</v>
      </c>
      <c r="L14">
        <v>143.74999999999994</v>
      </c>
      <c r="M14">
        <v>0</v>
      </c>
      <c r="N14">
        <v>1356.1700000000005</v>
      </c>
      <c r="O14">
        <v>1356.1700000000005</v>
      </c>
      <c r="P14">
        <v>0</v>
      </c>
      <c r="Q14">
        <v>-12514</v>
      </c>
      <c r="R14">
        <v>-12103</v>
      </c>
      <c r="S14">
        <v>411</v>
      </c>
      <c r="T14">
        <v>0</v>
      </c>
      <c r="U14">
        <v>0</v>
      </c>
      <c r="V14">
        <v>0</v>
      </c>
      <c r="W14">
        <v>-1.6</v>
      </c>
      <c r="X14">
        <v>-1.6</v>
      </c>
      <c r="Y14">
        <v>0</v>
      </c>
      <c r="Z14">
        <v>25162.820000000018</v>
      </c>
      <c r="AA14">
        <v>25573.820000000022</v>
      </c>
      <c r="AB14">
        <v>411</v>
      </c>
      <c r="AC14">
        <v>8556.6800000000039</v>
      </c>
      <c r="AD14">
        <v>6991.6400000000058</v>
      </c>
      <c r="AE14">
        <v>-1565.0400000000004</v>
      </c>
      <c r="AF14">
        <v>16606.140000000003</v>
      </c>
      <c r="AG14">
        <v>18582.180000000008</v>
      </c>
      <c r="AH14">
        <v>1976.0400000000004</v>
      </c>
      <c r="AI14">
        <v>-2751.6899999999996</v>
      </c>
      <c r="AJ14">
        <v>0</v>
      </c>
      <c r="AK14">
        <v>2751.6899999999996</v>
      </c>
      <c r="AL14">
        <v>19357.830000000009</v>
      </c>
      <c r="AM14">
        <v>18582.180000000008</v>
      </c>
      <c r="AN14">
        <v>-775.64999999999975</v>
      </c>
      <c r="AO14">
        <v>400</v>
      </c>
    </row>
    <row r="15" spans="1:41" x14ac:dyDescent="0.35">
      <c r="A15">
        <v>2024</v>
      </c>
      <c r="B15">
        <v>7</v>
      </c>
      <c r="C15">
        <v>27</v>
      </c>
      <c r="D15" s="14">
        <v>45475</v>
      </c>
      <c r="E15" t="s">
        <v>44</v>
      </c>
      <c r="F15" t="s">
        <v>42</v>
      </c>
      <c r="G15" t="s">
        <v>46</v>
      </c>
      <c r="H15">
        <v>50377.57</v>
      </c>
      <c r="I15">
        <v>50377.57</v>
      </c>
      <c r="J15">
        <v>0</v>
      </c>
      <c r="K15">
        <v>179.91000000000003</v>
      </c>
      <c r="L15">
        <v>179.91000000000003</v>
      </c>
      <c r="M15">
        <v>0</v>
      </c>
      <c r="N15">
        <v>1434.1100000000006</v>
      </c>
      <c r="O15">
        <v>1386.1400000000006</v>
      </c>
      <c r="P15">
        <v>-47.97</v>
      </c>
      <c r="Q15">
        <v>-17204.97</v>
      </c>
      <c r="R15">
        <v>-17143.97</v>
      </c>
      <c r="S15">
        <v>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34786.620000000003</v>
      </c>
      <c r="AA15">
        <v>34799.65</v>
      </c>
      <c r="AB15">
        <v>13.030000000000015</v>
      </c>
      <c r="AC15">
        <v>12631.329999999974</v>
      </c>
      <c r="AD15">
        <v>6044.0800000000072</v>
      </c>
      <c r="AE15">
        <v>-6587.2500000000055</v>
      </c>
      <c r="AF15">
        <v>22155.290000000015</v>
      </c>
      <c r="AG15">
        <v>28755.570000000025</v>
      </c>
      <c r="AH15">
        <v>6600.2800000000061</v>
      </c>
      <c r="AI15">
        <v>-2367.0199999999982</v>
      </c>
      <c r="AJ15">
        <v>0</v>
      </c>
      <c r="AK15">
        <v>2367.0199999999982</v>
      </c>
      <c r="AL15">
        <v>24522.310000000019</v>
      </c>
      <c r="AM15">
        <v>28755.570000000025</v>
      </c>
      <c r="AN15">
        <v>4233.2600000000057</v>
      </c>
      <c r="AO15">
        <v>561</v>
      </c>
    </row>
    <row r="16" spans="1:41" x14ac:dyDescent="0.35">
      <c r="A16">
        <v>2024</v>
      </c>
      <c r="B16">
        <v>7</v>
      </c>
      <c r="C16">
        <v>27</v>
      </c>
      <c r="D16" s="14">
        <v>45476</v>
      </c>
      <c r="E16" t="s">
        <v>44</v>
      </c>
      <c r="F16" t="s">
        <v>42</v>
      </c>
      <c r="G16" t="s">
        <v>46</v>
      </c>
      <c r="H16">
        <v>73945.899999999994</v>
      </c>
      <c r="I16">
        <v>73945.899999999994</v>
      </c>
      <c r="J16">
        <v>0</v>
      </c>
      <c r="K16">
        <v>307.78999999999945</v>
      </c>
      <c r="L16">
        <v>302.78999999999945</v>
      </c>
      <c r="M16">
        <v>-5</v>
      </c>
      <c r="N16">
        <v>1637.9800000000007</v>
      </c>
      <c r="O16">
        <v>1637.9800000000007</v>
      </c>
      <c r="P16">
        <v>0</v>
      </c>
      <c r="Q16">
        <v>-25960.47</v>
      </c>
      <c r="R16">
        <v>-24896.47</v>
      </c>
      <c r="S16">
        <v>1064</v>
      </c>
      <c r="T16">
        <v>-0.68</v>
      </c>
      <c r="U16">
        <v>-0.68</v>
      </c>
      <c r="V16">
        <v>0</v>
      </c>
      <c r="W16">
        <v>-5</v>
      </c>
      <c r="X16">
        <v>-5</v>
      </c>
      <c r="Y16">
        <v>0</v>
      </c>
      <c r="Z16">
        <v>49925.519999999851</v>
      </c>
      <c r="AA16">
        <v>50984.519999999859</v>
      </c>
      <c r="AB16">
        <v>1059</v>
      </c>
      <c r="AC16">
        <v>18841.129999999946</v>
      </c>
      <c r="AD16">
        <v>13125.279999999977</v>
      </c>
      <c r="AE16">
        <v>-5715.8500000000058</v>
      </c>
      <c r="AF16">
        <v>31084.390000000032</v>
      </c>
      <c r="AG16">
        <v>37859.24</v>
      </c>
      <c r="AH16">
        <v>6774.8500000000067</v>
      </c>
      <c r="AI16">
        <v>-4762.6100000000051</v>
      </c>
      <c r="AJ16">
        <v>0</v>
      </c>
      <c r="AK16">
        <v>4762.6100000000051</v>
      </c>
      <c r="AL16">
        <v>35847.000000000015</v>
      </c>
      <c r="AM16">
        <v>37859.24</v>
      </c>
      <c r="AN16">
        <v>2012.2399999999964</v>
      </c>
      <c r="AO16">
        <v>837</v>
      </c>
    </row>
    <row r="17" spans="1:41" x14ac:dyDescent="0.35">
      <c r="A17">
        <v>2024</v>
      </c>
      <c r="B17">
        <v>7</v>
      </c>
      <c r="C17">
        <v>27</v>
      </c>
      <c r="D17" s="14">
        <v>45477</v>
      </c>
      <c r="E17" t="s">
        <v>44</v>
      </c>
      <c r="F17" t="s">
        <v>42</v>
      </c>
      <c r="G17" t="s">
        <v>46</v>
      </c>
      <c r="H17">
        <v>74194.34</v>
      </c>
      <c r="I17">
        <v>74194.34</v>
      </c>
      <c r="J17">
        <v>0</v>
      </c>
      <c r="K17">
        <v>311.0799999999993</v>
      </c>
      <c r="L17">
        <v>311.0799999999993</v>
      </c>
      <c r="M17">
        <v>0</v>
      </c>
      <c r="N17">
        <v>1678.9700000000007</v>
      </c>
      <c r="O17">
        <v>1659.9800000000007</v>
      </c>
      <c r="P17">
        <v>-18.990000000000002</v>
      </c>
      <c r="Q17">
        <v>-25568.360000000004</v>
      </c>
      <c r="R17">
        <v>-25223.360000000001</v>
      </c>
      <c r="S17">
        <v>345</v>
      </c>
      <c r="T17">
        <v>-1.68</v>
      </c>
      <c r="U17">
        <v>-1.68</v>
      </c>
      <c r="V17">
        <v>0</v>
      </c>
      <c r="W17">
        <v>-5</v>
      </c>
      <c r="X17">
        <v>-5</v>
      </c>
      <c r="Y17">
        <v>0</v>
      </c>
      <c r="Z17">
        <v>50609.349999999846</v>
      </c>
      <c r="AA17">
        <v>50935.359999999848</v>
      </c>
      <c r="AB17">
        <v>326.01</v>
      </c>
      <c r="AC17">
        <v>17892.159999999934</v>
      </c>
      <c r="AD17">
        <v>5365.5300000000052</v>
      </c>
      <c r="AE17">
        <v>-12526.629999999972</v>
      </c>
      <c r="AF17">
        <v>32717.190000000057</v>
      </c>
      <c r="AG17">
        <v>45569.829999999885</v>
      </c>
      <c r="AH17">
        <v>12852.63999999997</v>
      </c>
      <c r="AI17">
        <v>-1597.0300000000002</v>
      </c>
      <c r="AJ17">
        <v>0</v>
      </c>
      <c r="AK17">
        <v>1597.0300000000002</v>
      </c>
      <c r="AL17">
        <v>34314.220000000023</v>
      </c>
      <c r="AM17">
        <v>45569.829999999885</v>
      </c>
      <c r="AN17">
        <v>11255.609999999979</v>
      </c>
      <c r="AO17">
        <v>835</v>
      </c>
    </row>
    <row r="18" spans="1:41" x14ac:dyDescent="0.35">
      <c r="A18">
        <v>2024</v>
      </c>
      <c r="B18">
        <v>7</v>
      </c>
      <c r="C18">
        <v>27</v>
      </c>
      <c r="D18" s="14">
        <v>45478</v>
      </c>
      <c r="E18" t="s">
        <v>44</v>
      </c>
      <c r="F18" t="s">
        <v>42</v>
      </c>
      <c r="G18" t="s">
        <v>46</v>
      </c>
      <c r="H18">
        <v>44241.29</v>
      </c>
      <c r="I18">
        <v>44241.29</v>
      </c>
      <c r="J18">
        <v>0</v>
      </c>
      <c r="K18">
        <v>232.6099999999999</v>
      </c>
      <c r="L18">
        <v>232.6099999999999</v>
      </c>
      <c r="M18">
        <v>0</v>
      </c>
      <c r="N18">
        <v>848.49000000000035</v>
      </c>
      <c r="O18">
        <v>848.49000000000035</v>
      </c>
      <c r="P18">
        <v>0</v>
      </c>
      <c r="Q18">
        <v>-14832.720000000001</v>
      </c>
      <c r="R18">
        <v>-14575.720000000001</v>
      </c>
      <c r="S18">
        <v>257</v>
      </c>
      <c r="T18">
        <v>-1</v>
      </c>
      <c r="U18">
        <v>-1</v>
      </c>
      <c r="V18">
        <v>0</v>
      </c>
      <c r="W18">
        <v>0</v>
      </c>
      <c r="X18">
        <v>0</v>
      </c>
      <c r="Y18">
        <v>0</v>
      </c>
      <c r="Z18">
        <v>30488.670000000006</v>
      </c>
      <c r="AA18">
        <v>30745.670000000002</v>
      </c>
      <c r="AB18">
        <v>257</v>
      </c>
      <c r="AC18">
        <v>9742.0599999999977</v>
      </c>
      <c r="AD18">
        <v>4538.3200000000052</v>
      </c>
      <c r="AE18">
        <v>-5203.7400000000043</v>
      </c>
      <c r="AF18">
        <v>20746.610000000011</v>
      </c>
      <c r="AG18">
        <v>26207.350000000013</v>
      </c>
      <c r="AH18">
        <v>5460.7400000000052</v>
      </c>
      <c r="AI18">
        <v>-1283.1599999999996</v>
      </c>
      <c r="AJ18">
        <v>0</v>
      </c>
      <c r="AK18">
        <v>1283.1599999999996</v>
      </c>
      <c r="AL18">
        <v>22029.770000000011</v>
      </c>
      <c r="AM18">
        <v>26207.350000000013</v>
      </c>
      <c r="AN18">
        <v>4177.579999999999</v>
      </c>
      <c r="AO18">
        <v>509</v>
      </c>
    </row>
    <row r="19" spans="1:41" x14ac:dyDescent="0.35">
      <c r="A19">
        <v>2024</v>
      </c>
      <c r="B19">
        <v>7</v>
      </c>
      <c r="C19">
        <v>27</v>
      </c>
      <c r="D19" s="14">
        <v>45479</v>
      </c>
      <c r="E19" t="s">
        <v>44</v>
      </c>
      <c r="F19" t="s">
        <v>42</v>
      </c>
      <c r="G19" t="s">
        <v>46</v>
      </c>
      <c r="H19">
        <v>37272.25</v>
      </c>
      <c r="I19">
        <v>37272.25</v>
      </c>
      <c r="J19">
        <v>0</v>
      </c>
      <c r="K19">
        <v>168.00999999999968</v>
      </c>
      <c r="L19">
        <v>168.00999999999968</v>
      </c>
      <c r="M19">
        <v>0</v>
      </c>
      <c r="N19">
        <v>890.4400000000004</v>
      </c>
      <c r="O19">
        <v>890.4400000000004</v>
      </c>
      <c r="P19">
        <v>0</v>
      </c>
      <c r="Q19">
        <v>-12512.9</v>
      </c>
      <c r="R19">
        <v>-12038.9</v>
      </c>
      <c r="S19">
        <v>474</v>
      </c>
      <c r="T19">
        <v>0</v>
      </c>
      <c r="U19">
        <v>0</v>
      </c>
      <c r="V19">
        <v>0</v>
      </c>
      <c r="W19">
        <v>-5</v>
      </c>
      <c r="X19">
        <v>-5</v>
      </c>
      <c r="Y19">
        <v>0</v>
      </c>
      <c r="Z19">
        <v>25812.799999999996</v>
      </c>
      <c r="AA19">
        <v>26286.799999999996</v>
      </c>
      <c r="AB19">
        <v>474</v>
      </c>
      <c r="AC19">
        <v>8235.1600000000126</v>
      </c>
      <c r="AD19">
        <v>3768.4300000000067</v>
      </c>
      <c r="AE19">
        <v>-4466.7300000000059</v>
      </c>
      <c r="AF19">
        <v>17577.640000000021</v>
      </c>
      <c r="AG19">
        <v>22518.370000000021</v>
      </c>
      <c r="AH19">
        <v>4940.7300000000059</v>
      </c>
      <c r="AI19">
        <v>-1208.3299999999986</v>
      </c>
      <c r="AJ19">
        <v>0</v>
      </c>
      <c r="AK19">
        <v>1208.3299999999986</v>
      </c>
      <c r="AL19">
        <v>18785.970000000016</v>
      </c>
      <c r="AM19">
        <v>22518.370000000021</v>
      </c>
      <c r="AN19">
        <v>3732.4000000000028</v>
      </c>
      <c r="AO19">
        <v>429</v>
      </c>
    </row>
    <row r="20" spans="1:41" x14ac:dyDescent="0.35">
      <c r="A20">
        <v>2024</v>
      </c>
      <c r="B20">
        <v>7</v>
      </c>
      <c r="C20">
        <v>27</v>
      </c>
      <c r="D20" s="14">
        <v>45474</v>
      </c>
      <c r="E20" t="s">
        <v>44</v>
      </c>
      <c r="F20" t="s">
        <v>47</v>
      </c>
      <c r="G20" t="s">
        <v>48</v>
      </c>
      <c r="H20">
        <v>9919.2999999999993</v>
      </c>
      <c r="I20">
        <v>9919.2999999999993</v>
      </c>
      <c r="J20">
        <v>0</v>
      </c>
      <c r="K20">
        <v>104.96000000000001</v>
      </c>
      <c r="L20">
        <v>104.96000000000001</v>
      </c>
      <c r="M20">
        <v>0</v>
      </c>
      <c r="N20">
        <v>18.990000000000002</v>
      </c>
      <c r="O20">
        <v>18.990000000000002</v>
      </c>
      <c r="P20">
        <v>0</v>
      </c>
      <c r="Q20">
        <v>-3336.2500000000014</v>
      </c>
      <c r="R20">
        <v>-3336.2500000000014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6707.0000000000009</v>
      </c>
      <c r="AA20">
        <v>6707.0000000000009</v>
      </c>
      <c r="AB20">
        <v>0</v>
      </c>
      <c r="AC20">
        <v>4.42</v>
      </c>
      <c r="AD20">
        <v>4.42</v>
      </c>
      <c r="AE20">
        <v>0</v>
      </c>
      <c r="AF20">
        <v>6702.5800000000008</v>
      </c>
      <c r="AG20">
        <v>6702.5800000000008</v>
      </c>
      <c r="AH20">
        <v>0</v>
      </c>
      <c r="AI20">
        <v>1526.3999999999992</v>
      </c>
      <c r="AJ20">
        <v>0</v>
      </c>
      <c r="AK20">
        <v>-1526.3999999999992</v>
      </c>
      <c r="AL20">
        <v>5176.1800000000021</v>
      </c>
      <c r="AM20">
        <v>6702.5800000000008</v>
      </c>
      <c r="AN20">
        <v>1526.399999999999</v>
      </c>
      <c r="AO20">
        <v>150</v>
      </c>
    </row>
    <row r="21" spans="1:41" x14ac:dyDescent="0.35">
      <c r="A21">
        <v>2024</v>
      </c>
      <c r="B21">
        <v>7</v>
      </c>
      <c r="C21">
        <v>27</v>
      </c>
      <c r="D21" s="14">
        <v>45475</v>
      </c>
      <c r="E21" t="s">
        <v>44</v>
      </c>
      <c r="F21" t="s">
        <v>47</v>
      </c>
      <c r="G21" t="s">
        <v>48</v>
      </c>
      <c r="H21">
        <v>82</v>
      </c>
      <c r="I21">
        <v>82</v>
      </c>
      <c r="J21">
        <v>0</v>
      </c>
      <c r="K21">
        <v>10.46</v>
      </c>
      <c r="L21">
        <v>10.46</v>
      </c>
      <c r="M21">
        <v>0</v>
      </c>
      <c r="N21">
        <v>0</v>
      </c>
      <c r="O21">
        <v>0</v>
      </c>
      <c r="P21">
        <v>0</v>
      </c>
      <c r="Q21">
        <v>-42</v>
      </c>
      <c r="R21">
        <v>-42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50.46</v>
      </c>
      <c r="AA21">
        <v>50.46</v>
      </c>
      <c r="AB21">
        <v>0</v>
      </c>
      <c r="AC21">
        <v>4.42</v>
      </c>
      <c r="AE21">
        <v>-4.42</v>
      </c>
      <c r="AF21">
        <v>46.04</v>
      </c>
      <c r="AG21">
        <v>50.46</v>
      </c>
      <c r="AH21">
        <v>4.4200000000000017</v>
      </c>
      <c r="AI21">
        <v>0</v>
      </c>
      <c r="AJ21">
        <v>0</v>
      </c>
      <c r="AK21">
        <v>0</v>
      </c>
      <c r="AL21">
        <v>46.04</v>
      </c>
      <c r="AM21">
        <v>50.46</v>
      </c>
      <c r="AN21">
        <v>4.4200000000000017</v>
      </c>
      <c r="AO21">
        <v>1</v>
      </c>
    </row>
    <row r="22" spans="1:41" x14ac:dyDescent="0.35">
      <c r="A22">
        <v>2024</v>
      </c>
      <c r="B22">
        <v>7</v>
      </c>
      <c r="C22">
        <v>27</v>
      </c>
      <c r="D22" s="14">
        <v>45476</v>
      </c>
      <c r="E22" t="s">
        <v>44</v>
      </c>
      <c r="F22" t="s">
        <v>47</v>
      </c>
      <c r="G22" t="s">
        <v>48</v>
      </c>
      <c r="H22">
        <v>3838.8300000000099</v>
      </c>
      <c r="I22">
        <v>3838.8300000000099</v>
      </c>
      <c r="J22">
        <v>0</v>
      </c>
      <c r="K22">
        <v>337.11999999999995</v>
      </c>
      <c r="L22">
        <v>337.11999999999995</v>
      </c>
      <c r="M22">
        <v>0</v>
      </c>
      <c r="N22">
        <v>0</v>
      </c>
      <c r="O22">
        <v>0</v>
      </c>
      <c r="P22">
        <v>0</v>
      </c>
      <c r="Q22">
        <v>-525.65000000000009</v>
      </c>
      <c r="R22">
        <v>-525.65000000000009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3650.3000000000093</v>
      </c>
      <c r="AA22">
        <v>3650.3000000000093</v>
      </c>
      <c r="AB22">
        <v>0</v>
      </c>
      <c r="AC22">
        <v>34.840000000000003</v>
      </c>
      <c r="AD22">
        <v>34.840000000000003</v>
      </c>
      <c r="AE22">
        <v>0</v>
      </c>
      <c r="AF22">
        <v>3615.4600000000091</v>
      </c>
      <c r="AG22">
        <v>3615.4600000000091</v>
      </c>
      <c r="AH22">
        <v>0</v>
      </c>
      <c r="AI22">
        <v>1094.5200000000009</v>
      </c>
      <c r="AJ22">
        <v>0</v>
      </c>
      <c r="AK22">
        <v>-1094.5200000000009</v>
      </c>
      <c r="AL22">
        <v>2520.9399999999996</v>
      </c>
      <c r="AM22">
        <v>3615.4600000000091</v>
      </c>
      <c r="AN22">
        <v>1094.5200000000009</v>
      </c>
      <c r="AO22">
        <v>130</v>
      </c>
    </row>
    <row r="23" spans="1:41" x14ac:dyDescent="0.35">
      <c r="A23">
        <v>2024</v>
      </c>
      <c r="B23">
        <v>7</v>
      </c>
      <c r="C23">
        <v>27</v>
      </c>
      <c r="D23" s="14">
        <v>45477</v>
      </c>
      <c r="E23" t="s">
        <v>44</v>
      </c>
      <c r="F23" t="s">
        <v>47</v>
      </c>
      <c r="G23" t="s">
        <v>48</v>
      </c>
      <c r="H23">
        <v>5777.7500000000109</v>
      </c>
      <c r="I23">
        <v>5777.7500000000109</v>
      </c>
      <c r="J23">
        <v>0</v>
      </c>
      <c r="K23">
        <v>720.00000000000011</v>
      </c>
      <c r="L23">
        <v>535.79999999999995</v>
      </c>
      <c r="M23">
        <v>-184.2</v>
      </c>
      <c r="N23">
        <v>15.99</v>
      </c>
      <c r="O23">
        <v>15.99</v>
      </c>
      <c r="P23">
        <v>0</v>
      </c>
      <c r="Q23">
        <v>-934.89999999999986</v>
      </c>
      <c r="R23">
        <v>-934.89999999999986</v>
      </c>
      <c r="S23">
        <v>0</v>
      </c>
      <c r="T23">
        <v>-28.2</v>
      </c>
      <c r="U23">
        <v>-28.2</v>
      </c>
      <c r="V23">
        <v>0</v>
      </c>
      <c r="W23">
        <v>0</v>
      </c>
      <c r="X23">
        <v>0</v>
      </c>
      <c r="Y23">
        <v>0</v>
      </c>
      <c r="Z23">
        <v>5550.6400000000076</v>
      </c>
      <c r="AA23">
        <v>5366.4400000000096</v>
      </c>
      <c r="AB23">
        <v>-184.2</v>
      </c>
      <c r="AC23">
        <v>36.510000000000005</v>
      </c>
      <c r="AD23">
        <v>1.67</v>
      </c>
      <c r="AE23">
        <v>-34.840000000000003</v>
      </c>
      <c r="AF23">
        <v>5514.1300000000074</v>
      </c>
      <c r="AG23">
        <v>5364.7700000000095</v>
      </c>
      <c r="AH23">
        <v>-149.35999999999999</v>
      </c>
      <c r="AI23">
        <v>1818.1699999999967</v>
      </c>
      <c r="AJ23">
        <v>0</v>
      </c>
      <c r="AK23">
        <v>-1818.1699999999967</v>
      </c>
      <c r="AL23">
        <v>3695.9599999999959</v>
      </c>
      <c r="AM23">
        <v>5364.7700000000095</v>
      </c>
      <c r="AN23">
        <v>1668.8099999999968</v>
      </c>
      <c r="AO23">
        <v>179</v>
      </c>
    </row>
    <row r="24" spans="1:41" x14ac:dyDescent="0.35">
      <c r="A24">
        <v>2024</v>
      </c>
      <c r="B24">
        <v>7</v>
      </c>
      <c r="C24">
        <v>27</v>
      </c>
      <c r="D24" s="14">
        <v>45478</v>
      </c>
      <c r="E24" t="s">
        <v>44</v>
      </c>
      <c r="F24" t="s">
        <v>47</v>
      </c>
      <c r="G24" t="s">
        <v>48</v>
      </c>
      <c r="H24">
        <v>21488.529999999948</v>
      </c>
      <c r="I24">
        <v>21488.529999999948</v>
      </c>
      <c r="J24">
        <v>0</v>
      </c>
      <c r="K24">
        <v>724.22000000000014</v>
      </c>
      <c r="L24">
        <v>724.22000000000014</v>
      </c>
      <c r="M24">
        <v>0</v>
      </c>
      <c r="N24">
        <v>85.95</v>
      </c>
      <c r="O24">
        <v>85.95</v>
      </c>
      <c r="P24">
        <v>0</v>
      </c>
      <c r="Q24">
        <v>-3906.350000000004</v>
      </c>
      <c r="R24">
        <v>-3906.350000000004</v>
      </c>
      <c r="S24">
        <v>0</v>
      </c>
      <c r="T24">
        <v>-9.6300000000000008</v>
      </c>
      <c r="U24">
        <v>-9.6300000000000008</v>
      </c>
      <c r="V24">
        <v>0</v>
      </c>
      <c r="W24">
        <v>0</v>
      </c>
      <c r="X24">
        <v>0</v>
      </c>
      <c r="Y24">
        <v>0</v>
      </c>
      <c r="Z24">
        <v>18382.719999999968</v>
      </c>
      <c r="AA24">
        <v>18382.719999999968</v>
      </c>
      <c r="AB24">
        <v>0</v>
      </c>
      <c r="AC24">
        <v>20.5</v>
      </c>
      <c r="AD24">
        <v>20.5</v>
      </c>
      <c r="AE24">
        <v>0</v>
      </c>
      <c r="AF24">
        <v>18362.219999999968</v>
      </c>
      <c r="AG24">
        <v>18362.219999999968</v>
      </c>
      <c r="AH24">
        <v>0</v>
      </c>
      <c r="AI24">
        <v>5337.2100000000028</v>
      </c>
      <c r="AJ24">
        <v>0</v>
      </c>
      <c r="AK24">
        <v>-5337.2100000000028</v>
      </c>
      <c r="AL24">
        <v>13025.009999999995</v>
      </c>
      <c r="AM24">
        <v>18362.219999999968</v>
      </c>
      <c r="AN24">
        <v>5337.2100000000037</v>
      </c>
      <c r="AO24">
        <v>460</v>
      </c>
    </row>
    <row r="25" spans="1:41" x14ac:dyDescent="0.35">
      <c r="A25">
        <v>2024</v>
      </c>
      <c r="B25">
        <v>7</v>
      </c>
      <c r="C25">
        <v>27</v>
      </c>
      <c r="D25" s="14">
        <v>45479</v>
      </c>
      <c r="E25" t="s">
        <v>44</v>
      </c>
      <c r="F25" t="s">
        <v>47</v>
      </c>
      <c r="G25" t="s">
        <v>48</v>
      </c>
      <c r="H25">
        <v>12816.100000000004</v>
      </c>
      <c r="I25">
        <v>12816.100000000004</v>
      </c>
      <c r="J25">
        <v>0</v>
      </c>
      <c r="K25">
        <v>392.39999999999992</v>
      </c>
      <c r="L25">
        <v>361.69999999999993</v>
      </c>
      <c r="M25">
        <v>-30.7</v>
      </c>
      <c r="N25">
        <v>92.94</v>
      </c>
      <c r="O25">
        <v>92.94</v>
      </c>
      <c r="P25">
        <v>0</v>
      </c>
      <c r="Q25">
        <v>-4488.8100000000113</v>
      </c>
      <c r="R25">
        <v>-4488.8100000000113</v>
      </c>
      <c r="S25">
        <v>0</v>
      </c>
      <c r="T25">
        <v>-4.4000000000000004</v>
      </c>
      <c r="U25">
        <v>-4.4000000000000004</v>
      </c>
      <c r="V25">
        <v>0</v>
      </c>
      <c r="W25">
        <v>0</v>
      </c>
      <c r="X25">
        <v>0</v>
      </c>
      <c r="Y25">
        <v>0</v>
      </c>
      <c r="Z25">
        <v>8808.23</v>
      </c>
      <c r="AA25">
        <v>8777.5299999999988</v>
      </c>
      <c r="AB25">
        <v>-30.700000000000003</v>
      </c>
      <c r="AC25">
        <v>20.5</v>
      </c>
      <c r="AE25">
        <v>-20.5</v>
      </c>
      <c r="AF25">
        <v>8787.74</v>
      </c>
      <c r="AG25">
        <v>8777.5399999999991</v>
      </c>
      <c r="AH25">
        <v>-10.200000000000003</v>
      </c>
      <c r="AI25">
        <v>2128.8400000000015</v>
      </c>
      <c r="AJ25">
        <v>0</v>
      </c>
      <c r="AK25">
        <v>-2128.8400000000015</v>
      </c>
      <c r="AL25">
        <v>6658.9000000000078</v>
      </c>
      <c r="AM25">
        <v>8777.5399999999991</v>
      </c>
      <c r="AN25">
        <v>2118.6400000000021</v>
      </c>
      <c r="AO25">
        <v>262</v>
      </c>
    </row>
    <row r="26" spans="1:41" x14ac:dyDescent="0.35">
      <c r="A26">
        <v>2024</v>
      </c>
      <c r="B26">
        <v>7</v>
      </c>
      <c r="C26">
        <v>27</v>
      </c>
      <c r="D26" s="14">
        <v>45474</v>
      </c>
      <c r="E26" t="s">
        <v>44</v>
      </c>
      <c r="F26" t="s">
        <v>47</v>
      </c>
      <c r="G26" t="s">
        <v>49</v>
      </c>
      <c r="H26">
        <v>13308</v>
      </c>
      <c r="I26">
        <v>13308</v>
      </c>
      <c r="J26">
        <v>0</v>
      </c>
      <c r="K26">
        <v>148.35</v>
      </c>
      <c r="L26">
        <v>148.35</v>
      </c>
      <c r="M26">
        <v>0</v>
      </c>
      <c r="N26">
        <v>152.91</v>
      </c>
      <c r="O26">
        <v>152.91</v>
      </c>
      <c r="P26">
        <v>0</v>
      </c>
      <c r="Q26">
        <v>-4750.699999999998</v>
      </c>
      <c r="R26">
        <v>-4750.699999999998</v>
      </c>
      <c r="S26">
        <v>0</v>
      </c>
      <c r="T26">
        <v>0</v>
      </c>
      <c r="U26">
        <v>0</v>
      </c>
      <c r="V26">
        <v>0</v>
      </c>
      <c r="W26">
        <v>-10</v>
      </c>
      <c r="X26">
        <v>-10</v>
      </c>
      <c r="Y26">
        <v>0</v>
      </c>
      <c r="Z26">
        <v>8848.5599999999904</v>
      </c>
      <c r="AA26">
        <v>8848.5599999999904</v>
      </c>
      <c r="AB26">
        <v>0</v>
      </c>
      <c r="AC26">
        <v>402.62000000000006</v>
      </c>
      <c r="AD26">
        <v>372.62000000000006</v>
      </c>
      <c r="AE26">
        <v>-30</v>
      </c>
      <c r="AF26">
        <v>8445.9399999999914</v>
      </c>
      <c r="AG26">
        <v>8475.9399999999914</v>
      </c>
      <c r="AH26">
        <v>29.999999999999993</v>
      </c>
      <c r="AI26">
        <v>2262.2599999999989</v>
      </c>
      <c r="AJ26">
        <v>0</v>
      </c>
      <c r="AK26">
        <v>-2262.2599999999989</v>
      </c>
      <c r="AL26">
        <v>6183.6800000000039</v>
      </c>
      <c r="AM26">
        <v>8475.9399999999914</v>
      </c>
      <c r="AN26">
        <v>2292.2599999999984</v>
      </c>
      <c r="AO26">
        <v>183</v>
      </c>
    </row>
    <row r="27" spans="1:41" x14ac:dyDescent="0.35">
      <c r="A27">
        <v>2024</v>
      </c>
      <c r="B27">
        <v>7</v>
      </c>
      <c r="C27">
        <v>27</v>
      </c>
      <c r="D27" s="14">
        <v>45475</v>
      </c>
      <c r="E27" t="s">
        <v>44</v>
      </c>
      <c r="F27" t="s">
        <v>47</v>
      </c>
      <c r="G27" t="s">
        <v>49</v>
      </c>
      <c r="H27">
        <v>2238</v>
      </c>
      <c r="I27">
        <v>2238</v>
      </c>
      <c r="J27">
        <v>0</v>
      </c>
      <c r="K27">
        <v>83.36</v>
      </c>
      <c r="L27">
        <v>83.36</v>
      </c>
      <c r="M27">
        <v>0</v>
      </c>
      <c r="N27">
        <v>143.91</v>
      </c>
      <c r="O27">
        <v>143.91</v>
      </c>
      <c r="P27">
        <v>0</v>
      </c>
      <c r="Q27">
        <v>-1001.3</v>
      </c>
      <c r="R27">
        <v>-979.3</v>
      </c>
      <c r="S27">
        <v>22</v>
      </c>
      <c r="T27">
        <v>-15</v>
      </c>
      <c r="U27">
        <v>-15</v>
      </c>
      <c r="V27">
        <v>0</v>
      </c>
      <c r="W27">
        <v>-15</v>
      </c>
      <c r="X27">
        <v>-15</v>
      </c>
      <c r="Y27">
        <v>0</v>
      </c>
      <c r="Z27">
        <v>1433.97</v>
      </c>
      <c r="AA27">
        <v>1455.97</v>
      </c>
      <c r="AB27">
        <v>21.999999999999993</v>
      </c>
      <c r="AC27">
        <v>492.67</v>
      </c>
      <c r="AD27">
        <v>120.05</v>
      </c>
      <c r="AE27">
        <v>-372.62</v>
      </c>
      <c r="AF27">
        <v>941.3</v>
      </c>
      <c r="AG27">
        <v>1335.9200000000003</v>
      </c>
      <c r="AH27">
        <v>394.62</v>
      </c>
      <c r="AI27">
        <v>-64.819999999999993</v>
      </c>
      <c r="AJ27">
        <v>0</v>
      </c>
      <c r="AK27">
        <v>64.819999999999993</v>
      </c>
      <c r="AL27">
        <v>1006.1199999999999</v>
      </c>
      <c r="AM27">
        <v>1335.9200000000003</v>
      </c>
      <c r="AN27">
        <v>329.8</v>
      </c>
      <c r="AO27">
        <v>24</v>
      </c>
    </row>
    <row r="28" spans="1:41" x14ac:dyDescent="0.35">
      <c r="A28">
        <v>2024</v>
      </c>
      <c r="B28">
        <v>7</v>
      </c>
      <c r="C28">
        <v>27</v>
      </c>
      <c r="D28" s="14">
        <v>45476</v>
      </c>
      <c r="E28" t="s">
        <v>44</v>
      </c>
      <c r="F28" t="s">
        <v>47</v>
      </c>
      <c r="G28" t="s">
        <v>49</v>
      </c>
      <c r="H28">
        <v>6067.05</v>
      </c>
      <c r="I28">
        <v>6067.05</v>
      </c>
      <c r="J28">
        <v>0</v>
      </c>
      <c r="K28">
        <v>167.01</v>
      </c>
      <c r="L28">
        <v>167.01</v>
      </c>
      <c r="M28">
        <v>0</v>
      </c>
      <c r="N28">
        <v>99.929999999999993</v>
      </c>
      <c r="O28">
        <v>99.929999999999993</v>
      </c>
      <c r="P28">
        <v>0</v>
      </c>
      <c r="Q28">
        <v>-2462.8500000000004</v>
      </c>
      <c r="R28">
        <v>-2437.8500000000004</v>
      </c>
      <c r="S28">
        <v>25</v>
      </c>
      <c r="T28">
        <v>-15</v>
      </c>
      <c r="U28">
        <v>-15</v>
      </c>
      <c r="V28">
        <v>0</v>
      </c>
      <c r="W28">
        <v>-15</v>
      </c>
      <c r="X28">
        <v>-15</v>
      </c>
      <c r="Y28">
        <v>0</v>
      </c>
      <c r="Z28">
        <v>3841.139999999999</v>
      </c>
      <c r="AA28">
        <v>3866.139999999999</v>
      </c>
      <c r="AB28">
        <v>25</v>
      </c>
      <c r="AC28">
        <v>733.43</v>
      </c>
      <c r="AD28">
        <v>613.38</v>
      </c>
      <c r="AE28">
        <v>-120.05</v>
      </c>
      <c r="AF28">
        <v>3107.7099999999996</v>
      </c>
      <c r="AG28">
        <v>3252.7599999999993</v>
      </c>
      <c r="AH28">
        <v>145.05000000000001</v>
      </c>
      <c r="AI28">
        <v>-18.350000000000026</v>
      </c>
      <c r="AJ28">
        <v>0</v>
      </c>
      <c r="AK28">
        <v>18.350000000000026</v>
      </c>
      <c r="AL28">
        <v>3126.0600000000009</v>
      </c>
      <c r="AM28">
        <v>3252.7599999999993</v>
      </c>
      <c r="AN28">
        <v>126.70000000000002</v>
      </c>
      <c r="AO28">
        <v>66</v>
      </c>
    </row>
    <row r="29" spans="1:41" x14ac:dyDescent="0.35">
      <c r="A29">
        <v>2024</v>
      </c>
      <c r="B29">
        <v>7</v>
      </c>
      <c r="C29">
        <v>27</v>
      </c>
      <c r="D29" s="14">
        <v>45477</v>
      </c>
      <c r="E29" t="s">
        <v>44</v>
      </c>
      <c r="F29" t="s">
        <v>47</v>
      </c>
      <c r="G29" t="s">
        <v>49</v>
      </c>
      <c r="H29">
        <v>10815.850000000002</v>
      </c>
      <c r="I29">
        <v>10815.850000000002</v>
      </c>
      <c r="J29">
        <v>0</v>
      </c>
      <c r="K29">
        <v>393.15999999999985</v>
      </c>
      <c r="L29">
        <v>331.75999999999988</v>
      </c>
      <c r="M29">
        <v>-61.4</v>
      </c>
      <c r="N29">
        <v>169.89000000000001</v>
      </c>
      <c r="O29">
        <v>169.89000000000001</v>
      </c>
      <c r="P29">
        <v>0</v>
      </c>
      <c r="Q29">
        <v>-3992.9199999999992</v>
      </c>
      <c r="R29">
        <v>-3948.9199999999996</v>
      </c>
      <c r="S29">
        <v>44</v>
      </c>
      <c r="T29">
        <v>-15</v>
      </c>
      <c r="U29">
        <v>-15</v>
      </c>
      <c r="V29">
        <v>0</v>
      </c>
      <c r="W29">
        <v>0</v>
      </c>
      <c r="X29">
        <v>0</v>
      </c>
      <c r="Y29">
        <v>0</v>
      </c>
      <c r="Z29">
        <v>7370.9800000000032</v>
      </c>
      <c r="AA29">
        <v>7353.5800000000036</v>
      </c>
      <c r="AB29">
        <v>-17.399999999999999</v>
      </c>
      <c r="AC29">
        <v>1079.5100000000002</v>
      </c>
      <c r="AD29">
        <v>466.12999999999994</v>
      </c>
      <c r="AE29">
        <v>-613.37999999999988</v>
      </c>
      <c r="AF29">
        <v>6291.4700000000012</v>
      </c>
      <c r="AG29">
        <v>6887.4500000000025</v>
      </c>
      <c r="AH29">
        <v>595.9799999999999</v>
      </c>
      <c r="AI29">
        <v>842.11999999999966</v>
      </c>
      <c r="AJ29">
        <v>0</v>
      </c>
      <c r="AK29">
        <v>-842.11999999999966</v>
      </c>
      <c r="AL29">
        <v>5449.3499999999985</v>
      </c>
      <c r="AM29">
        <v>6887.4500000000025</v>
      </c>
      <c r="AN29">
        <v>1438.1000000000001</v>
      </c>
      <c r="AO29">
        <v>155</v>
      </c>
    </row>
    <row r="30" spans="1:41" x14ac:dyDescent="0.35">
      <c r="A30">
        <v>2024</v>
      </c>
      <c r="B30">
        <v>7</v>
      </c>
      <c r="C30">
        <v>27</v>
      </c>
      <c r="D30" s="14">
        <v>45478</v>
      </c>
      <c r="E30" t="s">
        <v>44</v>
      </c>
      <c r="F30" t="s">
        <v>47</v>
      </c>
      <c r="G30" t="s">
        <v>49</v>
      </c>
      <c r="H30">
        <v>9765.4500000000044</v>
      </c>
      <c r="I30">
        <v>9765.4500000000044</v>
      </c>
      <c r="J30">
        <v>0</v>
      </c>
      <c r="K30">
        <v>176.38999999999996</v>
      </c>
      <c r="L30">
        <v>176.38999999999996</v>
      </c>
      <c r="M30">
        <v>0</v>
      </c>
      <c r="N30">
        <v>168.90000000000003</v>
      </c>
      <c r="O30">
        <v>168.90000000000003</v>
      </c>
      <c r="P30">
        <v>0</v>
      </c>
      <c r="Q30">
        <v>-3690.5499999999975</v>
      </c>
      <c r="R30">
        <v>-3685.5499999999975</v>
      </c>
      <c r="S30">
        <v>5</v>
      </c>
      <c r="T30">
        <v>-5</v>
      </c>
      <c r="U30">
        <v>-5</v>
      </c>
      <c r="V30">
        <v>0</v>
      </c>
      <c r="W30">
        <v>0</v>
      </c>
      <c r="X30">
        <v>0</v>
      </c>
      <c r="Y30">
        <v>0</v>
      </c>
      <c r="Z30">
        <v>6415.1900000000087</v>
      </c>
      <c r="AA30">
        <v>6420.1900000000087</v>
      </c>
      <c r="AB30">
        <v>5</v>
      </c>
      <c r="AC30">
        <v>611.28</v>
      </c>
      <c r="AD30">
        <v>145.15000000000003</v>
      </c>
      <c r="AE30">
        <v>-466.13</v>
      </c>
      <c r="AF30">
        <v>5803.910000000008</v>
      </c>
      <c r="AG30">
        <v>6275.0400000000081</v>
      </c>
      <c r="AH30">
        <v>471.13</v>
      </c>
      <c r="AI30">
        <v>1270.6099999999999</v>
      </c>
      <c r="AJ30">
        <v>0</v>
      </c>
      <c r="AK30">
        <v>-1270.6099999999999</v>
      </c>
      <c r="AL30">
        <v>4533.2999999999993</v>
      </c>
      <c r="AM30">
        <v>6275.0400000000081</v>
      </c>
      <c r="AN30">
        <v>1741.7399999999998</v>
      </c>
      <c r="AO30">
        <v>138</v>
      </c>
    </row>
    <row r="31" spans="1:41" x14ac:dyDescent="0.35">
      <c r="A31">
        <v>2024</v>
      </c>
      <c r="B31">
        <v>7</v>
      </c>
      <c r="C31">
        <v>27</v>
      </c>
      <c r="D31" s="14">
        <v>45479</v>
      </c>
      <c r="E31" t="s">
        <v>44</v>
      </c>
      <c r="F31" t="s">
        <v>47</v>
      </c>
      <c r="G31" t="s">
        <v>49</v>
      </c>
      <c r="H31">
        <v>10358.9</v>
      </c>
      <c r="I31">
        <v>10358.9</v>
      </c>
      <c r="J31">
        <v>0</v>
      </c>
      <c r="K31">
        <v>184.12000000000003</v>
      </c>
      <c r="L31">
        <v>184.12000000000003</v>
      </c>
      <c r="M31">
        <v>0</v>
      </c>
      <c r="N31">
        <v>117.92</v>
      </c>
      <c r="O31">
        <v>117.92</v>
      </c>
      <c r="P31">
        <v>0</v>
      </c>
      <c r="Q31">
        <v>-3655.5499999999979</v>
      </c>
      <c r="R31">
        <v>-3645.5499999999979</v>
      </c>
      <c r="S31">
        <v>10</v>
      </c>
      <c r="T31">
        <v>-5.5</v>
      </c>
      <c r="U31">
        <v>-5.5</v>
      </c>
      <c r="V31">
        <v>0</v>
      </c>
      <c r="W31">
        <v>-15.99</v>
      </c>
      <c r="X31">
        <v>-15.99</v>
      </c>
      <c r="Y31">
        <v>0</v>
      </c>
      <c r="Z31">
        <v>6983.9</v>
      </c>
      <c r="AA31">
        <v>6993.9</v>
      </c>
      <c r="AB31">
        <v>10</v>
      </c>
      <c r="AC31">
        <v>260.24</v>
      </c>
      <c r="AD31">
        <v>115.09</v>
      </c>
      <c r="AE31">
        <v>-145.15</v>
      </c>
      <c r="AF31">
        <v>6723.6599999999989</v>
      </c>
      <c r="AG31">
        <v>6878.8099999999995</v>
      </c>
      <c r="AH31">
        <v>155.14999999999998</v>
      </c>
      <c r="AI31">
        <v>1772.46</v>
      </c>
      <c r="AJ31">
        <v>0</v>
      </c>
      <c r="AK31">
        <v>-1772.46</v>
      </c>
      <c r="AL31">
        <v>4951.2000000000007</v>
      </c>
      <c r="AM31">
        <v>6878.8099999999995</v>
      </c>
      <c r="AN31">
        <v>1927.6100000000001</v>
      </c>
      <c r="AO31">
        <v>168</v>
      </c>
    </row>
    <row r="32" spans="1:41" x14ac:dyDescent="0.35">
      <c r="A32">
        <v>2024</v>
      </c>
      <c r="B32">
        <v>7</v>
      </c>
      <c r="C32">
        <v>27</v>
      </c>
      <c r="D32" s="14">
        <v>45474</v>
      </c>
      <c r="E32" t="s">
        <v>44</v>
      </c>
      <c r="F32" t="s">
        <v>47</v>
      </c>
      <c r="G32" t="s">
        <v>50</v>
      </c>
      <c r="H32">
        <v>23334</v>
      </c>
      <c r="I32">
        <v>23334</v>
      </c>
      <c r="J32">
        <v>0</v>
      </c>
      <c r="K32">
        <v>308.72999999999979</v>
      </c>
      <c r="L32">
        <v>308.72999999999979</v>
      </c>
      <c r="M32">
        <v>0</v>
      </c>
      <c r="N32">
        <v>796.51000000000033</v>
      </c>
      <c r="O32">
        <v>796.51000000000033</v>
      </c>
      <c r="P32">
        <v>0</v>
      </c>
      <c r="Q32">
        <v>-6743.0000000000009</v>
      </c>
      <c r="R32">
        <v>-6225.7500000000009</v>
      </c>
      <c r="S32">
        <v>517.25</v>
      </c>
      <c r="T32">
        <v>-20.46</v>
      </c>
      <c r="U32">
        <v>-20.46</v>
      </c>
      <c r="V32">
        <v>0</v>
      </c>
      <c r="W32">
        <v>-10</v>
      </c>
      <c r="X32">
        <v>-10</v>
      </c>
      <c r="Y32">
        <v>0</v>
      </c>
      <c r="Z32">
        <v>17665.779999999992</v>
      </c>
      <c r="AA32">
        <v>18183.029999999992</v>
      </c>
      <c r="AB32">
        <v>517.25</v>
      </c>
      <c r="AC32">
        <v>4416.0900000000038</v>
      </c>
      <c r="AD32">
        <v>3402.180000000003</v>
      </c>
      <c r="AE32">
        <v>-1013.91</v>
      </c>
      <c r="AF32">
        <v>13249.689999999995</v>
      </c>
      <c r="AG32">
        <v>14780.849999999995</v>
      </c>
      <c r="AH32">
        <v>1531.1599999999999</v>
      </c>
      <c r="AI32">
        <v>-1738.5400000000006</v>
      </c>
      <c r="AJ32">
        <v>0</v>
      </c>
      <c r="AK32">
        <v>1738.5400000000006</v>
      </c>
      <c r="AL32">
        <v>14988.229999999996</v>
      </c>
      <c r="AM32">
        <v>14780.849999999995</v>
      </c>
      <c r="AN32">
        <v>-207.38000000000025</v>
      </c>
      <c r="AO32">
        <v>264</v>
      </c>
    </row>
    <row r="33" spans="1:41" x14ac:dyDescent="0.35">
      <c r="A33">
        <v>2024</v>
      </c>
      <c r="B33">
        <v>7</v>
      </c>
      <c r="C33">
        <v>27</v>
      </c>
      <c r="D33" s="14">
        <v>45475</v>
      </c>
      <c r="E33" t="s">
        <v>44</v>
      </c>
      <c r="F33" t="s">
        <v>47</v>
      </c>
      <c r="G33" t="s">
        <v>50</v>
      </c>
      <c r="H33">
        <v>27304</v>
      </c>
      <c r="I33">
        <v>27304</v>
      </c>
      <c r="J33">
        <v>0</v>
      </c>
      <c r="K33">
        <v>367.91999999999973</v>
      </c>
      <c r="L33">
        <v>367.91999999999973</v>
      </c>
      <c r="M33">
        <v>0</v>
      </c>
      <c r="N33">
        <v>859.47000000000037</v>
      </c>
      <c r="O33">
        <v>859.47000000000037</v>
      </c>
      <c r="P33">
        <v>0</v>
      </c>
      <c r="Q33">
        <v>-7205.380000000001</v>
      </c>
      <c r="R33">
        <v>-7064.380000000001</v>
      </c>
      <c r="S33">
        <v>141</v>
      </c>
      <c r="T33">
        <v>-20.46</v>
      </c>
      <c r="U33">
        <v>-20.46</v>
      </c>
      <c r="V33">
        <v>0</v>
      </c>
      <c r="W33">
        <v>-10</v>
      </c>
      <c r="X33">
        <v>-10</v>
      </c>
      <c r="Y33">
        <v>0</v>
      </c>
      <c r="Z33">
        <v>21295.550000000021</v>
      </c>
      <c r="AA33">
        <v>21436.550000000021</v>
      </c>
      <c r="AB33">
        <v>141</v>
      </c>
      <c r="AC33">
        <v>5909.9100000000062</v>
      </c>
      <c r="AD33">
        <v>2578.4800000000014</v>
      </c>
      <c r="AE33">
        <v>-3331.4300000000026</v>
      </c>
      <c r="AF33">
        <v>15385.640000000003</v>
      </c>
      <c r="AG33">
        <v>18858.070000000018</v>
      </c>
      <c r="AH33">
        <v>3472.4300000000021</v>
      </c>
      <c r="AI33">
        <v>-1386.3500000000001</v>
      </c>
      <c r="AJ33">
        <v>0</v>
      </c>
      <c r="AK33">
        <v>1386.3500000000001</v>
      </c>
      <c r="AL33">
        <v>16771.990000000013</v>
      </c>
      <c r="AM33">
        <v>18858.070000000018</v>
      </c>
      <c r="AN33">
        <v>2086.0800000000004</v>
      </c>
      <c r="AO33">
        <v>316</v>
      </c>
    </row>
    <row r="34" spans="1:41" x14ac:dyDescent="0.35">
      <c r="A34">
        <v>2024</v>
      </c>
      <c r="B34">
        <v>7</v>
      </c>
      <c r="C34">
        <v>27</v>
      </c>
      <c r="D34" s="14">
        <v>45476</v>
      </c>
      <c r="E34" t="s">
        <v>44</v>
      </c>
      <c r="F34" t="s">
        <v>47</v>
      </c>
      <c r="G34" t="s">
        <v>50</v>
      </c>
      <c r="H34">
        <v>40882.050000000003</v>
      </c>
      <c r="I34">
        <v>40882.050000000003</v>
      </c>
      <c r="J34">
        <v>0</v>
      </c>
      <c r="K34">
        <v>590.56000000000051</v>
      </c>
      <c r="L34">
        <v>590.56000000000051</v>
      </c>
      <c r="M34">
        <v>0</v>
      </c>
      <c r="N34">
        <v>1177.2600000000004</v>
      </c>
      <c r="O34">
        <v>1123.2900000000004</v>
      </c>
      <c r="P34">
        <v>-53.970000000000006</v>
      </c>
      <c r="Q34">
        <v>-12071.79</v>
      </c>
      <c r="R34">
        <v>-11112.79</v>
      </c>
      <c r="S34">
        <v>959</v>
      </c>
      <c r="T34">
        <v>-25.95</v>
      </c>
      <c r="U34">
        <v>-25.95</v>
      </c>
      <c r="V34">
        <v>0</v>
      </c>
      <c r="W34">
        <v>-45.99</v>
      </c>
      <c r="X34">
        <v>-45.99</v>
      </c>
      <c r="Y34">
        <v>0</v>
      </c>
      <c r="Z34">
        <v>30506.140000000018</v>
      </c>
      <c r="AA34">
        <v>31411.170000000016</v>
      </c>
      <c r="AB34">
        <v>905.03</v>
      </c>
      <c r="AC34">
        <v>8548.3300000000036</v>
      </c>
      <c r="AD34">
        <v>6073.1000000000058</v>
      </c>
      <c r="AE34">
        <v>-2475.2300000000018</v>
      </c>
      <c r="AF34">
        <v>21957.810000000038</v>
      </c>
      <c r="AG34">
        <v>25338.070000000029</v>
      </c>
      <c r="AH34">
        <v>3380.260000000002</v>
      </c>
      <c r="AI34">
        <v>-3184.7000000000025</v>
      </c>
      <c r="AJ34">
        <v>0</v>
      </c>
      <c r="AK34">
        <v>3184.7000000000025</v>
      </c>
      <c r="AL34">
        <v>25142.51000000002</v>
      </c>
      <c r="AM34">
        <v>25338.070000000029</v>
      </c>
      <c r="AN34">
        <v>195.56000000000012</v>
      </c>
      <c r="AO34">
        <v>477</v>
      </c>
    </row>
    <row r="35" spans="1:41" x14ac:dyDescent="0.35">
      <c r="A35">
        <v>2024</v>
      </c>
      <c r="B35">
        <v>7</v>
      </c>
      <c r="C35">
        <v>27</v>
      </c>
      <c r="D35" s="14">
        <v>45477</v>
      </c>
      <c r="E35" t="s">
        <v>44</v>
      </c>
      <c r="F35" t="s">
        <v>47</v>
      </c>
      <c r="G35" t="s">
        <v>50</v>
      </c>
      <c r="H35">
        <v>39349.199999999997</v>
      </c>
      <c r="I35">
        <v>39349.199999999997</v>
      </c>
      <c r="J35">
        <v>0</v>
      </c>
      <c r="K35">
        <v>604.43000000000006</v>
      </c>
      <c r="L35">
        <v>604.43000000000006</v>
      </c>
      <c r="M35">
        <v>0</v>
      </c>
      <c r="N35">
        <v>1438.0900000000006</v>
      </c>
      <c r="O35">
        <v>1438.0900000000006</v>
      </c>
      <c r="P35">
        <v>0</v>
      </c>
      <c r="Q35">
        <v>-11416.66</v>
      </c>
      <c r="R35">
        <v>-11196.66</v>
      </c>
      <c r="S35">
        <v>220</v>
      </c>
      <c r="T35">
        <v>-15.95</v>
      </c>
      <c r="U35">
        <v>-15.95</v>
      </c>
      <c r="V35">
        <v>0</v>
      </c>
      <c r="W35">
        <v>-88.97</v>
      </c>
      <c r="X35">
        <v>-88.97</v>
      </c>
      <c r="Y35">
        <v>0</v>
      </c>
      <c r="Z35">
        <v>29870.140000000018</v>
      </c>
      <c r="AA35">
        <v>30090.140000000021</v>
      </c>
      <c r="AB35">
        <v>220</v>
      </c>
      <c r="AC35">
        <v>8028.2800000000107</v>
      </c>
      <c r="AD35">
        <v>2265.8500000000022</v>
      </c>
      <c r="AE35">
        <v>-5762.4300000000067</v>
      </c>
      <c r="AF35">
        <v>21841.860000000015</v>
      </c>
      <c r="AG35">
        <v>27824.290000000015</v>
      </c>
      <c r="AH35">
        <v>5982.4300000000057</v>
      </c>
      <c r="AI35">
        <v>-1186.6799999999994</v>
      </c>
      <c r="AJ35">
        <v>0</v>
      </c>
      <c r="AK35">
        <v>1186.6799999999994</v>
      </c>
      <c r="AL35">
        <v>23028.54</v>
      </c>
      <c r="AM35">
        <v>27824.290000000015</v>
      </c>
      <c r="AN35">
        <v>4795.7500000000045</v>
      </c>
      <c r="AO35">
        <v>456</v>
      </c>
    </row>
    <row r="36" spans="1:41" x14ac:dyDescent="0.35">
      <c r="A36">
        <v>2024</v>
      </c>
      <c r="B36">
        <v>7</v>
      </c>
      <c r="C36">
        <v>27</v>
      </c>
      <c r="D36" s="14">
        <v>45478</v>
      </c>
      <c r="E36" t="s">
        <v>44</v>
      </c>
      <c r="F36" t="s">
        <v>47</v>
      </c>
      <c r="G36" t="s">
        <v>50</v>
      </c>
      <c r="H36">
        <v>27132.1</v>
      </c>
      <c r="I36">
        <v>27132.1</v>
      </c>
      <c r="J36">
        <v>0</v>
      </c>
      <c r="K36">
        <v>490.94999999999908</v>
      </c>
      <c r="L36">
        <v>490.94999999999908</v>
      </c>
      <c r="M36">
        <v>0</v>
      </c>
      <c r="N36">
        <v>1244.2200000000005</v>
      </c>
      <c r="O36">
        <v>1244.2200000000005</v>
      </c>
      <c r="P36">
        <v>0</v>
      </c>
      <c r="Q36">
        <v>-7674.87</v>
      </c>
      <c r="R36">
        <v>-7392.87</v>
      </c>
      <c r="S36">
        <v>282</v>
      </c>
      <c r="T36">
        <v>-25</v>
      </c>
      <c r="U36">
        <v>-25</v>
      </c>
      <c r="V36">
        <v>0</v>
      </c>
      <c r="W36">
        <v>-74.98</v>
      </c>
      <c r="X36">
        <v>-74.98</v>
      </c>
      <c r="Y36">
        <v>0</v>
      </c>
      <c r="Z36">
        <v>21092.420000000009</v>
      </c>
      <c r="AA36">
        <v>21374.420000000013</v>
      </c>
      <c r="AB36">
        <v>282</v>
      </c>
      <c r="AC36">
        <v>4576.7200000000066</v>
      </c>
      <c r="AD36">
        <v>2287.5400000000022</v>
      </c>
      <c r="AE36">
        <v>-2289.1800000000021</v>
      </c>
      <c r="AF36">
        <v>16515.700000000019</v>
      </c>
      <c r="AG36">
        <v>19086.880000000019</v>
      </c>
      <c r="AH36">
        <v>2571.1800000000021</v>
      </c>
      <c r="AI36">
        <v>-1322.0999999999997</v>
      </c>
      <c r="AJ36">
        <v>0</v>
      </c>
      <c r="AK36">
        <v>1322.0999999999997</v>
      </c>
      <c r="AL36">
        <v>17837.800000000007</v>
      </c>
      <c r="AM36">
        <v>19086.880000000019</v>
      </c>
      <c r="AN36">
        <v>1249.0800000000011</v>
      </c>
      <c r="AO36">
        <v>309</v>
      </c>
    </row>
    <row r="37" spans="1:41" x14ac:dyDescent="0.35">
      <c r="A37">
        <v>2024</v>
      </c>
      <c r="B37">
        <v>7</v>
      </c>
      <c r="C37">
        <v>27</v>
      </c>
      <c r="D37" s="14">
        <v>45479</v>
      </c>
      <c r="E37" t="s">
        <v>44</v>
      </c>
      <c r="F37" t="s">
        <v>47</v>
      </c>
      <c r="G37" t="s">
        <v>50</v>
      </c>
      <c r="H37">
        <v>20647</v>
      </c>
      <c r="I37">
        <v>20647</v>
      </c>
      <c r="J37">
        <v>0</v>
      </c>
      <c r="K37">
        <v>326.70999999999998</v>
      </c>
      <c r="L37">
        <v>326.70999999999998</v>
      </c>
      <c r="M37">
        <v>0</v>
      </c>
      <c r="N37">
        <v>895.4400000000004</v>
      </c>
      <c r="O37">
        <v>876.45000000000039</v>
      </c>
      <c r="P37">
        <v>-18.990000000000002</v>
      </c>
      <c r="Q37">
        <v>-5673.27</v>
      </c>
      <c r="R37">
        <v>-5437.47</v>
      </c>
      <c r="S37">
        <v>235.8</v>
      </c>
      <c r="T37">
        <v>-10</v>
      </c>
      <c r="U37">
        <v>-10</v>
      </c>
      <c r="V37">
        <v>0</v>
      </c>
      <c r="W37">
        <v>-25</v>
      </c>
      <c r="X37">
        <v>-25</v>
      </c>
      <c r="Y37">
        <v>0</v>
      </c>
      <c r="Z37">
        <v>16160.879999999992</v>
      </c>
      <c r="AA37">
        <v>16377.68999999999</v>
      </c>
      <c r="AB37">
        <v>216.81</v>
      </c>
      <c r="AC37">
        <v>3699.4300000000044</v>
      </c>
      <c r="AD37">
        <v>1445.8900000000003</v>
      </c>
      <c r="AE37">
        <v>-2253.5400000000018</v>
      </c>
      <c r="AF37">
        <v>12461.449999999995</v>
      </c>
      <c r="AG37">
        <v>14931.799999999992</v>
      </c>
      <c r="AH37">
        <v>2470.3500000000017</v>
      </c>
      <c r="AI37">
        <v>-865.68000000000018</v>
      </c>
      <c r="AJ37">
        <v>0</v>
      </c>
      <c r="AK37">
        <v>865.68000000000018</v>
      </c>
      <c r="AL37">
        <v>13327.130000000008</v>
      </c>
      <c r="AM37">
        <v>14931.799999999992</v>
      </c>
      <c r="AN37">
        <v>1604.6700000000008</v>
      </c>
      <c r="AO37">
        <v>243</v>
      </c>
    </row>
    <row r="38" spans="1:41" x14ac:dyDescent="0.35">
      <c r="A38">
        <v>2024</v>
      </c>
      <c r="B38">
        <v>7</v>
      </c>
      <c r="C38">
        <v>27</v>
      </c>
      <c r="D38" s="14">
        <v>45474</v>
      </c>
      <c r="E38" t="s">
        <v>44</v>
      </c>
      <c r="F38" t="s">
        <v>47</v>
      </c>
      <c r="G38" t="s">
        <v>51</v>
      </c>
      <c r="H38">
        <v>869</v>
      </c>
      <c r="I38">
        <v>869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-171.9</v>
      </c>
      <c r="R38">
        <v>-171.9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697.1</v>
      </c>
      <c r="AA38">
        <v>697.1</v>
      </c>
      <c r="AB38">
        <v>0</v>
      </c>
      <c r="AC38">
        <v>26.67</v>
      </c>
      <c r="AD38">
        <v>26.67</v>
      </c>
      <c r="AE38">
        <v>0</v>
      </c>
      <c r="AF38">
        <v>670.43000000000006</v>
      </c>
      <c r="AG38">
        <v>670.43000000000006</v>
      </c>
      <c r="AH38">
        <v>0</v>
      </c>
      <c r="AI38">
        <v>210.49</v>
      </c>
      <c r="AJ38">
        <v>0</v>
      </c>
      <c r="AK38">
        <v>-210.49</v>
      </c>
      <c r="AL38">
        <v>459.94000000000005</v>
      </c>
      <c r="AM38">
        <v>670.43000000000006</v>
      </c>
      <c r="AN38">
        <v>210.49</v>
      </c>
      <c r="AO38">
        <v>15</v>
      </c>
    </row>
    <row r="39" spans="1:41" x14ac:dyDescent="0.35">
      <c r="A39">
        <v>2024</v>
      </c>
      <c r="B39">
        <v>7</v>
      </c>
      <c r="C39">
        <v>27</v>
      </c>
      <c r="D39" s="14">
        <v>45475</v>
      </c>
      <c r="E39" t="s">
        <v>44</v>
      </c>
      <c r="F39" t="s">
        <v>47</v>
      </c>
      <c r="G39" t="s">
        <v>51</v>
      </c>
      <c r="H39">
        <v>211</v>
      </c>
      <c r="I39">
        <v>211</v>
      </c>
      <c r="J39">
        <v>0</v>
      </c>
      <c r="K39">
        <v>0</v>
      </c>
      <c r="L39">
        <v>0</v>
      </c>
      <c r="M39">
        <v>0</v>
      </c>
      <c r="N39">
        <v>15.99</v>
      </c>
      <c r="O39">
        <v>15.99</v>
      </c>
      <c r="P39">
        <v>0</v>
      </c>
      <c r="Q39">
        <v>-40.5</v>
      </c>
      <c r="R39">
        <v>-40.5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186.49</v>
      </c>
      <c r="AA39">
        <v>186.49</v>
      </c>
      <c r="AB39">
        <v>0</v>
      </c>
      <c r="AC39">
        <v>41.67</v>
      </c>
      <c r="AD39">
        <v>15</v>
      </c>
      <c r="AE39">
        <v>-26.67</v>
      </c>
      <c r="AF39">
        <v>144.82</v>
      </c>
      <c r="AG39">
        <v>171.49</v>
      </c>
      <c r="AH39">
        <v>26.67</v>
      </c>
      <c r="AI39">
        <v>0.25</v>
      </c>
      <c r="AJ39">
        <v>0</v>
      </c>
      <c r="AK39">
        <v>-0.25</v>
      </c>
      <c r="AL39">
        <v>144.57</v>
      </c>
      <c r="AM39">
        <v>171.49</v>
      </c>
      <c r="AN39">
        <v>26.919999999999995</v>
      </c>
      <c r="AO39">
        <v>3</v>
      </c>
    </row>
    <row r="40" spans="1:41" x14ac:dyDescent="0.35">
      <c r="A40">
        <v>2024</v>
      </c>
      <c r="B40">
        <v>7</v>
      </c>
      <c r="C40">
        <v>27</v>
      </c>
      <c r="D40" s="14">
        <v>45476</v>
      </c>
      <c r="E40" t="s">
        <v>44</v>
      </c>
      <c r="F40" t="s">
        <v>47</v>
      </c>
      <c r="G40" t="s">
        <v>51</v>
      </c>
      <c r="H40">
        <v>1560.75</v>
      </c>
      <c r="I40">
        <v>1560.75</v>
      </c>
      <c r="J40">
        <v>0</v>
      </c>
      <c r="K40">
        <v>0.95000000000000007</v>
      </c>
      <c r="L40">
        <v>0.95000000000000007</v>
      </c>
      <c r="M40">
        <v>0</v>
      </c>
      <c r="N40">
        <v>31.98</v>
      </c>
      <c r="O40">
        <v>31.98</v>
      </c>
      <c r="P40">
        <v>0</v>
      </c>
      <c r="Q40">
        <v>-436.6</v>
      </c>
      <c r="R40">
        <v>-425.6</v>
      </c>
      <c r="S40">
        <v>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1157.0800000000002</v>
      </c>
      <c r="AA40">
        <v>1168.0800000000002</v>
      </c>
      <c r="AB40">
        <v>11</v>
      </c>
      <c r="AC40">
        <v>114.08</v>
      </c>
      <c r="AD40">
        <v>99.08</v>
      </c>
      <c r="AE40">
        <v>-15</v>
      </c>
      <c r="AF40">
        <v>1042.9999999999998</v>
      </c>
      <c r="AG40">
        <v>1069</v>
      </c>
      <c r="AH40">
        <v>26.000000000000014</v>
      </c>
      <c r="AI40">
        <v>222.11</v>
      </c>
      <c r="AJ40">
        <v>0</v>
      </c>
      <c r="AK40">
        <v>-222.11</v>
      </c>
      <c r="AL40">
        <v>820.89</v>
      </c>
      <c r="AM40">
        <v>1069</v>
      </c>
      <c r="AN40">
        <v>248.10999999999996</v>
      </c>
      <c r="AO40">
        <v>24</v>
      </c>
    </row>
    <row r="41" spans="1:41" x14ac:dyDescent="0.35">
      <c r="A41">
        <v>2024</v>
      </c>
      <c r="B41">
        <v>7</v>
      </c>
      <c r="C41">
        <v>27</v>
      </c>
      <c r="D41" s="14">
        <v>45477</v>
      </c>
      <c r="E41" t="s">
        <v>44</v>
      </c>
      <c r="F41" t="s">
        <v>47</v>
      </c>
      <c r="G41" t="s">
        <v>51</v>
      </c>
      <c r="H41">
        <v>4573.45</v>
      </c>
      <c r="I41">
        <v>4573.45</v>
      </c>
      <c r="J41">
        <v>0</v>
      </c>
      <c r="K41">
        <v>50</v>
      </c>
      <c r="L41">
        <v>50</v>
      </c>
      <c r="M41">
        <v>0</v>
      </c>
      <c r="N41">
        <v>0</v>
      </c>
      <c r="O41">
        <v>0</v>
      </c>
      <c r="P41">
        <v>0</v>
      </c>
      <c r="Q41">
        <v>-1234.05</v>
      </c>
      <c r="R41">
        <v>-1234.05</v>
      </c>
      <c r="S41">
        <v>0</v>
      </c>
      <c r="T41">
        <v>-8</v>
      </c>
      <c r="U41">
        <v>-8</v>
      </c>
      <c r="V41">
        <v>0</v>
      </c>
      <c r="W41">
        <v>0</v>
      </c>
      <c r="X41">
        <v>0</v>
      </c>
      <c r="Y41">
        <v>0</v>
      </c>
      <c r="Z41">
        <v>3381.3999999999992</v>
      </c>
      <c r="AA41">
        <v>3381.3999999999992</v>
      </c>
      <c r="AB41">
        <v>0</v>
      </c>
      <c r="AC41">
        <v>148.16</v>
      </c>
      <c r="AD41">
        <v>49.08</v>
      </c>
      <c r="AE41">
        <v>-99.08</v>
      </c>
      <c r="AF41">
        <v>3233.2399999999993</v>
      </c>
      <c r="AG41">
        <v>3332.3199999999993</v>
      </c>
      <c r="AH41">
        <v>99.08</v>
      </c>
      <c r="AI41">
        <v>1085.9700000000003</v>
      </c>
      <c r="AJ41">
        <v>0</v>
      </c>
      <c r="AK41">
        <v>-1085.9700000000003</v>
      </c>
      <c r="AL41">
        <v>2147.2700000000004</v>
      </c>
      <c r="AM41">
        <v>3332.3199999999993</v>
      </c>
      <c r="AN41">
        <v>1185.05</v>
      </c>
      <c r="AO41">
        <v>76</v>
      </c>
    </row>
    <row r="42" spans="1:41" x14ac:dyDescent="0.35">
      <c r="A42">
        <v>2024</v>
      </c>
      <c r="B42">
        <v>7</v>
      </c>
      <c r="C42">
        <v>27</v>
      </c>
      <c r="D42" s="14">
        <v>45478</v>
      </c>
      <c r="E42" t="s">
        <v>44</v>
      </c>
      <c r="F42" t="s">
        <v>47</v>
      </c>
      <c r="G42" t="s">
        <v>51</v>
      </c>
      <c r="H42">
        <v>4561.6500000000005</v>
      </c>
      <c r="I42">
        <v>4561.6500000000005</v>
      </c>
      <c r="J42">
        <v>0</v>
      </c>
      <c r="K42">
        <v>40</v>
      </c>
      <c r="L42">
        <v>40</v>
      </c>
      <c r="M42">
        <v>0</v>
      </c>
      <c r="N42">
        <v>0</v>
      </c>
      <c r="O42">
        <v>0</v>
      </c>
      <c r="P42">
        <v>0</v>
      </c>
      <c r="Q42">
        <v>-1009.8499999999999</v>
      </c>
      <c r="R42">
        <v>-1009.8499999999999</v>
      </c>
      <c r="S42">
        <v>0</v>
      </c>
      <c r="T42">
        <v>-16</v>
      </c>
      <c r="U42">
        <v>-16</v>
      </c>
      <c r="V42">
        <v>0</v>
      </c>
      <c r="W42">
        <v>0</v>
      </c>
      <c r="X42">
        <v>0</v>
      </c>
      <c r="Y42">
        <v>0</v>
      </c>
      <c r="Z42">
        <v>3575.7999999999997</v>
      </c>
      <c r="AA42">
        <v>3575.7999999999997</v>
      </c>
      <c r="AB42">
        <v>0</v>
      </c>
      <c r="AC42">
        <v>88.16</v>
      </c>
      <c r="AD42">
        <v>39.08</v>
      </c>
      <c r="AE42">
        <v>-49.08</v>
      </c>
      <c r="AF42">
        <v>3487.64</v>
      </c>
      <c r="AG42">
        <v>3536.72</v>
      </c>
      <c r="AH42">
        <v>49.08</v>
      </c>
      <c r="AI42">
        <v>968.94000000000062</v>
      </c>
      <c r="AJ42">
        <v>0</v>
      </c>
      <c r="AK42">
        <v>-968.94000000000062</v>
      </c>
      <c r="AL42">
        <v>2518.7000000000003</v>
      </c>
      <c r="AM42">
        <v>3536.72</v>
      </c>
      <c r="AN42">
        <v>1018.0200000000006</v>
      </c>
      <c r="AO42">
        <v>78</v>
      </c>
    </row>
    <row r="43" spans="1:41" x14ac:dyDescent="0.35">
      <c r="A43">
        <v>2024</v>
      </c>
      <c r="B43">
        <v>7</v>
      </c>
      <c r="C43">
        <v>27</v>
      </c>
      <c r="D43" s="14">
        <v>45479</v>
      </c>
      <c r="E43" t="s">
        <v>44</v>
      </c>
      <c r="F43" t="s">
        <v>47</v>
      </c>
      <c r="G43" t="s">
        <v>51</v>
      </c>
      <c r="H43">
        <v>3797.9999999999991</v>
      </c>
      <c r="I43">
        <v>3797.9999999999991</v>
      </c>
      <c r="J43">
        <v>0</v>
      </c>
      <c r="K43">
        <v>10</v>
      </c>
      <c r="L43">
        <v>10</v>
      </c>
      <c r="M43">
        <v>0</v>
      </c>
      <c r="N43">
        <v>0</v>
      </c>
      <c r="O43">
        <v>0</v>
      </c>
      <c r="P43">
        <v>0</v>
      </c>
      <c r="Q43">
        <v>-610.99999999999989</v>
      </c>
      <c r="R43">
        <v>-610.99999999999989</v>
      </c>
      <c r="S43">
        <v>0</v>
      </c>
      <c r="T43">
        <v>-4</v>
      </c>
      <c r="U43">
        <v>-4</v>
      </c>
      <c r="V43">
        <v>0</v>
      </c>
      <c r="W43">
        <v>0</v>
      </c>
      <c r="X43">
        <v>0</v>
      </c>
      <c r="Y43">
        <v>0</v>
      </c>
      <c r="Z43">
        <v>3192.9999999999977</v>
      </c>
      <c r="AA43">
        <v>3192.9999999999977</v>
      </c>
      <c r="AB43">
        <v>0</v>
      </c>
      <c r="AC43">
        <v>47.410000000000004</v>
      </c>
      <c r="AE43">
        <v>-47.410000000000004</v>
      </c>
      <c r="AF43">
        <v>3145.5899999999979</v>
      </c>
      <c r="AG43">
        <v>3192.9999999999977</v>
      </c>
      <c r="AH43">
        <v>47.41</v>
      </c>
      <c r="AI43">
        <v>1011.8700000000002</v>
      </c>
      <c r="AJ43">
        <v>5.5200000000000005</v>
      </c>
      <c r="AK43">
        <v>-1006.3500000000003</v>
      </c>
      <c r="AL43">
        <v>2133.7200000000007</v>
      </c>
      <c r="AM43">
        <v>3187.4799999999977</v>
      </c>
      <c r="AN43">
        <v>1053.76</v>
      </c>
      <c r="AO43">
        <v>77</v>
      </c>
    </row>
    <row r="44" spans="1:41" x14ac:dyDescent="0.35">
      <c r="A44">
        <v>2024</v>
      </c>
      <c r="B44">
        <v>7</v>
      </c>
      <c r="C44">
        <v>28</v>
      </c>
      <c r="D44" s="14">
        <v>45480</v>
      </c>
      <c r="E44" t="s">
        <v>41</v>
      </c>
      <c r="F44" t="s">
        <v>42</v>
      </c>
      <c r="G44" t="s">
        <v>43</v>
      </c>
      <c r="H44">
        <v>40584.25</v>
      </c>
      <c r="I44">
        <v>40584.25</v>
      </c>
      <c r="J44">
        <v>0</v>
      </c>
      <c r="K44">
        <v>569.20999999999924</v>
      </c>
      <c r="L44">
        <v>569.20999999999924</v>
      </c>
      <c r="M44">
        <v>0</v>
      </c>
      <c r="N44">
        <v>1021.2800000000005</v>
      </c>
      <c r="O44">
        <v>1021.2800000000005</v>
      </c>
      <c r="P44">
        <v>0</v>
      </c>
      <c r="Q44">
        <v>-3636.25</v>
      </c>
      <c r="R44">
        <v>-3534.25</v>
      </c>
      <c r="S44">
        <v>102</v>
      </c>
      <c r="T44">
        <v>-4.5500000000000007</v>
      </c>
      <c r="U44">
        <v>-4.5500000000000007</v>
      </c>
      <c r="V44">
        <v>0</v>
      </c>
      <c r="W44">
        <v>-35</v>
      </c>
      <c r="X44">
        <v>-35</v>
      </c>
      <c r="Y44">
        <v>0</v>
      </c>
      <c r="Z44">
        <v>38498.939999999879</v>
      </c>
      <c r="AA44">
        <v>38600.939999999879</v>
      </c>
      <c r="AB44">
        <v>102</v>
      </c>
      <c r="AC44">
        <v>19206.299999999908</v>
      </c>
      <c r="AD44">
        <v>42.760000000000005</v>
      </c>
      <c r="AE44">
        <v>-19163.53999999991</v>
      </c>
      <c r="AF44">
        <v>19292.64000000005</v>
      </c>
      <c r="AG44">
        <v>38558.179999999884</v>
      </c>
      <c r="AH44">
        <v>19265.539999999906</v>
      </c>
      <c r="AI44">
        <v>-2.72</v>
      </c>
      <c r="AJ44">
        <v>0</v>
      </c>
      <c r="AK44">
        <v>2.72</v>
      </c>
      <c r="AL44">
        <v>19295.360000000052</v>
      </c>
      <c r="AM44">
        <v>38558.179999999884</v>
      </c>
      <c r="AN44">
        <v>19262.819999999909</v>
      </c>
      <c r="AO44">
        <v>714</v>
      </c>
    </row>
    <row r="45" spans="1:41" x14ac:dyDescent="0.35">
      <c r="A45">
        <v>2024</v>
      </c>
      <c r="B45">
        <v>7</v>
      </c>
      <c r="C45">
        <v>28</v>
      </c>
      <c r="D45" s="14">
        <v>45481</v>
      </c>
      <c r="E45" t="s">
        <v>41</v>
      </c>
      <c r="F45" t="s">
        <v>42</v>
      </c>
      <c r="G45" t="s">
        <v>43</v>
      </c>
      <c r="H45">
        <v>44597.5</v>
      </c>
      <c r="I45">
        <v>44597.5</v>
      </c>
      <c r="J45">
        <v>0</v>
      </c>
      <c r="K45">
        <v>514.08999999999844</v>
      </c>
      <c r="L45">
        <v>514.08999999999844</v>
      </c>
      <c r="M45">
        <v>0</v>
      </c>
      <c r="N45">
        <v>1129.2400000000005</v>
      </c>
      <c r="O45">
        <v>1129.2400000000005</v>
      </c>
      <c r="P45">
        <v>0</v>
      </c>
      <c r="Q45">
        <v>-4388.3</v>
      </c>
      <c r="R45">
        <v>-3754.3</v>
      </c>
      <c r="S45">
        <v>634</v>
      </c>
      <c r="T45">
        <v>-2.0100000000000002</v>
      </c>
      <c r="U45">
        <v>-2.0100000000000002</v>
      </c>
      <c r="V45">
        <v>0</v>
      </c>
      <c r="W45">
        <v>-35.99</v>
      </c>
      <c r="X45">
        <v>-35.99</v>
      </c>
      <c r="Y45">
        <v>0</v>
      </c>
      <c r="Z45">
        <v>41814.529999999861</v>
      </c>
      <c r="AA45">
        <v>42448.529999999853</v>
      </c>
      <c r="AB45">
        <v>634</v>
      </c>
      <c r="AC45">
        <v>14188.75999999998</v>
      </c>
      <c r="AD45">
        <v>14145.99999999998</v>
      </c>
      <c r="AE45">
        <v>-42.760000000000005</v>
      </c>
      <c r="AF45">
        <v>27625.77000000008</v>
      </c>
      <c r="AG45">
        <v>28302.53000000009</v>
      </c>
      <c r="AH45">
        <v>676.76</v>
      </c>
      <c r="AI45">
        <v>-6949.5700000000006</v>
      </c>
      <c r="AJ45">
        <v>0</v>
      </c>
      <c r="AK45">
        <v>6949.5700000000006</v>
      </c>
      <c r="AL45">
        <v>34575.340000000033</v>
      </c>
      <c r="AM45">
        <v>28302.53000000009</v>
      </c>
      <c r="AN45">
        <v>-6272.8099999999977</v>
      </c>
      <c r="AO45">
        <v>775</v>
      </c>
    </row>
    <row r="46" spans="1:41" x14ac:dyDescent="0.35">
      <c r="A46">
        <v>2024</v>
      </c>
      <c r="B46">
        <v>7</v>
      </c>
      <c r="C46">
        <v>28</v>
      </c>
      <c r="D46" s="14">
        <v>45482</v>
      </c>
      <c r="E46" t="s">
        <v>41</v>
      </c>
      <c r="F46" t="s">
        <v>42</v>
      </c>
      <c r="G46" t="s">
        <v>43</v>
      </c>
      <c r="H46">
        <v>76744.5</v>
      </c>
      <c r="I46">
        <v>76744.5</v>
      </c>
      <c r="J46">
        <v>0</v>
      </c>
      <c r="K46">
        <v>860.49000000000694</v>
      </c>
      <c r="L46">
        <v>860.49000000000694</v>
      </c>
      <c r="M46">
        <v>0</v>
      </c>
      <c r="N46">
        <v>1732.8100000000009</v>
      </c>
      <c r="O46">
        <v>1716.8200000000008</v>
      </c>
      <c r="P46">
        <v>-15.99</v>
      </c>
      <c r="Q46">
        <v>-6816.3</v>
      </c>
      <c r="R46">
        <v>-6292.3</v>
      </c>
      <c r="S46">
        <v>524</v>
      </c>
      <c r="T46">
        <v>-2.9600000000000004</v>
      </c>
      <c r="U46">
        <v>-2.9600000000000004</v>
      </c>
      <c r="V46">
        <v>0</v>
      </c>
      <c r="W46">
        <v>-45</v>
      </c>
      <c r="X46">
        <v>-45</v>
      </c>
      <c r="Y46">
        <v>0</v>
      </c>
      <c r="Z46">
        <v>72473.539999999819</v>
      </c>
      <c r="AA46">
        <v>72981.549999999857</v>
      </c>
      <c r="AB46">
        <v>508.01</v>
      </c>
      <c r="AC46">
        <v>29582.829999999693</v>
      </c>
      <c r="AD46">
        <v>15458.24999999996</v>
      </c>
      <c r="AE46">
        <v>-14124.579999999985</v>
      </c>
      <c r="AF46">
        <v>42890.710000000421</v>
      </c>
      <c r="AG46">
        <v>57523.300000000039</v>
      </c>
      <c r="AH46">
        <v>14632.589999999986</v>
      </c>
      <c r="AI46">
        <v>-7603.96</v>
      </c>
      <c r="AJ46">
        <v>0</v>
      </c>
      <c r="AK46">
        <v>7603.96</v>
      </c>
      <c r="AL46">
        <v>50494.670000000275</v>
      </c>
      <c r="AM46">
        <v>57523.300000000039</v>
      </c>
      <c r="AN46">
        <v>7028.6300000000256</v>
      </c>
      <c r="AO46">
        <v>1333</v>
      </c>
    </row>
    <row r="47" spans="1:41" x14ac:dyDescent="0.35">
      <c r="A47">
        <v>2024</v>
      </c>
      <c r="B47">
        <v>7</v>
      </c>
      <c r="C47">
        <v>28</v>
      </c>
      <c r="D47" s="14">
        <v>45483</v>
      </c>
      <c r="E47" t="s">
        <v>41</v>
      </c>
      <c r="F47" t="s">
        <v>42</v>
      </c>
      <c r="G47" t="s">
        <v>43</v>
      </c>
      <c r="H47">
        <v>109232.5</v>
      </c>
      <c r="I47">
        <v>109232.5</v>
      </c>
      <c r="J47">
        <v>0</v>
      </c>
      <c r="K47">
        <v>1232.1100000000085</v>
      </c>
      <c r="L47">
        <v>1232.1100000000085</v>
      </c>
      <c r="M47">
        <v>0</v>
      </c>
      <c r="N47">
        <v>2407.3699999999958</v>
      </c>
      <c r="O47">
        <v>2407.3699999999958</v>
      </c>
      <c r="P47">
        <v>0</v>
      </c>
      <c r="Q47">
        <v>-9313</v>
      </c>
      <c r="R47">
        <v>-8632</v>
      </c>
      <c r="S47">
        <v>681</v>
      </c>
      <c r="T47">
        <v>-6.55</v>
      </c>
      <c r="U47">
        <v>-6.55</v>
      </c>
      <c r="V47">
        <v>0</v>
      </c>
      <c r="W47">
        <v>-88</v>
      </c>
      <c r="X47">
        <v>-88</v>
      </c>
      <c r="Y47">
        <v>0</v>
      </c>
      <c r="Z47">
        <v>103464.43000000075</v>
      </c>
      <c r="AA47">
        <v>104145.43000000078</v>
      </c>
      <c r="AB47">
        <v>681</v>
      </c>
      <c r="AC47">
        <v>47166.4399999991</v>
      </c>
      <c r="AD47">
        <v>31871.70999999977</v>
      </c>
      <c r="AE47">
        <v>-15294.729999999949</v>
      </c>
      <c r="AF47">
        <v>56297.990000000464</v>
      </c>
      <c r="AG47">
        <v>72273.720000000016</v>
      </c>
      <c r="AH47">
        <v>15975.729999999945</v>
      </c>
      <c r="AI47">
        <v>-15433.520000000006</v>
      </c>
      <c r="AJ47">
        <v>0</v>
      </c>
      <c r="AK47">
        <v>15433.520000000006</v>
      </c>
      <c r="AL47">
        <v>71731.510000000242</v>
      </c>
      <c r="AM47">
        <v>72273.720000000016</v>
      </c>
      <c r="AN47">
        <v>542.2100000000006</v>
      </c>
      <c r="AO47">
        <v>1908</v>
      </c>
    </row>
    <row r="48" spans="1:41" x14ac:dyDescent="0.35">
      <c r="A48">
        <v>2024</v>
      </c>
      <c r="B48">
        <v>7</v>
      </c>
      <c r="C48">
        <v>28</v>
      </c>
      <c r="D48" s="14">
        <v>45484</v>
      </c>
      <c r="E48" t="s">
        <v>41</v>
      </c>
      <c r="F48" t="s">
        <v>42</v>
      </c>
      <c r="G48" t="s">
        <v>43</v>
      </c>
      <c r="H48">
        <v>122259.75</v>
      </c>
      <c r="I48">
        <v>122259.75</v>
      </c>
      <c r="J48">
        <v>0</v>
      </c>
      <c r="K48">
        <v>1320.0400000000225</v>
      </c>
      <c r="L48">
        <v>1320.0400000000225</v>
      </c>
      <c r="M48">
        <v>0</v>
      </c>
      <c r="N48">
        <v>2889.9999999999886</v>
      </c>
      <c r="O48">
        <v>2889.9999999999886</v>
      </c>
      <c r="P48">
        <v>0</v>
      </c>
      <c r="Q48">
        <v>-10530.25</v>
      </c>
      <c r="R48">
        <v>-9539.25</v>
      </c>
      <c r="S48">
        <v>991</v>
      </c>
      <c r="T48">
        <v>-6.4300000000000024</v>
      </c>
      <c r="U48">
        <v>-6.4300000000000024</v>
      </c>
      <c r="V48">
        <v>0</v>
      </c>
      <c r="W48">
        <v>-88.99</v>
      </c>
      <c r="X48">
        <v>-88.99</v>
      </c>
      <c r="Y48">
        <v>0</v>
      </c>
      <c r="Z48">
        <v>115844.12000000135</v>
      </c>
      <c r="AA48">
        <v>116835.12000000139</v>
      </c>
      <c r="AB48">
        <v>991</v>
      </c>
      <c r="AC48">
        <v>54606.929999998836</v>
      </c>
      <c r="AD48">
        <v>22996.849999999868</v>
      </c>
      <c r="AE48">
        <v>-31610.079999999743</v>
      </c>
      <c r="AF48">
        <v>61237.190000000614</v>
      </c>
      <c r="AG48">
        <v>93838.270000000644</v>
      </c>
      <c r="AH48">
        <v>32601.079999999733</v>
      </c>
      <c r="AI48">
        <v>-10800.370000000015</v>
      </c>
      <c r="AJ48">
        <v>0</v>
      </c>
      <c r="AK48">
        <v>10800.370000000015</v>
      </c>
      <c r="AL48">
        <v>72037.560000000478</v>
      </c>
      <c r="AM48">
        <v>93838.270000000644</v>
      </c>
      <c r="AN48">
        <v>21800.709999999817</v>
      </c>
      <c r="AO48">
        <v>2159</v>
      </c>
    </row>
    <row r="49" spans="1:41" x14ac:dyDescent="0.35">
      <c r="A49">
        <v>2024</v>
      </c>
      <c r="B49">
        <v>7</v>
      </c>
      <c r="C49">
        <v>28</v>
      </c>
      <c r="D49" s="14">
        <v>45485</v>
      </c>
      <c r="E49" t="s">
        <v>41</v>
      </c>
      <c r="F49" t="s">
        <v>42</v>
      </c>
      <c r="G49" t="s">
        <v>43</v>
      </c>
      <c r="H49">
        <v>95589.5</v>
      </c>
      <c r="I49">
        <v>95589.5</v>
      </c>
      <c r="J49">
        <v>0</v>
      </c>
      <c r="K49">
        <v>1166.2700000000075</v>
      </c>
      <c r="L49">
        <v>1166.2700000000075</v>
      </c>
      <c r="M49">
        <v>0</v>
      </c>
      <c r="N49">
        <v>2043.4900000000011</v>
      </c>
      <c r="O49">
        <v>2043.4900000000011</v>
      </c>
      <c r="P49">
        <v>0</v>
      </c>
      <c r="Q49">
        <v>-8445.75</v>
      </c>
      <c r="R49">
        <v>-7727</v>
      </c>
      <c r="S49">
        <v>718.75</v>
      </c>
      <c r="T49">
        <v>-2.1</v>
      </c>
      <c r="U49">
        <v>-2.1</v>
      </c>
      <c r="V49">
        <v>0</v>
      </c>
      <c r="W49">
        <v>-55.99</v>
      </c>
      <c r="X49">
        <v>-55.99</v>
      </c>
      <c r="Y49">
        <v>0</v>
      </c>
      <c r="Z49">
        <v>90295.420000000478</v>
      </c>
      <c r="AA49">
        <v>91014.170000000508</v>
      </c>
      <c r="AB49">
        <v>718.75</v>
      </c>
      <c r="AC49">
        <v>41234.699999999328</v>
      </c>
      <c r="AD49">
        <v>18574.579999999929</v>
      </c>
      <c r="AE49">
        <v>-22660.119999999883</v>
      </c>
      <c r="AF49">
        <v>49060.720000000445</v>
      </c>
      <c r="AG49">
        <v>72439.590000000069</v>
      </c>
      <c r="AH49">
        <v>23378.869999999868</v>
      </c>
      <c r="AI49">
        <v>-8596.9999999999891</v>
      </c>
      <c r="AJ49">
        <v>0</v>
      </c>
      <c r="AK49">
        <v>8596.9999999999891</v>
      </c>
      <c r="AL49">
        <v>57657.72000000038</v>
      </c>
      <c r="AM49">
        <v>72439.590000000069</v>
      </c>
      <c r="AN49">
        <v>14781.869999999948</v>
      </c>
      <c r="AO49">
        <v>1701</v>
      </c>
    </row>
    <row r="50" spans="1:41" x14ac:dyDescent="0.35">
      <c r="A50">
        <v>2024</v>
      </c>
      <c r="B50">
        <v>7</v>
      </c>
      <c r="C50">
        <v>28</v>
      </c>
      <c r="D50" s="14">
        <v>45486</v>
      </c>
      <c r="E50" t="s">
        <v>41</v>
      </c>
      <c r="F50" t="s">
        <v>42</v>
      </c>
      <c r="G50" t="s">
        <v>43</v>
      </c>
      <c r="H50">
        <v>88931.25</v>
      </c>
      <c r="I50">
        <v>88931.25</v>
      </c>
      <c r="J50">
        <v>0</v>
      </c>
      <c r="K50">
        <v>1042.9500000000128</v>
      </c>
      <c r="L50">
        <v>1042.9500000000128</v>
      </c>
      <c r="M50">
        <v>0</v>
      </c>
      <c r="N50">
        <v>1955.5400000000011</v>
      </c>
      <c r="O50">
        <v>1955.5400000000011</v>
      </c>
      <c r="P50">
        <v>0</v>
      </c>
      <c r="Q50">
        <v>-7806</v>
      </c>
      <c r="R50">
        <v>-7071</v>
      </c>
      <c r="S50">
        <v>735</v>
      </c>
      <c r="T50">
        <v>-2.73</v>
      </c>
      <c r="U50">
        <v>-2.73</v>
      </c>
      <c r="V50">
        <v>0</v>
      </c>
      <c r="W50">
        <v>-25</v>
      </c>
      <c r="X50">
        <v>-25</v>
      </c>
      <c r="Y50">
        <v>0</v>
      </c>
      <c r="Z50">
        <v>84096.010000000213</v>
      </c>
      <c r="AA50">
        <v>84831.010000000228</v>
      </c>
      <c r="AB50">
        <v>735</v>
      </c>
      <c r="AC50">
        <v>38695.469999999499</v>
      </c>
      <c r="AD50">
        <v>20188.709999999912</v>
      </c>
      <c r="AE50">
        <v>-18506.759999999944</v>
      </c>
      <c r="AF50">
        <v>45400.540000000321</v>
      </c>
      <c r="AG50">
        <v>64642.299999999923</v>
      </c>
      <c r="AH50">
        <v>19241.759999999937</v>
      </c>
      <c r="AI50">
        <v>-9552.2399999999907</v>
      </c>
      <c r="AJ50">
        <v>0</v>
      </c>
      <c r="AK50">
        <v>9552.2399999999907</v>
      </c>
      <c r="AL50">
        <v>54952.780000000319</v>
      </c>
      <c r="AM50">
        <v>64642.299999999923</v>
      </c>
      <c r="AN50">
        <v>9689.5200000000041</v>
      </c>
      <c r="AO50">
        <v>1572</v>
      </c>
    </row>
    <row r="51" spans="1:41" x14ac:dyDescent="0.35">
      <c r="A51">
        <v>2024</v>
      </c>
      <c r="B51">
        <v>7</v>
      </c>
      <c r="C51">
        <v>28</v>
      </c>
      <c r="D51" s="14">
        <v>45480</v>
      </c>
      <c r="E51" t="s">
        <v>44</v>
      </c>
      <c r="F51" t="s">
        <v>42</v>
      </c>
      <c r="G51" t="s">
        <v>45</v>
      </c>
      <c r="H51">
        <v>42291</v>
      </c>
      <c r="I51">
        <v>42291</v>
      </c>
      <c r="J51">
        <v>0</v>
      </c>
      <c r="K51">
        <v>325.37999999999988</v>
      </c>
      <c r="L51">
        <v>295.37999999999988</v>
      </c>
      <c r="M51">
        <v>-30</v>
      </c>
      <c r="N51">
        <v>1700.8700000000008</v>
      </c>
      <c r="O51">
        <v>1700.8700000000008</v>
      </c>
      <c r="P51">
        <v>0</v>
      </c>
      <c r="Q51">
        <v>-6133.75</v>
      </c>
      <c r="R51">
        <v>-5940.75</v>
      </c>
      <c r="S51">
        <v>193</v>
      </c>
      <c r="T51">
        <v>-0.49</v>
      </c>
      <c r="U51">
        <v>-0.49</v>
      </c>
      <c r="V51">
        <v>0</v>
      </c>
      <c r="W51">
        <v>-23</v>
      </c>
      <c r="X51">
        <v>-22.990000000000002</v>
      </c>
      <c r="Y51">
        <v>9.9999999999997868E-3</v>
      </c>
      <c r="Z51">
        <v>38160.009999999958</v>
      </c>
      <c r="AA51">
        <v>38323.01999999996</v>
      </c>
      <c r="AB51">
        <v>163.01</v>
      </c>
      <c r="AC51">
        <v>12956.189999999984</v>
      </c>
      <c r="AE51">
        <v>-12956.189999999984</v>
      </c>
      <c r="AF51">
        <v>25203.830000000071</v>
      </c>
      <c r="AG51">
        <v>38323.01999999996</v>
      </c>
      <c r="AH51">
        <v>13119.189999999981</v>
      </c>
      <c r="AI51">
        <v>32.94</v>
      </c>
      <c r="AJ51">
        <v>0</v>
      </c>
      <c r="AK51">
        <v>-32.94</v>
      </c>
      <c r="AL51">
        <v>25170.890000000069</v>
      </c>
      <c r="AM51">
        <v>38323.01999999996</v>
      </c>
      <c r="AN51">
        <v>13152.129999999981</v>
      </c>
      <c r="AO51">
        <v>565</v>
      </c>
    </row>
    <row r="52" spans="1:41" x14ac:dyDescent="0.35">
      <c r="A52">
        <v>2024</v>
      </c>
      <c r="B52">
        <v>7</v>
      </c>
      <c r="C52">
        <v>28</v>
      </c>
      <c r="D52" s="14">
        <v>45481</v>
      </c>
      <c r="E52" t="s">
        <v>44</v>
      </c>
      <c r="F52" t="s">
        <v>42</v>
      </c>
      <c r="G52" t="s">
        <v>45</v>
      </c>
      <c r="H52">
        <v>62084</v>
      </c>
      <c r="I52">
        <v>62084</v>
      </c>
      <c r="J52">
        <v>0</v>
      </c>
      <c r="K52">
        <v>431.55999999999875</v>
      </c>
      <c r="L52">
        <v>431.55999999999875</v>
      </c>
      <c r="M52">
        <v>0</v>
      </c>
      <c r="N52">
        <v>3012.0999999999881</v>
      </c>
      <c r="O52">
        <v>3012.0999999999881</v>
      </c>
      <c r="P52">
        <v>0</v>
      </c>
      <c r="Q52">
        <v>-9731</v>
      </c>
      <c r="R52">
        <v>-9174</v>
      </c>
      <c r="S52">
        <v>557</v>
      </c>
      <c r="T52">
        <v>-0.14000000000000001</v>
      </c>
      <c r="U52">
        <v>-0.14000000000000001</v>
      </c>
      <c r="V52">
        <v>0</v>
      </c>
      <c r="W52">
        <v>-40.1</v>
      </c>
      <c r="X52">
        <v>-40.1</v>
      </c>
      <c r="Y52">
        <v>0</v>
      </c>
      <c r="Z52">
        <v>55756.41999999986</v>
      </c>
      <c r="AA52">
        <v>56313.41999999986</v>
      </c>
      <c r="AB52">
        <v>557</v>
      </c>
      <c r="AC52">
        <v>10622.099999999989</v>
      </c>
      <c r="AD52">
        <v>10622.099999999989</v>
      </c>
      <c r="AE52">
        <v>0</v>
      </c>
      <c r="AF52">
        <v>45134.320000000087</v>
      </c>
      <c r="AG52">
        <v>45691.320000000087</v>
      </c>
      <c r="AH52">
        <v>557</v>
      </c>
      <c r="AI52">
        <v>-5804.2800000000043</v>
      </c>
      <c r="AJ52">
        <v>0</v>
      </c>
      <c r="AK52">
        <v>5804.2800000000043</v>
      </c>
      <c r="AL52">
        <v>50938.60000000002</v>
      </c>
      <c r="AM52">
        <v>45691.320000000087</v>
      </c>
      <c r="AN52">
        <v>-5247.2799999999979</v>
      </c>
      <c r="AO52">
        <v>787</v>
      </c>
    </row>
    <row r="53" spans="1:41" x14ac:dyDescent="0.35">
      <c r="A53">
        <v>2024</v>
      </c>
      <c r="B53">
        <v>7</v>
      </c>
      <c r="C53">
        <v>28</v>
      </c>
      <c r="D53" s="14">
        <v>45482</v>
      </c>
      <c r="E53" t="s">
        <v>44</v>
      </c>
      <c r="F53" t="s">
        <v>42</v>
      </c>
      <c r="G53" t="s">
        <v>45</v>
      </c>
      <c r="H53">
        <v>87354</v>
      </c>
      <c r="I53">
        <v>87354</v>
      </c>
      <c r="J53">
        <v>0</v>
      </c>
      <c r="K53">
        <v>652.55999999999938</v>
      </c>
      <c r="L53">
        <v>652.55999999999938</v>
      </c>
      <c r="M53">
        <v>0</v>
      </c>
      <c r="N53">
        <v>3730.6499999999778</v>
      </c>
      <c r="O53">
        <v>3730.6499999999778</v>
      </c>
      <c r="P53">
        <v>0</v>
      </c>
      <c r="Q53">
        <v>-14049</v>
      </c>
      <c r="R53">
        <v>-13464.75</v>
      </c>
      <c r="S53">
        <v>584.25</v>
      </c>
      <c r="T53">
        <v>-4.26</v>
      </c>
      <c r="U53">
        <v>-4.26</v>
      </c>
      <c r="V53">
        <v>0</v>
      </c>
      <c r="W53">
        <v>-46.7</v>
      </c>
      <c r="X53">
        <v>-46.7</v>
      </c>
      <c r="Y53">
        <v>0</v>
      </c>
      <c r="Z53">
        <v>77637.249999999898</v>
      </c>
      <c r="AA53">
        <v>78221.499999999898</v>
      </c>
      <c r="AB53">
        <v>584.25</v>
      </c>
      <c r="AC53">
        <v>20022.899999999921</v>
      </c>
      <c r="AD53">
        <v>9544.0199999999968</v>
      </c>
      <c r="AE53">
        <v>-10478.879999999994</v>
      </c>
      <c r="AF53">
        <v>57614.350000000108</v>
      </c>
      <c r="AG53">
        <v>68677.479999999909</v>
      </c>
      <c r="AH53">
        <v>11063.129999999986</v>
      </c>
      <c r="AI53">
        <v>-5040.1400000000021</v>
      </c>
      <c r="AJ53">
        <v>0</v>
      </c>
      <c r="AK53">
        <v>5040.1400000000021</v>
      </c>
      <c r="AL53">
        <v>62654.4900000001</v>
      </c>
      <c r="AM53">
        <v>68677.479999999909</v>
      </c>
      <c r="AN53">
        <v>6022.9900000000107</v>
      </c>
      <c r="AO53">
        <v>1111</v>
      </c>
    </row>
    <row r="54" spans="1:41" x14ac:dyDescent="0.35">
      <c r="A54">
        <v>2024</v>
      </c>
      <c r="B54">
        <v>7</v>
      </c>
      <c r="C54">
        <v>28</v>
      </c>
      <c r="D54" s="14">
        <v>45483</v>
      </c>
      <c r="E54" t="s">
        <v>44</v>
      </c>
      <c r="F54" t="s">
        <v>42</v>
      </c>
      <c r="G54" t="s">
        <v>45</v>
      </c>
      <c r="H54">
        <v>138949.5</v>
      </c>
      <c r="I54">
        <v>138949.5</v>
      </c>
      <c r="J54">
        <v>0</v>
      </c>
      <c r="K54">
        <v>1033.1700000000092</v>
      </c>
      <c r="L54">
        <v>1033.1700000000092</v>
      </c>
      <c r="M54">
        <v>0</v>
      </c>
      <c r="N54">
        <v>5587.419999999951</v>
      </c>
      <c r="O54">
        <v>5520.4599999999518</v>
      </c>
      <c r="P54">
        <v>-66.959999999999994</v>
      </c>
      <c r="Q54">
        <v>-21768.95</v>
      </c>
      <c r="R54">
        <v>-20852.2</v>
      </c>
      <c r="S54">
        <v>916.75</v>
      </c>
      <c r="T54">
        <v>-10.23</v>
      </c>
      <c r="U54">
        <v>-10.23</v>
      </c>
      <c r="V54">
        <v>0</v>
      </c>
      <c r="W54">
        <v>-106.3</v>
      </c>
      <c r="X54">
        <v>-106.3</v>
      </c>
      <c r="Y54">
        <v>0</v>
      </c>
      <c r="Z54">
        <v>123684.61000000074</v>
      </c>
      <c r="AA54">
        <v>124534.40000000074</v>
      </c>
      <c r="AB54">
        <v>849.79</v>
      </c>
      <c r="AC54">
        <v>32754.849999999853</v>
      </c>
      <c r="AD54">
        <v>23299.339999999891</v>
      </c>
      <c r="AE54">
        <v>-9455.5099999999984</v>
      </c>
      <c r="AF54">
        <v>90929.760000000257</v>
      </c>
      <c r="AG54">
        <v>101235.0600000003</v>
      </c>
      <c r="AH54">
        <v>10305.299999999992</v>
      </c>
      <c r="AI54">
        <v>-12039.02000000002</v>
      </c>
      <c r="AJ54">
        <v>0</v>
      </c>
      <c r="AK54">
        <v>12039.02000000002</v>
      </c>
      <c r="AL54">
        <v>102968.78000000009</v>
      </c>
      <c r="AM54">
        <v>101235.0600000003</v>
      </c>
      <c r="AN54">
        <v>-1733.7199999999959</v>
      </c>
      <c r="AO54">
        <v>1782</v>
      </c>
    </row>
    <row r="55" spans="1:41" x14ac:dyDescent="0.35">
      <c r="A55">
        <v>2024</v>
      </c>
      <c r="B55">
        <v>7</v>
      </c>
      <c r="C55">
        <v>28</v>
      </c>
      <c r="D55" s="14">
        <v>45484</v>
      </c>
      <c r="E55" t="s">
        <v>44</v>
      </c>
      <c r="F55" t="s">
        <v>42</v>
      </c>
      <c r="G55" t="s">
        <v>45</v>
      </c>
      <c r="H55">
        <v>140691.5</v>
      </c>
      <c r="I55">
        <v>140691.5</v>
      </c>
      <c r="J55">
        <v>0</v>
      </c>
      <c r="K55">
        <v>1147.5700000000074</v>
      </c>
      <c r="L55">
        <v>1147.5700000000074</v>
      </c>
      <c r="M55">
        <v>0</v>
      </c>
      <c r="N55">
        <v>5819.2399999999489</v>
      </c>
      <c r="O55">
        <v>5819.2399999999489</v>
      </c>
      <c r="P55">
        <v>0</v>
      </c>
      <c r="Q55">
        <v>-21893.200000000001</v>
      </c>
      <c r="R55">
        <v>-21114.2</v>
      </c>
      <c r="S55">
        <v>779</v>
      </c>
      <c r="T55">
        <v>-13.410000000000002</v>
      </c>
      <c r="U55">
        <v>-13.410000000000002</v>
      </c>
      <c r="V55">
        <v>0</v>
      </c>
      <c r="W55">
        <v>-130.68</v>
      </c>
      <c r="X55">
        <v>-130.68</v>
      </c>
      <c r="Y55">
        <v>0</v>
      </c>
      <c r="Z55">
        <v>125621.02000000085</v>
      </c>
      <c r="AA55">
        <v>126400.02000000086</v>
      </c>
      <c r="AB55">
        <v>779</v>
      </c>
      <c r="AC55">
        <v>36572.479999999654</v>
      </c>
      <c r="AD55">
        <v>13802.479999999978</v>
      </c>
      <c r="AE55">
        <v>-22769.99999999992</v>
      </c>
      <c r="AF55">
        <v>89048.540000000372</v>
      </c>
      <c r="AG55">
        <v>112597.5400000006</v>
      </c>
      <c r="AH55">
        <v>23548.999999999905</v>
      </c>
      <c r="AI55">
        <v>-6904.3099999999922</v>
      </c>
      <c r="AJ55">
        <v>0</v>
      </c>
      <c r="AK55">
        <v>6904.3099999999922</v>
      </c>
      <c r="AL55">
        <v>95952.850000000341</v>
      </c>
      <c r="AM55">
        <v>112597.5400000006</v>
      </c>
      <c r="AN55">
        <v>16644.689999999911</v>
      </c>
      <c r="AO55">
        <v>1827</v>
      </c>
    </row>
    <row r="56" spans="1:41" x14ac:dyDescent="0.35">
      <c r="A56">
        <v>2024</v>
      </c>
      <c r="B56">
        <v>7</v>
      </c>
      <c r="C56">
        <v>28</v>
      </c>
      <c r="D56" s="14">
        <v>45485</v>
      </c>
      <c r="E56" t="s">
        <v>44</v>
      </c>
      <c r="F56" t="s">
        <v>42</v>
      </c>
      <c r="G56" t="s">
        <v>45</v>
      </c>
      <c r="H56">
        <v>111642</v>
      </c>
      <c r="I56">
        <v>111642</v>
      </c>
      <c r="J56">
        <v>0</v>
      </c>
      <c r="K56">
        <v>863.70000000000721</v>
      </c>
      <c r="L56">
        <v>863.70000000000721</v>
      </c>
      <c r="M56">
        <v>0</v>
      </c>
      <c r="N56">
        <v>4524.109999999966</v>
      </c>
      <c r="O56">
        <v>4492.1299999999665</v>
      </c>
      <c r="P56">
        <v>-31.98</v>
      </c>
      <c r="Q56">
        <v>-17342.25</v>
      </c>
      <c r="R56">
        <v>-16775.25</v>
      </c>
      <c r="S56">
        <v>567</v>
      </c>
      <c r="T56">
        <v>-2.7600000000000002</v>
      </c>
      <c r="U56">
        <v>-2.7600000000000002</v>
      </c>
      <c r="V56">
        <v>0</v>
      </c>
      <c r="W56">
        <v>-94.600000000000009</v>
      </c>
      <c r="X56">
        <v>-94.600000000000009</v>
      </c>
      <c r="Y56">
        <v>0</v>
      </c>
      <c r="Z56">
        <v>99590.200000000346</v>
      </c>
      <c r="AA56">
        <v>100125.22000000036</v>
      </c>
      <c r="AB56">
        <v>535.0200000000001</v>
      </c>
      <c r="AC56">
        <v>27539.849999999849</v>
      </c>
      <c r="AD56">
        <v>14035.429999999964</v>
      </c>
      <c r="AE56">
        <v>-13504.419999999971</v>
      </c>
      <c r="AF56">
        <v>72050.35000000018</v>
      </c>
      <c r="AG56">
        <v>86089.790000000197</v>
      </c>
      <c r="AH56">
        <v>14039.439999999971</v>
      </c>
      <c r="AI56">
        <v>-7012.1400000000058</v>
      </c>
      <c r="AJ56">
        <v>0</v>
      </c>
      <c r="AK56">
        <v>7012.1400000000058</v>
      </c>
      <c r="AL56">
        <v>79062.490000000107</v>
      </c>
      <c r="AM56">
        <v>86089.790000000197</v>
      </c>
      <c r="AN56">
        <v>7027.3000000000156</v>
      </c>
      <c r="AO56">
        <v>1472</v>
      </c>
    </row>
    <row r="57" spans="1:41" x14ac:dyDescent="0.35">
      <c r="A57">
        <v>2024</v>
      </c>
      <c r="B57">
        <v>7</v>
      </c>
      <c r="C57">
        <v>28</v>
      </c>
      <c r="D57" s="14">
        <v>45486</v>
      </c>
      <c r="E57" t="s">
        <v>44</v>
      </c>
      <c r="F57" t="s">
        <v>42</v>
      </c>
      <c r="G57" t="s">
        <v>45</v>
      </c>
      <c r="H57">
        <v>119164</v>
      </c>
      <c r="I57">
        <v>119164</v>
      </c>
      <c r="J57">
        <v>0</v>
      </c>
      <c r="K57">
        <v>964.5200000000043</v>
      </c>
      <c r="L57">
        <v>964.5200000000043</v>
      </c>
      <c r="M57">
        <v>0</v>
      </c>
      <c r="N57">
        <v>4589.0099999999657</v>
      </c>
      <c r="O57">
        <v>4589.0099999999657</v>
      </c>
      <c r="P57">
        <v>0</v>
      </c>
      <c r="Q57">
        <v>-18763.2</v>
      </c>
      <c r="R57">
        <v>-18020.2</v>
      </c>
      <c r="S57">
        <v>743</v>
      </c>
      <c r="T57">
        <v>-8.4599999999999991</v>
      </c>
      <c r="U57">
        <v>-8.4599999999999991</v>
      </c>
      <c r="V57">
        <v>0</v>
      </c>
      <c r="W57">
        <v>-155.48000000000002</v>
      </c>
      <c r="X57">
        <v>-155.48000000000002</v>
      </c>
      <c r="Y57">
        <v>0</v>
      </c>
      <c r="Z57">
        <v>105790.39000000049</v>
      </c>
      <c r="AA57">
        <v>106533.39000000048</v>
      </c>
      <c r="AB57">
        <v>743</v>
      </c>
      <c r="AC57">
        <v>29764.599999999766</v>
      </c>
      <c r="AD57">
        <v>15890.329999999951</v>
      </c>
      <c r="AE57">
        <v>-13874.269999999975</v>
      </c>
      <c r="AF57">
        <v>76025.790000000168</v>
      </c>
      <c r="AG57">
        <v>90643.060000000216</v>
      </c>
      <c r="AH57">
        <v>14617.269999999968</v>
      </c>
      <c r="AI57">
        <v>-8070.559999999984</v>
      </c>
      <c r="AJ57">
        <v>0</v>
      </c>
      <c r="AK57">
        <v>8070.559999999984</v>
      </c>
      <c r="AL57">
        <v>84096.350000000049</v>
      </c>
      <c r="AM57">
        <v>90643.060000000216</v>
      </c>
      <c r="AN57">
        <v>6546.7100000000291</v>
      </c>
      <c r="AO57">
        <v>1577</v>
      </c>
    </row>
    <row r="58" spans="1:41" x14ac:dyDescent="0.35">
      <c r="A58">
        <v>2024</v>
      </c>
      <c r="B58">
        <v>7</v>
      </c>
      <c r="C58">
        <v>28</v>
      </c>
      <c r="D58" s="14">
        <v>45480</v>
      </c>
      <c r="E58" t="s">
        <v>44</v>
      </c>
      <c r="F58" t="s">
        <v>42</v>
      </c>
      <c r="G58" t="s">
        <v>46</v>
      </c>
      <c r="H58">
        <v>11367.32</v>
      </c>
      <c r="I58">
        <v>11367.32</v>
      </c>
      <c r="J58">
        <v>0</v>
      </c>
      <c r="K58">
        <v>61.780000000000044</v>
      </c>
      <c r="L58">
        <v>61.780000000000044</v>
      </c>
      <c r="M58">
        <v>0</v>
      </c>
      <c r="N58">
        <v>322.79000000000008</v>
      </c>
      <c r="O58">
        <v>322.79000000000008</v>
      </c>
      <c r="P58">
        <v>0</v>
      </c>
      <c r="Q58">
        <v>-3681.7200000000003</v>
      </c>
      <c r="R58">
        <v>-3674.7200000000003</v>
      </c>
      <c r="S58">
        <v>7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8070.1699999999955</v>
      </c>
      <c r="AA58">
        <v>8077.1699999999955</v>
      </c>
      <c r="AB58">
        <v>7</v>
      </c>
      <c r="AC58">
        <v>3809.7300000000046</v>
      </c>
      <c r="AE58">
        <v>-3809.7300000000046</v>
      </c>
      <c r="AF58">
        <v>4260.4399999999951</v>
      </c>
      <c r="AG58">
        <v>8077.1699999999955</v>
      </c>
      <c r="AH58">
        <v>3816.7300000000046</v>
      </c>
      <c r="AI58">
        <v>0</v>
      </c>
      <c r="AJ58">
        <v>0</v>
      </c>
      <c r="AK58">
        <v>0</v>
      </c>
      <c r="AL58">
        <v>4260.4399999999951</v>
      </c>
      <c r="AM58">
        <v>8077.1699999999955</v>
      </c>
      <c r="AN58">
        <v>3816.7300000000046</v>
      </c>
      <c r="AO58">
        <v>131</v>
      </c>
    </row>
    <row r="59" spans="1:41" x14ac:dyDescent="0.35">
      <c r="A59">
        <v>2024</v>
      </c>
      <c r="B59">
        <v>7</v>
      </c>
      <c r="C59">
        <v>28</v>
      </c>
      <c r="D59" s="14">
        <v>45481</v>
      </c>
      <c r="E59" t="s">
        <v>44</v>
      </c>
      <c r="F59" t="s">
        <v>42</v>
      </c>
      <c r="G59" t="s">
        <v>46</v>
      </c>
      <c r="H59">
        <v>12181.14</v>
      </c>
      <c r="I59">
        <v>12181.14</v>
      </c>
      <c r="J59">
        <v>0</v>
      </c>
      <c r="K59">
        <v>26.700000000000017</v>
      </c>
      <c r="L59">
        <v>26.700000000000017</v>
      </c>
      <c r="M59">
        <v>0</v>
      </c>
      <c r="N59">
        <v>299.81000000000012</v>
      </c>
      <c r="O59">
        <v>299.81000000000012</v>
      </c>
      <c r="P59">
        <v>0</v>
      </c>
      <c r="Q59">
        <v>-4202.6399999999994</v>
      </c>
      <c r="R59">
        <v>-4058.64</v>
      </c>
      <c r="S59">
        <v>144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8305.0099999999984</v>
      </c>
      <c r="AA59">
        <v>8449.0099999999984</v>
      </c>
      <c r="AB59">
        <v>144</v>
      </c>
      <c r="AC59">
        <v>1676.2700000000002</v>
      </c>
      <c r="AD59">
        <v>1676.2700000000002</v>
      </c>
      <c r="AE59">
        <v>0</v>
      </c>
      <c r="AF59">
        <v>6628.7399999999943</v>
      </c>
      <c r="AG59">
        <v>6772.7399999999952</v>
      </c>
      <c r="AH59">
        <v>144.00000000000003</v>
      </c>
      <c r="AI59">
        <v>-682.11000000000047</v>
      </c>
      <c r="AJ59">
        <v>0</v>
      </c>
      <c r="AK59">
        <v>682.11000000000047</v>
      </c>
      <c r="AL59">
        <v>7310.8500000000022</v>
      </c>
      <c r="AM59">
        <v>6772.7399999999952</v>
      </c>
      <c r="AN59">
        <v>-538.11000000000013</v>
      </c>
      <c r="AO59">
        <v>133</v>
      </c>
    </row>
    <row r="60" spans="1:41" x14ac:dyDescent="0.35">
      <c r="A60">
        <v>2024</v>
      </c>
      <c r="B60">
        <v>7</v>
      </c>
      <c r="C60">
        <v>28</v>
      </c>
      <c r="D60" s="14">
        <v>45482</v>
      </c>
      <c r="E60" t="s">
        <v>44</v>
      </c>
      <c r="F60" t="s">
        <v>42</v>
      </c>
      <c r="G60" t="s">
        <v>46</v>
      </c>
      <c r="H60">
        <v>18065.86</v>
      </c>
      <c r="I60">
        <v>18065.86</v>
      </c>
      <c r="J60">
        <v>0</v>
      </c>
      <c r="K60">
        <v>90.469999999999928</v>
      </c>
      <c r="L60">
        <v>90.469999999999928</v>
      </c>
      <c r="M60">
        <v>0</v>
      </c>
      <c r="N60">
        <v>429.74000000000012</v>
      </c>
      <c r="O60">
        <v>429.74000000000012</v>
      </c>
      <c r="P60">
        <v>0</v>
      </c>
      <c r="Q60">
        <v>-6191.86</v>
      </c>
      <c r="R60">
        <v>-6056.86</v>
      </c>
      <c r="S60">
        <v>135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12394.209999999988</v>
      </c>
      <c r="AA60">
        <v>12529.20999999999</v>
      </c>
      <c r="AB60">
        <v>135</v>
      </c>
      <c r="AC60">
        <v>3756.1900000000037</v>
      </c>
      <c r="AD60">
        <v>2079.9200000000005</v>
      </c>
      <c r="AE60">
        <v>-1676.2700000000009</v>
      </c>
      <c r="AF60">
        <v>8638.0199999999895</v>
      </c>
      <c r="AG60">
        <v>10449.28999999999</v>
      </c>
      <c r="AH60">
        <v>1811.2700000000009</v>
      </c>
      <c r="AI60">
        <v>-865.96000000000015</v>
      </c>
      <c r="AJ60">
        <v>0</v>
      </c>
      <c r="AK60">
        <v>865.96000000000015</v>
      </c>
      <c r="AL60">
        <v>9503.9800000000014</v>
      </c>
      <c r="AM60">
        <v>10449.28999999999</v>
      </c>
      <c r="AN60">
        <v>945.30999999999949</v>
      </c>
      <c r="AO60">
        <v>202</v>
      </c>
    </row>
    <row r="61" spans="1:41" x14ac:dyDescent="0.35">
      <c r="A61">
        <v>2024</v>
      </c>
      <c r="B61">
        <v>7</v>
      </c>
      <c r="C61">
        <v>28</v>
      </c>
      <c r="D61" s="14">
        <v>45483</v>
      </c>
      <c r="E61" t="s">
        <v>44</v>
      </c>
      <c r="F61" t="s">
        <v>42</v>
      </c>
      <c r="G61" t="s">
        <v>46</v>
      </c>
      <c r="H61">
        <v>34023.65</v>
      </c>
      <c r="I61">
        <v>34023.65</v>
      </c>
      <c r="J61">
        <v>0</v>
      </c>
      <c r="K61">
        <v>159.26999999999995</v>
      </c>
      <c r="L61">
        <v>159.26999999999995</v>
      </c>
      <c r="M61">
        <v>0</v>
      </c>
      <c r="N61">
        <v>828.49000000000035</v>
      </c>
      <c r="O61">
        <v>828.49000000000035</v>
      </c>
      <c r="P61">
        <v>0</v>
      </c>
      <c r="Q61">
        <v>-11355.7</v>
      </c>
      <c r="R61">
        <v>-11130.7</v>
      </c>
      <c r="S61">
        <v>225</v>
      </c>
      <c r="T61">
        <v>0</v>
      </c>
      <c r="U61">
        <v>0</v>
      </c>
      <c r="V61">
        <v>0</v>
      </c>
      <c r="W61">
        <v>-19.5</v>
      </c>
      <c r="X61">
        <v>-19.5</v>
      </c>
      <c r="Y61">
        <v>0</v>
      </c>
      <c r="Z61">
        <v>23636.209999999995</v>
      </c>
      <c r="AA61">
        <v>23861.209999999995</v>
      </c>
      <c r="AB61">
        <v>225</v>
      </c>
      <c r="AC61">
        <v>7396.2600000000093</v>
      </c>
      <c r="AD61">
        <v>5428.3100000000059</v>
      </c>
      <c r="AE61">
        <v>-1967.950000000001</v>
      </c>
      <c r="AF61">
        <v>16239.950000000006</v>
      </c>
      <c r="AG61">
        <v>18432.900000000001</v>
      </c>
      <c r="AH61">
        <v>2192.9500000000007</v>
      </c>
      <c r="AI61">
        <v>-1993.7099999999987</v>
      </c>
      <c r="AJ61">
        <v>0</v>
      </c>
      <c r="AK61">
        <v>1993.7099999999987</v>
      </c>
      <c r="AL61">
        <v>18233.660000000014</v>
      </c>
      <c r="AM61">
        <v>18432.900000000001</v>
      </c>
      <c r="AN61">
        <v>199.23999999999992</v>
      </c>
      <c r="AO61">
        <v>391</v>
      </c>
    </row>
    <row r="62" spans="1:41" x14ac:dyDescent="0.35">
      <c r="A62">
        <v>2024</v>
      </c>
      <c r="B62">
        <v>7</v>
      </c>
      <c r="C62">
        <v>28</v>
      </c>
      <c r="D62" s="14">
        <v>45484</v>
      </c>
      <c r="E62" t="s">
        <v>44</v>
      </c>
      <c r="F62" t="s">
        <v>42</v>
      </c>
      <c r="G62" t="s">
        <v>46</v>
      </c>
      <c r="H62">
        <v>43397.62</v>
      </c>
      <c r="I62">
        <v>43397.62</v>
      </c>
      <c r="J62">
        <v>0</v>
      </c>
      <c r="K62">
        <v>251.56</v>
      </c>
      <c r="L62">
        <v>251.56</v>
      </c>
      <c r="M62">
        <v>0</v>
      </c>
      <c r="N62">
        <v>1017.3600000000005</v>
      </c>
      <c r="O62">
        <v>1017.3600000000005</v>
      </c>
      <c r="P62">
        <v>0</v>
      </c>
      <c r="Q62">
        <v>-13554.57</v>
      </c>
      <c r="R62">
        <v>-13370.57</v>
      </c>
      <c r="S62">
        <v>184</v>
      </c>
      <c r="T62">
        <v>0</v>
      </c>
      <c r="U62">
        <v>0</v>
      </c>
      <c r="V62">
        <v>0</v>
      </c>
      <c r="W62">
        <v>-24.5</v>
      </c>
      <c r="X62">
        <v>-24.5</v>
      </c>
      <c r="Y62">
        <v>0</v>
      </c>
      <c r="Z62">
        <v>31087.469999999998</v>
      </c>
      <c r="AA62">
        <v>31271.469999999998</v>
      </c>
      <c r="AB62">
        <v>184</v>
      </c>
      <c r="AC62">
        <v>10788.069999999985</v>
      </c>
      <c r="AD62">
        <v>5566.0200000000068</v>
      </c>
      <c r="AE62">
        <v>-5222.0500000000047</v>
      </c>
      <c r="AF62">
        <v>20299.400000000009</v>
      </c>
      <c r="AG62">
        <v>25705.450000000015</v>
      </c>
      <c r="AH62">
        <v>5406.0500000000056</v>
      </c>
      <c r="AI62">
        <v>-1464.059999999999</v>
      </c>
      <c r="AJ62">
        <v>0</v>
      </c>
      <c r="AK62">
        <v>1464.059999999999</v>
      </c>
      <c r="AL62">
        <v>21763.459999999992</v>
      </c>
      <c r="AM62">
        <v>25705.450000000015</v>
      </c>
      <c r="AN62">
        <v>3941.9900000000066</v>
      </c>
      <c r="AO62">
        <v>521</v>
      </c>
    </row>
    <row r="63" spans="1:41" x14ac:dyDescent="0.35">
      <c r="A63">
        <v>2024</v>
      </c>
      <c r="B63">
        <v>7</v>
      </c>
      <c r="C63">
        <v>28</v>
      </c>
      <c r="D63" s="14">
        <v>45485</v>
      </c>
      <c r="E63" t="s">
        <v>44</v>
      </c>
      <c r="F63" t="s">
        <v>42</v>
      </c>
      <c r="G63" t="s">
        <v>46</v>
      </c>
      <c r="H63">
        <v>45164.76</v>
      </c>
      <c r="I63">
        <v>45164.76</v>
      </c>
      <c r="J63">
        <v>0</v>
      </c>
      <c r="K63">
        <v>327.00999999999976</v>
      </c>
      <c r="L63">
        <v>327.00999999999976</v>
      </c>
      <c r="M63">
        <v>0</v>
      </c>
      <c r="N63">
        <v>1183.2200000000005</v>
      </c>
      <c r="O63">
        <v>1183.2200000000005</v>
      </c>
      <c r="P63">
        <v>0</v>
      </c>
      <c r="Q63">
        <v>-14568.510000000002</v>
      </c>
      <c r="R63">
        <v>-14315.510000000002</v>
      </c>
      <c r="S63">
        <v>253</v>
      </c>
      <c r="T63">
        <v>-0.23</v>
      </c>
      <c r="U63">
        <v>-0.23</v>
      </c>
      <c r="V63">
        <v>0</v>
      </c>
      <c r="W63">
        <v>-15</v>
      </c>
      <c r="X63">
        <v>-15</v>
      </c>
      <c r="Y63">
        <v>0</v>
      </c>
      <c r="Z63">
        <v>32091.250000000029</v>
      </c>
      <c r="AA63">
        <v>32344.250000000029</v>
      </c>
      <c r="AB63">
        <v>253</v>
      </c>
      <c r="AC63">
        <v>10828.919999999991</v>
      </c>
      <c r="AD63">
        <v>5476.0000000000064</v>
      </c>
      <c r="AE63">
        <v>-5352.9200000000055</v>
      </c>
      <c r="AF63">
        <v>21262.330000000042</v>
      </c>
      <c r="AG63">
        <v>26868.250000000051</v>
      </c>
      <c r="AH63">
        <v>5605.9200000000055</v>
      </c>
      <c r="AI63">
        <v>-1349.0999999999988</v>
      </c>
      <c r="AJ63">
        <v>0</v>
      </c>
      <c r="AK63">
        <v>1349.0999999999988</v>
      </c>
      <c r="AL63">
        <v>22611.430000000022</v>
      </c>
      <c r="AM63">
        <v>26868.250000000051</v>
      </c>
      <c r="AN63">
        <v>4256.8200000000033</v>
      </c>
      <c r="AO63">
        <v>535</v>
      </c>
    </row>
    <row r="64" spans="1:41" x14ac:dyDescent="0.35">
      <c r="A64">
        <v>2024</v>
      </c>
      <c r="B64">
        <v>7</v>
      </c>
      <c r="C64">
        <v>28</v>
      </c>
      <c r="D64" s="14">
        <v>45486</v>
      </c>
      <c r="E64" t="s">
        <v>44</v>
      </c>
      <c r="F64" t="s">
        <v>42</v>
      </c>
      <c r="G64" t="s">
        <v>46</v>
      </c>
      <c r="H64">
        <v>44561.58</v>
      </c>
      <c r="I64">
        <v>44561.58</v>
      </c>
      <c r="J64">
        <v>0</v>
      </c>
      <c r="K64">
        <v>244.82000000000008</v>
      </c>
      <c r="L64">
        <v>244.82000000000008</v>
      </c>
      <c r="M64">
        <v>0</v>
      </c>
      <c r="N64">
        <v>1167.2600000000004</v>
      </c>
      <c r="O64">
        <v>1167.2600000000004</v>
      </c>
      <c r="P64">
        <v>0</v>
      </c>
      <c r="Q64">
        <v>-14771.950000000003</v>
      </c>
      <c r="R64">
        <v>-14491.700000000003</v>
      </c>
      <c r="S64">
        <v>280.25</v>
      </c>
      <c r="T64">
        <v>-1.1700000000000002</v>
      </c>
      <c r="U64">
        <v>-1.1700000000000002</v>
      </c>
      <c r="V64">
        <v>0</v>
      </c>
      <c r="W64">
        <v>-15</v>
      </c>
      <c r="X64">
        <v>-15</v>
      </c>
      <c r="Y64">
        <v>0</v>
      </c>
      <c r="Z64">
        <v>31185.540000000012</v>
      </c>
      <c r="AA64">
        <v>31465.790000000012</v>
      </c>
      <c r="AB64">
        <v>280.25</v>
      </c>
      <c r="AC64">
        <v>11166.709999999983</v>
      </c>
      <c r="AD64">
        <v>5770.5900000000047</v>
      </c>
      <c r="AE64">
        <v>-5396.1200000000063</v>
      </c>
      <c r="AF64">
        <v>20018.830000000024</v>
      </c>
      <c r="AG64">
        <v>25695.200000000008</v>
      </c>
      <c r="AH64">
        <v>5676.3700000000063</v>
      </c>
      <c r="AI64">
        <v>-1976.3999999999994</v>
      </c>
      <c r="AJ64">
        <v>0</v>
      </c>
      <c r="AK64">
        <v>1976.3999999999994</v>
      </c>
      <c r="AL64">
        <v>21995.23000000001</v>
      </c>
      <c r="AM64">
        <v>25695.200000000008</v>
      </c>
      <c r="AN64">
        <v>3699.9700000000021</v>
      </c>
      <c r="AO64">
        <v>516</v>
      </c>
    </row>
    <row r="65" spans="1:41" x14ac:dyDescent="0.35">
      <c r="A65">
        <v>2024</v>
      </c>
      <c r="B65">
        <v>7</v>
      </c>
      <c r="C65">
        <v>28</v>
      </c>
      <c r="D65" s="14">
        <v>45480</v>
      </c>
      <c r="E65" t="s">
        <v>44</v>
      </c>
      <c r="F65" t="s">
        <v>47</v>
      </c>
      <c r="G65" t="s">
        <v>48</v>
      </c>
      <c r="H65">
        <v>9843.7999999999975</v>
      </c>
      <c r="I65">
        <v>9843.7999999999975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-3562.900000000001</v>
      </c>
      <c r="R65">
        <v>-3562.900000000001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6280.9</v>
      </c>
      <c r="AA65">
        <v>6280.9</v>
      </c>
      <c r="AB65">
        <v>0</v>
      </c>
      <c r="AE65">
        <v>0</v>
      </c>
      <c r="AF65">
        <v>6280.9</v>
      </c>
      <c r="AG65">
        <v>6280.9</v>
      </c>
      <c r="AH65">
        <v>0</v>
      </c>
      <c r="AI65">
        <v>1675.5800000000006</v>
      </c>
      <c r="AJ65">
        <v>0</v>
      </c>
      <c r="AK65">
        <v>-1675.5800000000006</v>
      </c>
      <c r="AL65">
        <v>4605.3200000000033</v>
      </c>
      <c r="AM65">
        <v>6280.9</v>
      </c>
      <c r="AN65">
        <v>1675.5800000000008</v>
      </c>
      <c r="AO65">
        <v>146</v>
      </c>
    </row>
    <row r="66" spans="1:41" x14ac:dyDescent="0.35">
      <c r="A66">
        <v>2024</v>
      </c>
      <c r="B66">
        <v>7</v>
      </c>
      <c r="C66">
        <v>28</v>
      </c>
      <c r="D66" s="14">
        <v>45481</v>
      </c>
      <c r="E66" t="s">
        <v>44</v>
      </c>
      <c r="F66" t="s">
        <v>47</v>
      </c>
      <c r="G66" t="s">
        <v>48</v>
      </c>
      <c r="H66">
        <v>4622.7000000000007</v>
      </c>
      <c r="I66">
        <v>4622.7000000000007</v>
      </c>
      <c r="J66">
        <v>0</v>
      </c>
      <c r="K66">
        <v>30</v>
      </c>
      <c r="L66">
        <v>30</v>
      </c>
      <c r="M66">
        <v>0</v>
      </c>
      <c r="N66">
        <v>0</v>
      </c>
      <c r="O66">
        <v>0</v>
      </c>
      <c r="P66">
        <v>0</v>
      </c>
      <c r="Q66">
        <v>-1197.2500000000007</v>
      </c>
      <c r="R66">
        <v>-1089.2500000000005</v>
      </c>
      <c r="S66">
        <v>108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3455.4500000000025</v>
      </c>
      <c r="AA66">
        <v>3563.4500000000025</v>
      </c>
      <c r="AB66">
        <v>108</v>
      </c>
      <c r="AE66">
        <v>0</v>
      </c>
      <c r="AF66">
        <v>3455.4500000000025</v>
      </c>
      <c r="AG66">
        <v>3563.4500000000025</v>
      </c>
      <c r="AH66">
        <v>108</v>
      </c>
      <c r="AI66">
        <v>1284.53</v>
      </c>
      <c r="AJ66">
        <v>0</v>
      </c>
      <c r="AK66">
        <v>-1284.53</v>
      </c>
      <c r="AL66">
        <v>2170.9199999999992</v>
      </c>
      <c r="AM66">
        <v>3563.4500000000025</v>
      </c>
      <c r="AN66">
        <v>1392.5300000000002</v>
      </c>
      <c r="AO66">
        <v>79</v>
      </c>
    </row>
    <row r="67" spans="1:41" x14ac:dyDescent="0.35">
      <c r="A67">
        <v>2024</v>
      </c>
      <c r="B67">
        <v>7</v>
      </c>
      <c r="C67">
        <v>28</v>
      </c>
      <c r="D67" s="14">
        <v>45482</v>
      </c>
      <c r="E67" t="s">
        <v>44</v>
      </c>
      <c r="F67" t="s">
        <v>47</v>
      </c>
      <c r="G67" t="s">
        <v>48</v>
      </c>
      <c r="H67">
        <v>224.25000000000003</v>
      </c>
      <c r="I67">
        <v>224.25000000000003</v>
      </c>
      <c r="J67">
        <v>0</v>
      </c>
      <c r="K67">
        <v>61.86</v>
      </c>
      <c r="L67">
        <v>61.86</v>
      </c>
      <c r="M67">
        <v>0</v>
      </c>
      <c r="N67">
        <v>0</v>
      </c>
      <c r="O67">
        <v>0</v>
      </c>
      <c r="P67">
        <v>0</v>
      </c>
      <c r="Q67">
        <v>-41.6</v>
      </c>
      <c r="R67">
        <v>-41.6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244.51000000000005</v>
      </c>
      <c r="AA67">
        <v>244.51000000000005</v>
      </c>
      <c r="AB67">
        <v>0</v>
      </c>
      <c r="AC67">
        <v>32.380000000000003</v>
      </c>
      <c r="AD67">
        <v>32.380000000000003</v>
      </c>
      <c r="AE67">
        <v>0</v>
      </c>
      <c r="AF67">
        <v>212.13000000000005</v>
      </c>
      <c r="AG67">
        <v>212.13000000000005</v>
      </c>
      <c r="AH67">
        <v>0</v>
      </c>
      <c r="AI67">
        <v>64.92</v>
      </c>
      <c r="AJ67">
        <v>0</v>
      </c>
      <c r="AK67">
        <v>-64.92</v>
      </c>
      <c r="AL67">
        <v>147.21</v>
      </c>
      <c r="AM67">
        <v>212.13000000000005</v>
      </c>
      <c r="AN67">
        <v>64.92</v>
      </c>
      <c r="AO67">
        <v>7</v>
      </c>
    </row>
    <row r="68" spans="1:41" x14ac:dyDescent="0.35">
      <c r="A68">
        <v>2024</v>
      </c>
      <c r="B68">
        <v>7</v>
      </c>
      <c r="C68">
        <v>28</v>
      </c>
      <c r="D68" s="14">
        <v>45483</v>
      </c>
      <c r="E68" t="s">
        <v>44</v>
      </c>
      <c r="F68" t="s">
        <v>47</v>
      </c>
      <c r="G68" t="s">
        <v>48</v>
      </c>
      <c r="H68">
        <v>5338.8000000000093</v>
      </c>
      <c r="I68">
        <v>5338.8000000000093</v>
      </c>
      <c r="J68">
        <v>0</v>
      </c>
      <c r="K68">
        <v>744.23000000000025</v>
      </c>
      <c r="L68">
        <v>713.5300000000002</v>
      </c>
      <c r="M68">
        <v>-30.7</v>
      </c>
      <c r="N68">
        <v>15.99</v>
      </c>
      <c r="O68">
        <v>15.99</v>
      </c>
      <c r="P68">
        <v>0</v>
      </c>
      <c r="Q68">
        <v>-311.95</v>
      </c>
      <c r="R68">
        <v>-311.95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5787.0700000000097</v>
      </c>
      <c r="AA68">
        <v>5756.3700000000099</v>
      </c>
      <c r="AB68">
        <v>-30.7</v>
      </c>
      <c r="AC68">
        <v>83.88</v>
      </c>
      <c r="AD68">
        <v>51.5</v>
      </c>
      <c r="AE68">
        <v>-32.380000000000003</v>
      </c>
      <c r="AF68">
        <v>5703.1900000000096</v>
      </c>
      <c r="AG68">
        <v>5704.8700000000099</v>
      </c>
      <c r="AH68">
        <v>1.6800000000000033</v>
      </c>
      <c r="AI68">
        <v>1929.9699999999984</v>
      </c>
      <c r="AJ68">
        <v>0</v>
      </c>
      <c r="AK68">
        <v>-1929.9699999999984</v>
      </c>
      <c r="AL68">
        <v>3773.2199999999975</v>
      </c>
      <c r="AM68">
        <v>5704.8700000000099</v>
      </c>
      <c r="AN68">
        <v>1931.6499999999985</v>
      </c>
      <c r="AO68">
        <v>214</v>
      </c>
    </row>
    <row r="69" spans="1:41" x14ac:dyDescent="0.35">
      <c r="A69">
        <v>2024</v>
      </c>
      <c r="B69">
        <v>7</v>
      </c>
      <c r="C69">
        <v>28</v>
      </c>
      <c r="D69" s="14">
        <v>45484</v>
      </c>
      <c r="E69" t="s">
        <v>44</v>
      </c>
      <c r="F69" t="s">
        <v>47</v>
      </c>
      <c r="G69" t="s">
        <v>48</v>
      </c>
      <c r="H69">
        <v>17610.449999999917</v>
      </c>
      <c r="I69">
        <v>17610.449999999917</v>
      </c>
      <c r="J69">
        <v>0</v>
      </c>
      <c r="K69">
        <v>1019.6000000000004</v>
      </c>
      <c r="L69">
        <v>1019.6000000000004</v>
      </c>
      <c r="M69">
        <v>0</v>
      </c>
      <c r="N69">
        <v>15.99</v>
      </c>
      <c r="O69">
        <v>15.99</v>
      </c>
      <c r="P69">
        <v>0</v>
      </c>
      <c r="Q69">
        <v>-5528.2499999999936</v>
      </c>
      <c r="R69">
        <v>-5495.2499999999936</v>
      </c>
      <c r="S69">
        <v>33</v>
      </c>
      <c r="T69">
        <v>-29.700000000000003</v>
      </c>
      <c r="U69">
        <v>-29.700000000000003</v>
      </c>
      <c r="V69">
        <v>0</v>
      </c>
      <c r="W69">
        <v>0</v>
      </c>
      <c r="X69">
        <v>0</v>
      </c>
      <c r="Y69">
        <v>0</v>
      </c>
      <c r="Z69">
        <v>13088.089999999942</v>
      </c>
      <c r="AA69">
        <v>13121.089999999942</v>
      </c>
      <c r="AB69">
        <v>33</v>
      </c>
      <c r="AC69">
        <v>128.75</v>
      </c>
      <c r="AD69">
        <v>77.25</v>
      </c>
      <c r="AE69">
        <v>-51.5</v>
      </c>
      <c r="AF69">
        <v>12959.339999999944</v>
      </c>
      <c r="AG69">
        <v>13043.839999999944</v>
      </c>
      <c r="AH69">
        <v>84.5</v>
      </c>
      <c r="AI69">
        <v>4311.45</v>
      </c>
      <c r="AJ69">
        <v>0</v>
      </c>
      <c r="AK69">
        <v>-4311.45</v>
      </c>
      <c r="AL69">
        <v>8647.8899999999776</v>
      </c>
      <c r="AM69">
        <v>13043.839999999944</v>
      </c>
      <c r="AN69">
        <v>4395.9500000000007</v>
      </c>
      <c r="AO69">
        <v>340</v>
      </c>
    </row>
    <row r="70" spans="1:41" x14ac:dyDescent="0.35">
      <c r="A70">
        <v>2024</v>
      </c>
      <c r="B70">
        <v>7</v>
      </c>
      <c r="C70">
        <v>28</v>
      </c>
      <c r="D70" s="14">
        <v>45485</v>
      </c>
      <c r="E70" t="s">
        <v>44</v>
      </c>
      <c r="F70" t="s">
        <v>47</v>
      </c>
      <c r="G70" t="s">
        <v>48</v>
      </c>
      <c r="H70">
        <v>19693.199999999986</v>
      </c>
      <c r="I70">
        <v>19693.199999999986</v>
      </c>
      <c r="J70">
        <v>0</v>
      </c>
      <c r="K70">
        <v>580.95000000000005</v>
      </c>
      <c r="L70">
        <v>580.95000000000005</v>
      </c>
      <c r="M70">
        <v>0</v>
      </c>
      <c r="N70">
        <v>15.99</v>
      </c>
      <c r="O70">
        <v>15.99</v>
      </c>
      <c r="P70">
        <v>0</v>
      </c>
      <c r="Q70">
        <v>-8469.2999999999665</v>
      </c>
      <c r="R70">
        <v>-8469.2999999999665</v>
      </c>
      <c r="S70">
        <v>0</v>
      </c>
      <c r="T70">
        <v>-24.33</v>
      </c>
      <c r="U70">
        <v>-24.33</v>
      </c>
      <c r="V70">
        <v>0</v>
      </c>
      <c r="W70">
        <v>0</v>
      </c>
      <c r="X70">
        <v>0</v>
      </c>
      <c r="Y70">
        <v>0</v>
      </c>
      <c r="Z70">
        <v>11796.510000000057</v>
      </c>
      <c r="AA70">
        <v>11796.510000000057</v>
      </c>
      <c r="AB70">
        <v>0</v>
      </c>
      <c r="AC70">
        <v>143.09</v>
      </c>
      <c r="AD70">
        <v>65.84</v>
      </c>
      <c r="AE70">
        <v>-77.25</v>
      </c>
      <c r="AF70">
        <v>11653.420000000055</v>
      </c>
      <c r="AG70">
        <v>11730.670000000055</v>
      </c>
      <c r="AH70">
        <v>77.25</v>
      </c>
      <c r="AI70">
        <v>3722.7399999999934</v>
      </c>
      <c r="AJ70">
        <v>0</v>
      </c>
      <c r="AK70">
        <v>-3722.7399999999934</v>
      </c>
      <c r="AL70">
        <v>7930.680000000043</v>
      </c>
      <c r="AM70">
        <v>11730.670000000055</v>
      </c>
      <c r="AN70">
        <v>3799.9899999999939</v>
      </c>
      <c r="AO70">
        <v>374</v>
      </c>
    </row>
    <row r="71" spans="1:41" x14ac:dyDescent="0.35">
      <c r="A71">
        <v>2024</v>
      </c>
      <c r="B71">
        <v>7</v>
      </c>
      <c r="C71">
        <v>28</v>
      </c>
      <c r="D71" s="14">
        <v>45486</v>
      </c>
      <c r="E71" t="s">
        <v>44</v>
      </c>
      <c r="F71" t="s">
        <v>47</v>
      </c>
      <c r="G71" t="s">
        <v>48</v>
      </c>
      <c r="H71">
        <v>10736.299999999996</v>
      </c>
      <c r="I71">
        <v>10736.299999999996</v>
      </c>
      <c r="J71">
        <v>0</v>
      </c>
      <c r="K71">
        <v>329.26</v>
      </c>
      <c r="L71">
        <v>329.26</v>
      </c>
      <c r="M71">
        <v>0</v>
      </c>
      <c r="N71">
        <v>107.92999999999999</v>
      </c>
      <c r="O71">
        <v>107.92999999999999</v>
      </c>
      <c r="P71">
        <v>0</v>
      </c>
      <c r="Q71">
        <v>-2848.2999999999988</v>
      </c>
      <c r="R71">
        <v>-2848.2999999999988</v>
      </c>
      <c r="S71">
        <v>0</v>
      </c>
      <c r="T71">
        <v>-8.8000000000000007</v>
      </c>
      <c r="U71">
        <v>-8.8000000000000007</v>
      </c>
      <c r="V71">
        <v>0</v>
      </c>
      <c r="W71">
        <v>-5</v>
      </c>
      <c r="X71">
        <v>-5</v>
      </c>
      <c r="Y71">
        <v>0</v>
      </c>
      <c r="Z71">
        <v>8311.3900000000067</v>
      </c>
      <c r="AA71">
        <v>8311.3900000000067</v>
      </c>
      <c r="AB71">
        <v>0</v>
      </c>
      <c r="AC71">
        <v>65.84</v>
      </c>
      <c r="AE71">
        <v>-65.84</v>
      </c>
      <c r="AF71">
        <v>8245.5500000000065</v>
      </c>
      <c r="AG71">
        <v>8311.3900000000067</v>
      </c>
      <c r="AH71">
        <v>65.84</v>
      </c>
      <c r="AI71">
        <v>2696.559999999999</v>
      </c>
      <c r="AJ71">
        <v>0</v>
      </c>
      <c r="AK71">
        <v>-2696.559999999999</v>
      </c>
      <c r="AL71">
        <v>5548.9899999999971</v>
      </c>
      <c r="AM71">
        <v>8311.3900000000067</v>
      </c>
      <c r="AN71">
        <v>2762.3999999999987</v>
      </c>
      <c r="AO71">
        <v>203</v>
      </c>
    </row>
    <row r="72" spans="1:41" x14ac:dyDescent="0.35">
      <c r="A72">
        <v>2024</v>
      </c>
      <c r="B72">
        <v>7</v>
      </c>
      <c r="C72">
        <v>28</v>
      </c>
      <c r="D72" s="14">
        <v>45480</v>
      </c>
      <c r="E72" t="s">
        <v>44</v>
      </c>
      <c r="F72" t="s">
        <v>47</v>
      </c>
      <c r="G72" t="s">
        <v>49</v>
      </c>
      <c r="H72">
        <v>8124</v>
      </c>
      <c r="I72">
        <v>8124</v>
      </c>
      <c r="J72">
        <v>0</v>
      </c>
      <c r="K72">
        <v>12.96</v>
      </c>
      <c r="L72">
        <v>12.96</v>
      </c>
      <c r="M72">
        <v>0</v>
      </c>
      <c r="N72">
        <v>50.970000000000006</v>
      </c>
      <c r="O72">
        <v>50.970000000000006</v>
      </c>
      <c r="P72">
        <v>0</v>
      </c>
      <c r="Q72">
        <v>-3039.9999999999991</v>
      </c>
      <c r="R72">
        <v>-3028.9999999999991</v>
      </c>
      <c r="S72">
        <v>11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5147.9300000000012</v>
      </c>
      <c r="AA72">
        <v>5158.9300000000012</v>
      </c>
      <c r="AB72">
        <v>11</v>
      </c>
      <c r="AC72">
        <v>394.88</v>
      </c>
      <c r="AD72">
        <v>15.42</v>
      </c>
      <c r="AE72">
        <v>-379.46</v>
      </c>
      <c r="AF72">
        <v>4753.0500000000029</v>
      </c>
      <c r="AG72">
        <v>5143.510000000002</v>
      </c>
      <c r="AH72">
        <v>390.45999999999987</v>
      </c>
      <c r="AI72">
        <v>768.55999999999915</v>
      </c>
      <c r="AJ72">
        <v>-346.99999999999994</v>
      </c>
      <c r="AK72">
        <v>-1115.5599999999993</v>
      </c>
      <c r="AL72">
        <v>3984.4900000000039</v>
      </c>
      <c r="AM72">
        <v>5490.5099999999975</v>
      </c>
      <c r="AN72">
        <v>1506.0199999999986</v>
      </c>
      <c r="AO72">
        <v>113</v>
      </c>
    </row>
    <row r="73" spans="1:41" x14ac:dyDescent="0.35">
      <c r="A73">
        <v>2024</v>
      </c>
      <c r="B73">
        <v>7</v>
      </c>
      <c r="C73">
        <v>28</v>
      </c>
      <c r="D73" s="14">
        <v>45481</v>
      </c>
      <c r="E73" t="s">
        <v>44</v>
      </c>
      <c r="F73" t="s">
        <v>47</v>
      </c>
      <c r="G73" t="s">
        <v>49</v>
      </c>
      <c r="H73">
        <v>5422</v>
      </c>
      <c r="I73">
        <v>5422</v>
      </c>
      <c r="J73">
        <v>0</v>
      </c>
      <c r="K73">
        <v>13.91</v>
      </c>
      <c r="L73">
        <v>13.91</v>
      </c>
      <c r="M73">
        <v>0</v>
      </c>
      <c r="N73">
        <v>15.99</v>
      </c>
      <c r="O73">
        <v>15.99</v>
      </c>
      <c r="P73">
        <v>0</v>
      </c>
      <c r="Q73">
        <v>-1671.2500000000007</v>
      </c>
      <c r="R73">
        <v>-1671.2500000000007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3780.6499999999992</v>
      </c>
      <c r="AA73">
        <v>3780.6499999999992</v>
      </c>
      <c r="AB73">
        <v>0</v>
      </c>
      <c r="AC73">
        <v>96.72</v>
      </c>
      <c r="AD73">
        <v>81.300000000000011</v>
      </c>
      <c r="AE73">
        <v>-15.42</v>
      </c>
      <c r="AF73">
        <v>3683.9299999999989</v>
      </c>
      <c r="AG73">
        <v>3699.349999999999</v>
      </c>
      <c r="AH73">
        <v>15.42</v>
      </c>
      <c r="AI73">
        <v>1276.8300000000004</v>
      </c>
      <c r="AJ73">
        <v>0</v>
      </c>
      <c r="AK73">
        <v>-1276.8300000000004</v>
      </c>
      <c r="AL73">
        <v>2407.1000000000004</v>
      </c>
      <c r="AM73">
        <v>3699.349999999999</v>
      </c>
      <c r="AN73">
        <v>1292.2499999999995</v>
      </c>
      <c r="AO73">
        <v>77</v>
      </c>
    </row>
    <row r="74" spans="1:41" x14ac:dyDescent="0.35">
      <c r="A74">
        <v>2024</v>
      </c>
      <c r="B74">
        <v>7</v>
      </c>
      <c r="C74">
        <v>28</v>
      </c>
      <c r="D74" s="14">
        <v>45482</v>
      </c>
      <c r="E74" t="s">
        <v>44</v>
      </c>
      <c r="F74" t="s">
        <v>47</v>
      </c>
      <c r="G74" t="s">
        <v>49</v>
      </c>
      <c r="H74">
        <v>784</v>
      </c>
      <c r="I74">
        <v>784</v>
      </c>
      <c r="J74">
        <v>0</v>
      </c>
      <c r="K74">
        <v>25.92</v>
      </c>
      <c r="L74">
        <v>25.92</v>
      </c>
      <c r="M74">
        <v>0</v>
      </c>
      <c r="N74">
        <v>18.990000000000002</v>
      </c>
      <c r="O74">
        <v>18.990000000000002</v>
      </c>
      <c r="P74">
        <v>0</v>
      </c>
      <c r="Q74">
        <v>-332.9</v>
      </c>
      <c r="R74">
        <v>-332.9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496.01</v>
      </c>
      <c r="AA74">
        <v>496.01</v>
      </c>
      <c r="AB74">
        <v>0</v>
      </c>
      <c r="AC74">
        <v>147.93</v>
      </c>
      <c r="AD74">
        <v>66.63</v>
      </c>
      <c r="AE74">
        <v>-81.300000000000011</v>
      </c>
      <c r="AF74">
        <v>348.08000000000004</v>
      </c>
      <c r="AG74">
        <v>429.38</v>
      </c>
      <c r="AH74">
        <v>81.300000000000011</v>
      </c>
      <c r="AI74">
        <v>-29.799999999999997</v>
      </c>
      <c r="AJ74">
        <v>0</v>
      </c>
      <c r="AK74">
        <v>29.799999999999997</v>
      </c>
      <c r="AL74">
        <v>377.88</v>
      </c>
      <c r="AM74">
        <v>429.38</v>
      </c>
      <c r="AN74">
        <v>51.500000000000007</v>
      </c>
      <c r="AO74">
        <v>8</v>
      </c>
    </row>
    <row r="75" spans="1:41" x14ac:dyDescent="0.35">
      <c r="A75">
        <v>2024</v>
      </c>
      <c r="B75">
        <v>7</v>
      </c>
      <c r="C75">
        <v>28</v>
      </c>
      <c r="D75" s="14">
        <v>45483</v>
      </c>
      <c r="E75" t="s">
        <v>44</v>
      </c>
      <c r="F75" t="s">
        <v>47</v>
      </c>
      <c r="G75" t="s">
        <v>49</v>
      </c>
      <c r="H75">
        <v>4432.2500000000045</v>
      </c>
      <c r="I75">
        <v>4432.2500000000045</v>
      </c>
      <c r="J75">
        <v>0</v>
      </c>
      <c r="K75">
        <v>173.62</v>
      </c>
      <c r="L75">
        <v>173.62</v>
      </c>
      <c r="M75">
        <v>0</v>
      </c>
      <c r="N75">
        <v>278.85000000000008</v>
      </c>
      <c r="O75">
        <v>278.85000000000008</v>
      </c>
      <c r="P75">
        <v>0</v>
      </c>
      <c r="Q75">
        <v>-1462.2</v>
      </c>
      <c r="R75">
        <v>-1455.2</v>
      </c>
      <c r="S75">
        <v>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3422.5199999999995</v>
      </c>
      <c r="AA75">
        <v>3429.5199999999995</v>
      </c>
      <c r="AB75">
        <v>7</v>
      </c>
      <c r="AC75">
        <v>448.30999999999989</v>
      </c>
      <c r="AD75">
        <v>381.67999999999995</v>
      </c>
      <c r="AE75">
        <v>-66.63</v>
      </c>
      <c r="AF75">
        <v>2974.21</v>
      </c>
      <c r="AG75">
        <v>3047.84</v>
      </c>
      <c r="AH75">
        <v>73.63000000000001</v>
      </c>
      <c r="AI75">
        <v>-372.20000000000005</v>
      </c>
      <c r="AJ75">
        <v>0</v>
      </c>
      <c r="AK75">
        <v>372.20000000000005</v>
      </c>
      <c r="AL75">
        <v>3346.41</v>
      </c>
      <c r="AM75">
        <v>3047.84</v>
      </c>
      <c r="AN75">
        <v>-298.57000000000011</v>
      </c>
      <c r="AO75">
        <v>84</v>
      </c>
    </row>
    <row r="76" spans="1:41" x14ac:dyDescent="0.35">
      <c r="A76">
        <v>2024</v>
      </c>
      <c r="B76">
        <v>7</v>
      </c>
      <c r="C76">
        <v>28</v>
      </c>
      <c r="D76" s="14">
        <v>45484</v>
      </c>
      <c r="E76" t="s">
        <v>44</v>
      </c>
      <c r="F76" t="s">
        <v>47</v>
      </c>
      <c r="G76" t="s">
        <v>49</v>
      </c>
      <c r="H76">
        <v>9954.9500000000007</v>
      </c>
      <c r="I76">
        <v>9954.9500000000007</v>
      </c>
      <c r="J76">
        <v>0</v>
      </c>
      <c r="K76">
        <v>142.58000000000004</v>
      </c>
      <c r="L76">
        <v>142.58000000000004</v>
      </c>
      <c r="M76">
        <v>0</v>
      </c>
      <c r="N76">
        <v>272.85000000000008</v>
      </c>
      <c r="O76">
        <v>272.85000000000008</v>
      </c>
      <c r="P76">
        <v>0</v>
      </c>
      <c r="Q76">
        <v>-3721.9499999999971</v>
      </c>
      <c r="R76">
        <v>-3714.9499999999971</v>
      </c>
      <c r="S76">
        <v>7</v>
      </c>
      <c r="T76">
        <v>-16.600000000000001</v>
      </c>
      <c r="U76">
        <v>-16.600000000000001</v>
      </c>
      <c r="V76">
        <v>0</v>
      </c>
      <c r="W76">
        <v>0</v>
      </c>
      <c r="X76">
        <v>0</v>
      </c>
      <c r="Y76">
        <v>0</v>
      </c>
      <c r="Z76">
        <v>6631.8300000000036</v>
      </c>
      <c r="AA76">
        <v>6638.8300000000036</v>
      </c>
      <c r="AB76">
        <v>7</v>
      </c>
      <c r="AC76">
        <v>718.35999999999967</v>
      </c>
      <c r="AD76">
        <v>336.68</v>
      </c>
      <c r="AE76">
        <v>-381.68</v>
      </c>
      <c r="AF76">
        <v>5913.470000000003</v>
      </c>
      <c r="AG76">
        <v>6302.1500000000015</v>
      </c>
      <c r="AH76">
        <v>388.68000000000006</v>
      </c>
      <c r="AI76">
        <v>901.51</v>
      </c>
      <c r="AJ76">
        <v>0</v>
      </c>
      <c r="AK76">
        <v>-901.51</v>
      </c>
      <c r="AL76">
        <v>5011.96</v>
      </c>
      <c r="AM76">
        <v>6302.1500000000015</v>
      </c>
      <c r="AN76">
        <v>1290.1899999999982</v>
      </c>
      <c r="AO76">
        <v>126</v>
      </c>
    </row>
    <row r="77" spans="1:41" x14ac:dyDescent="0.35">
      <c r="A77">
        <v>2024</v>
      </c>
      <c r="B77">
        <v>7</v>
      </c>
      <c r="C77">
        <v>28</v>
      </c>
      <c r="D77" s="14">
        <v>45485</v>
      </c>
      <c r="E77" t="s">
        <v>44</v>
      </c>
      <c r="F77" t="s">
        <v>47</v>
      </c>
      <c r="G77" t="s">
        <v>49</v>
      </c>
      <c r="H77">
        <v>8850.2999999999993</v>
      </c>
      <c r="I77">
        <v>8850.2999999999993</v>
      </c>
      <c r="J77">
        <v>0</v>
      </c>
      <c r="K77">
        <v>213.20999999999995</v>
      </c>
      <c r="L77">
        <v>213.20999999999995</v>
      </c>
      <c r="M77">
        <v>0</v>
      </c>
      <c r="N77">
        <v>143.91</v>
      </c>
      <c r="O77">
        <v>143.91</v>
      </c>
      <c r="P77">
        <v>0</v>
      </c>
      <c r="Q77">
        <v>-2563.9999999999995</v>
      </c>
      <c r="R77">
        <v>-2563.9999999999995</v>
      </c>
      <c r="S77">
        <v>0</v>
      </c>
      <c r="T77">
        <v>-29</v>
      </c>
      <c r="U77">
        <v>-29</v>
      </c>
      <c r="V77">
        <v>0</v>
      </c>
      <c r="W77">
        <v>0</v>
      </c>
      <c r="X77">
        <v>0</v>
      </c>
      <c r="Y77">
        <v>0</v>
      </c>
      <c r="Z77">
        <v>6614.42</v>
      </c>
      <c r="AA77">
        <v>6614.42</v>
      </c>
      <c r="AB77">
        <v>0</v>
      </c>
      <c r="AC77">
        <v>530.15</v>
      </c>
      <c r="AD77">
        <v>200.64</v>
      </c>
      <c r="AE77">
        <v>-329.51</v>
      </c>
      <c r="AF77">
        <v>6084.2699999999995</v>
      </c>
      <c r="AG77">
        <v>6413.78</v>
      </c>
      <c r="AH77">
        <v>329.51</v>
      </c>
      <c r="AI77">
        <v>940.86000000000035</v>
      </c>
      <c r="AJ77">
        <v>0</v>
      </c>
      <c r="AK77">
        <v>-940.86000000000035</v>
      </c>
      <c r="AL77">
        <v>5143.4099999999989</v>
      </c>
      <c r="AM77">
        <v>6413.78</v>
      </c>
      <c r="AN77">
        <v>1270.3699999999999</v>
      </c>
      <c r="AO77">
        <v>122</v>
      </c>
    </row>
    <row r="78" spans="1:41" x14ac:dyDescent="0.35">
      <c r="A78">
        <v>2024</v>
      </c>
      <c r="B78">
        <v>7</v>
      </c>
      <c r="C78">
        <v>28</v>
      </c>
      <c r="D78" s="14">
        <v>45486</v>
      </c>
      <c r="E78" t="s">
        <v>44</v>
      </c>
      <c r="F78" t="s">
        <v>47</v>
      </c>
      <c r="G78" t="s">
        <v>49</v>
      </c>
      <c r="H78">
        <v>11775.099999999999</v>
      </c>
      <c r="I78">
        <v>11775.099999999999</v>
      </c>
      <c r="J78">
        <v>0</v>
      </c>
      <c r="K78">
        <v>81.919999999999987</v>
      </c>
      <c r="L78">
        <v>81.919999999999987</v>
      </c>
      <c r="M78">
        <v>0</v>
      </c>
      <c r="N78">
        <v>176.9</v>
      </c>
      <c r="O78">
        <v>176.9</v>
      </c>
      <c r="P78">
        <v>0</v>
      </c>
      <c r="Q78">
        <v>-3927.2999999999993</v>
      </c>
      <c r="R78">
        <v>-3927.2999999999993</v>
      </c>
      <c r="S78">
        <v>0</v>
      </c>
      <c r="T78">
        <v>0</v>
      </c>
      <c r="U78">
        <v>0</v>
      </c>
      <c r="V78">
        <v>0</v>
      </c>
      <c r="W78">
        <v>-10</v>
      </c>
      <c r="X78">
        <v>-10</v>
      </c>
      <c r="Y78">
        <v>0</v>
      </c>
      <c r="Z78">
        <v>8096.6200000000008</v>
      </c>
      <c r="AA78">
        <v>8096.6200000000008</v>
      </c>
      <c r="AB78">
        <v>0</v>
      </c>
      <c r="AC78">
        <v>460.46000000000015</v>
      </c>
      <c r="AD78">
        <v>248.99000000000018</v>
      </c>
      <c r="AE78">
        <v>-211.47</v>
      </c>
      <c r="AF78">
        <v>7636.1600000000035</v>
      </c>
      <c r="AG78">
        <v>7847.6300000000037</v>
      </c>
      <c r="AH78">
        <v>211.47</v>
      </c>
      <c r="AI78">
        <v>1466.3700000000008</v>
      </c>
      <c r="AJ78">
        <v>23.37</v>
      </c>
      <c r="AK78">
        <v>-1443.0000000000009</v>
      </c>
      <c r="AL78">
        <v>6169.78999999999</v>
      </c>
      <c r="AM78">
        <v>7824.2600000000039</v>
      </c>
      <c r="AN78">
        <v>1654.4700000000007</v>
      </c>
      <c r="AO78">
        <v>160</v>
      </c>
    </row>
    <row r="79" spans="1:41" x14ac:dyDescent="0.35">
      <c r="A79">
        <v>2024</v>
      </c>
      <c r="B79">
        <v>7</v>
      </c>
      <c r="C79">
        <v>28</v>
      </c>
      <c r="D79" s="14">
        <v>45480</v>
      </c>
      <c r="E79" t="s">
        <v>44</v>
      </c>
      <c r="F79" t="s">
        <v>47</v>
      </c>
      <c r="G79" t="s">
        <v>50</v>
      </c>
      <c r="H79">
        <v>4869</v>
      </c>
      <c r="I79">
        <v>4869</v>
      </c>
      <c r="J79">
        <v>0</v>
      </c>
      <c r="K79">
        <v>64.950000000000017</v>
      </c>
      <c r="L79">
        <v>64.950000000000017</v>
      </c>
      <c r="M79">
        <v>0</v>
      </c>
      <c r="N79">
        <v>252.84000000000006</v>
      </c>
      <c r="O79">
        <v>252.84000000000006</v>
      </c>
      <c r="P79">
        <v>0</v>
      </c>
      <c r="Q79">
        <v>-1306.8</v>
      </c>
      <c r="R79">
        <v>-1284.8</v>
      </c>
      <c r="S79">
        <v>22</v>
      </c>
      <c r="T79">
        <v>0</v>
      </c>
      <c r="U79">
        <v>0</v>
      </c>
      <c r="V79">
        <v>0</v>
      </c>
      <c r="W79">
        <v>-5</v>
      </c>
      <c r="X79">
        <v>-5</v>
      </c>
      <c r="Y79">
        <v>0</v>
      </c>
      <c r="Z79">
        <v>3874.989999999998</v>
      </c>
      <c r="AA79">
        <v>3896.989999999998</v>
      </c>
      <c r="AB79">
        <v>22</v>
      </c>
      <c r="AC79">
        <v>1445.8900000000006</v>
      </c>
      <c r="AE79">
        <v>-1445.8900000000006</v>
      </c>
      <c r="AF79">
        <v>2429.0999999999995</v>
      </c>
      <c r="AG79">
        <v>3896.989999999998</v>
      </c>
      <c r="AH79">
        <v>1467.8900000000006</v>
      </c>
      <c r="AI79">
        <v>-1.51</v>
      </c>
      <c r="AJ79">
        <v>0</v>
      </c>
      <c r="AK79">
        <v>1.51</v>
      </c>
      <c r="AL79">
        <v>2430.6099999999992</v>
      </c>
      <c r="AM79">
        <v>3896.989999999998</v>
      </c>
      <c r="AN79">
        <v>1466.3800000000006</v>
      </c>
      <c r="AO79">
        <v>61</v>
      </c>
    </row>
    <row r="80" spans="1:41" x14ac:dyDescent="0.35">
      <c r="A80">
        <v>2024</v>
      </c>
      <c r="B80">
        <v>7</v>
      </c>
      <c r="C80">
        <v>28</v>
      </c>
      <c r="D80" s="14">
        <v>45481</v>
      </c>
      <c r="E80" t="s">
        <v>44</v>
      </c>
      <c r="F80" t="s">
        <v>47</v>
      </c>
      <c r="G80" t="s">
        <v>50</v>
      </c>
      <c r="H80">
        <v>8463</v>
      </c>
      <c r="I80">
        <v>8463</v>
      </c>
      <c r="J80">
        <v>0</v>
      </c>
      <c r="K80">
        <v>131.98000000000002</v>
      </c>
      <c r="L80">
        <v>131.98000000000002</v>
      </c>
      <c r="M80">
        <v>0</v>
      </c>
      <c r="N80">
        <v>359.78000000000009</v>
      </c>
      <c r="O80">
        <v>359.78000000000009</v>
      </c>
      <c r="P80">
        <v>0</v>
      </c>
      <c r="Q80">
        <v>-2294.1</v>
      </c>
      <c r="R80">
        <v>-2147.1</v>
      </c>
      <c r="S80">
        <v>147</v>
      </c>
      <c r="T80">
        <v>-10</v>
      </c>
      <c r="U80">
        <v>-10</v>
      </c>
      <c r="V80">
        <v>0</v>
      </c>
      <c r="W80">
        <v>0</v>
      </c>
      <c r="X80">
        <v>0</v>
      </c>
      <c r="Y80">
        <v>0</v>
      </c>
      <c r="Z80">
        <v>6650.6599999999962</v>
      </c>
      <c r="AA80">
        <v>6797.6599999999962</v>
      </c>
      <c r="AB80">
        <v>147</v>
      </c>
      <c r="AC80">
        <v>1072.5000000000002</v>
      </c>
      <c r="AD80">
        <v>1072.5000000000002</v>
      </c>
      <c r="AE80">
        <v>0</v>
      </c>
      <c r="AF80">
        <v>5578.159999999998</v>
      </c>
      <c r="AG80">
        <v>5725.159999999998</v>
      </c>
      <c r="AH80">
        <v>147.00000000000006</v>
      </c>
      <c r="AI80">
        <v>-599.6</v>
      </c>
      <c r="AJ80">
        <v>0</v>
      </c>
      <c r="AK80">
        <v>599.6</v>
      </c>
      <c r="AL80">
        <v>6177.7600000000029</v>
      </c>
      <c r="AM80">
        <v>5725.159999999998</v>
      </c>
      <c r="AN80">
        <v>-452.6</v>
      </c>
      <c r="AO80">
        <v>95</v>
      </c>
    </row>
    <row r="81" spans="1:41" x14ac:dyDescent="0.35">
      <c r="A81">
        <v>2024</v>
      </c>
      <c r="B81">
        <v>7</v>
      </c>
      <c r="C81">
        <v>28</v>
      </c>
      <c r="D81" s="14">
        <v>45482</v>
      </c>
      <c r="E81" t="s">
        <v>44</v>
      </c>
      <c r="F81" t="s">
        <v>47</v>
      </c>
      <c r="G81" t="s">
        <v>50</v>
      </c>
      <c r="H81">
        <v>13290</v>
      </c>
      <c r="I81">
        <v>13290</v>
      </c>
      <c r="J81">
        <v>0</v>
      </c>
      <c r="K81">
        <v>265.95</v>
      </c>
      <c r="L81">
        <v>265.95</v>
      </c>
      <c r="M81">
        <v>0</v>
      </c>
      <c r="N81">
        <v>583.62000000000023</v>
      </c>
      <c r="O81">
        <v>583.62000000000023</v>
      </c>
      <c r="P81">
        <v>0</v>
      </c>
      <c r="Q81">
        <v>-3854.5</v>
      </c>
      <c r="R81">
        <v>-3693.6</v>
      </c>
      <c r="S81">
        <v>160.9</v>
      </c>
      <c r="T81">
        <v>-15</v>
      </c>
      <c r="U81">
        <v>-15</v>
      </c>
      <c r="V81">
        <v>0</v>
      </c>
      <c r="W81">
        <v>-15</v>
      </c>
      <c r="X81">
        <v>-15</v>
      </c>
      <c r="Y81">
        <v>0</v>
      </c>
      <c r="Z81">
        <v>10255.069999999989</v>
      </c>
      <c r="AA81">
        <v>10415.96999999999</v>
      </c>
      <c r="AB81">
        <v>160.9</v>
      </c>
      <c r="AC81">
        <v>2168.6500000000015</v>
      </c>
      <c r="AD81">
        <v>1121.9000000000001</v>
      </c>
      <c r="AE81">
        <v>-1046.75</v>
      </c>
      <c r="AF81">
        <v>8086.4199999999919</v>
      </c>
      <c r="AG81">
        <v>9294.0699999999888</v>
      </c>
      <c r="AH81">
        <v>1207.6499999999999</v>
      </c>
      <c r="AI81">
        <v>-610.15999999999985</v>
      </c>
      <c r="AJ81">
        <v>0</v>
      </c>
      <c r="AK81">
        <v>610.15999999999985</v>
      </c>
      <c r="AL81">
        <v>8696.58</v>
      </c>
      <c r="AM81">
        <v>9294.0699999999888</v>
      </c>
      <c r="AN81">
        <v>597.48999999999978</v>
      </c>
      <c r="AO81">
        <v>151</v>
      </c>
    </row>
    <row r="82" spans="1:41" x14ac:dyDescent="0.35">
      <c r="A82">
        <v>2024</v>
      </c>
      <c r="B82">
        <v>7</v>
      </c>
      <c r="C82">
        <v>28</v>
      </c>
      <c r="D82" s="14">
        <v>45483</v>
      </c>
      <c r="E82" t="s">
        <v>44</v>
      </c>
      <c r="F82" t="s">
        <v>47</v>
      </c>
      <c r="G82" t="s">
        <v>50</v>
      </c>
      <c r="H82">
        <v>22702.05</v>
      </c>
      <c r="I82">
        <v>22702.05</v>
      </c>
      <c r="J82">
        <v>0</v>
      </c>
      <c r="K82">
        <v>372.48999999999944</v>
      </c>
      <c r="L82">
        <v>372.48999999999944</v>
      </c>
      <c r="M82">
        <v>0</v>
      </c>
      <c r="N82">
        <v>844.50000000000034</v>
      </c>
      <c r="O82">
        <v>844.50000000000034</v>
      </c>
      <c r="P82">
        <v>0</v>
      </c>
      <c r="Q82">
        <v>-5874.02</v>
      </c>
      <c r="R82">
        <v>-5541.02</v>
      </c>
      <c r="S82">
        <v>333</v>
      </c>
      <c r="T82">
        <v>-30</v>
      </c>
      <c r="U82">
        <v>-30</v>
      </c>
      <c r="V82">
        <v>0</v>
      </c>
      <c r="W82">
        <v>-25</v>
      </c>
      <c r="X82">
        <v>-25</v>
      </c>
      <c r="Y82">
        <v>0</v>
      </c>
      <c r="Z82">
        <v>17990.02</v>
      </c>
      <c r="AA82">
        <v>18323.02</v>
      </c>
      <c r="AB82">
        <v>333</v>
      </c>
      <c r="AC82">
        <v>3397.4900000000034</v>
      </c>
      <c r="AD82">
        <v>2302.2600000000016</v>
      </c>
      <c r="AE82">
        <v>-1095.23</v>
      </c>
      <c r="AF82">
        <v>14592.530000000004</v>
      </c>
      <c r="AG82">
        <v>16020.760000000004</v>
      </c>
      <c r="AH82">
        <v>1428.2300000000002</v>
      </c>
      <c r="AI82">
        <v>-1349.13</v>
      </c>
      <c r="AJ82">
        <v>0</v>
      </c>
      <c r="AK82">
        <v>1349.13</v>
      </c>
      <c r="AL82">
        <v>15941.660000000011</v>
      </c>
      <c r="AM82">
        <v>16020.760000000004</v>
      </c>
      <c r="AN82">
        <v>79.099999999999852</v>
      </c>
      <c r="AO82">
        <v>263</v>
      </c>
    </row>
    <row r="83" spans="1:41" x14ac:dyDescent="0.35">
      <c r="A83">
        <v>2024</v>
      </c>
      <c r="B83">
        <v>7</v>
      </c>
      <c r="C83">
        <v>28</v>
      </c>
      <c r="D83" s="14">
        <v>45484</v>
      </c>
      <c r="E83" t="s">
        <v>44</v>
      </c>
      <c r="F83" t="s">
        <v>47</v>
      </c>
      <c r="G83" t="s">
        <v>50</v>
      </c>
      <c r="H83">
        <v>24145.149999999998</v>
      </c>
      <c r="I83">
        <v>24145.149999999998</v>
      </c>
      <c r="J83">
        <v>0</v>
      </c>
      <c r="K83">
        <v>453.35999999999962</v>
      </c>
      <c r="L83">
        <v>453.35999999999962</v>
      </c>
      <c r="M83">
        <v>0</v>
      </c>
      <c r="N83">
        <v>745.5400000000003</v>
      </c>
      <c r="O83">
        <v>745.5400000000003</v>
      </c>
      <c r="P83">
        <v>0</v>
      </c>
      <c r="Q83">
        <v>-6719.42</v>
      </c>
      <c r="R83">
        <v>-6428.42</v>
      </c>
      <c r="S83">
        <v>291</v>
      </c>
      <c r="T83">
        <v>-40</v>
      </c>
      <c r="U83">
        <v>-40</v>
      </c>
      <c r="V83">
        <v>0</v>
      </c>
      <c r="W83">
        <v>-15</v>
      </c>
      <c r="X83">
        <v>-15</v>
      </c>
      <c r="Y83">
        <v>0</v>
      </c>
      <c r="Z83">
        <v>18569.629999999997</v>
      </c>
      <c r="AA83">
        <v>18860.629999999997</v>
      </c>
      <c r="AB83">
        <v>291</v>
      </c>
      <c r="AC83">
        <v>4422.2200000000057</v>
      </c>
      <c r="AD83">
        <v>2119.9600000000014</v>
      </c>
      <c r="AE83">
        <v>-2302.2600000000011</v>
      </c>
      <c r="AF83">
        <v>14147.410000000005</v>
      </c>
      <c r="AG83">
        <v>16740.669999999998</v>
      </c>
      <c r="AH83">
        <v>2593.260000000002</v>
      </c>
      <c r="AI83">
        <v>-1178.1900000000005</v>
      </c>
      <c r="AJ83">
        <v>0</v>
      </c>
      <c r="AK83">
        <v>1178.1900000000005</v>
      </c>
      <c r="AL83">
        <v>15325.600000000002</v>
      </c>
      <c r="AM83">
        <v>16740.669999999998</v>
      </c>
      <c r="AN83">
        <v>1415.0699999999983</v>
      </c>
      <c r="AO83">
        <v>292</v>
      </c>
    </row>
    <row r="84" spans="1:41" x14ac:dyDescent="0.35">
      <c r="A84">
        <v>2024</v>
      </c>
      <c r="B84">
        <v>7</v>
      </c>
      <c r="C84">
        <v>28</v>
      </c>
      <c r="D84" s="14">
        <v>45485</v>
      </c>
      <c r="E84" t="s">
        <v>44</v>
      </c>
      <c r="F84" t="s">
        <v>47</v>
      </c>
      <c r="G84" t="s">
        <v>50</v>
      </c>
      <c r="H84">
        <v>21006.1</v>
      </c>
      <c r="I84">
        <v>21006.1</v>
      </c>
      <c r="J84">
        <v>0</v>
      </c>
      <c r="K84">
        <v>576.50999999999976</v>
      </c>
      <c r="L84">
        <v>576.50999999999976</v>
      </c>
      <c r="M84">
        <v>0</v>
      </c>
      <c r="N84">
        <v>960.42000000000041</v>
      </c>
      <c r="O84">
        <v>960.42000000000041</v>
      </c>
      <c r="P84">
        <v>0</v>
      </c>
      <c r="Q84">
        <v>-6189.14</v>
      </c>
      <c r="R84">
        <v>-6115.14</v>
      </c>
      <c r="S84">
        <v>74</v>
      </c>
      <c r="T84">
        <v>-25</v>
      </c>
      <c r="U84">
        <v>-25</v>
      </c>
      <c r="V84">
        <v>0</v>
      </c>
      <c r="W84">
        <v>-30</v>
      </c>
      <c r="X84">
        <v>-30</v>
      </c>
      <c r="Y84">
        <v>0</v>
      </c>
      <c r="Z84">
        <v>16298.889999999987</v>
      </c>
      <c r="AA84">
        <v>16372.889999999987</v>
      </c>
      <c r="AB84">
        <v>74</v>
      </c>
      <c r="AC84">
        <v>3875.2800000000057</v>
      </c>
      <c r="AD84">
        <v>1755.3200000000006</v>
      </c>
      <c r="AE84">
        <v>-2119.9600000000019</v>
      </c>
      <c r="AF84">
        <v>12423.610000000002</v>
      </c>
      <c r="AG84">
        <v>14617.57</v>
      </c>
      <c r="AH84">
        <v>2193.9600000000014</v>
      </c>
      <c r="AI84">
        <v>-916.25000000000023</v>
      </c>
      <c r="AJ84">
        <v>0</v>
      </c>
      <c r="AK84">
        <v>916.25000000000023</v>
      </c>
      <c r="AL84">
        <v>13339.860000000004</v>
      </c>
      <c r="AM84">
        <v>14617.57</v>
      </c>
      <c r="AN84">
        <v>1277.7100000000003</v>
      </c>
      <c r="AO84">
        <v>248</v>
      </c>
    </row>
    <row r="85" spans="1:41" x14ac:dyDescent="0.35">
      <c r="A85">
        <v>2024</v>
      </c>
      <c r="B85">
        <v>7</v>
      </c>
      <c r="C85">
        <v>28</v>
      </c>
      <c r="D85" s="14">
        <v>45486</v>
      </c>
      <c r="E85" t="s">
        <v>44</v>
      </c>
      <c r="F85" t="s">
        <v>47</v>
      </c>
      <c r="G85" t="s">
        <v>50</v>
      </c>
      <c r="H85">
        <v>20702.149999999998</v>
      </c>
      <c r="I85">
        <v>20702.149999999998</v>
      </c>
      <c r="J85">
        <v>0</v>
      </c>
      <c r="K85">
        <v>393.10999999999973</v>
      </c>
      <c r="L85">
        <v>393.10999999999973</v>
      </c>
      <c r="M85">
        <v>0</v>
      </c>
      <c r="N85">
        <v>849.50000000000034</v>
      </c>
      <c r="O85">
        <v>849.50000000000034</v>
      </c>
      <c r="P85">
        <v>0</v>
      </c>
      <c r="Q85">
        <v>-6144.8</v>
      </c>
      <c r="R85">
        <v>-5850.8</v>
      </c>
      <c r="S85">
        <v>294</v>
      </c>
      <c r="T85">
        <v>-15</v>
      </c>
      <c r="U85">
        <v>-15</v>
      </c>
      <c r="V85">
        <v>0</v>
      </c>
      <c r="W85">
        <v>-45.99</v>
      </c>
      <c r="X85">
        <v>-45.99</v>
      </c>
      <c r="Y85">
        <v>0</v>
      </c>
      <c r="Z85">
        <v>15738.96999999999</v>
      </c>
      <c r="AA85">
        <v>16032.96999999999</v>
      </c>
      <c r="AB85">
        <v>294</v>
      </c>
      <c r="AC85">
        <v>3338.9600000000041</v>
      </c>
      <c r="AD85">
        <v>1557.8900000000008</v>
      </c>
      <c r="AE85">
        <v>-1781.0700000000013</v>
      </c>
      <c r="AF85">
        <v>12400.010000000004</v>
      </c>
      <c r="AG85">
        <v>14475.079999999996</v>
      </c>
      <c r="AH85">
        <v>2075.0700000000015</v>
      </c>
      <c r="AI85">
        <v>-895.63999999999987</v>
      </c>
      <c r="AJ85">
        <v>0</v>
      </c>
      <c r="AK85">
        <v>895.63999999999987</v>
      </c>
      <c r="AL85">
        <v>13295.650000000001</v>
      </c>
      <c r="AM85">
        <v>14475.079999999996</v>
      </c>
      <c r="AN85">
        <v>1179.4300000000007</v>
      </c>
      <c r="AO85">
        <v>245</v>
      </c>
    </row>
    <row r="86" spans="1:41" x14ac:dyDescent="0.35">
      <c r="A86">
        <v>2024</v>
      </c>
      <c r="B86">
        <v>7</v>
      </c>
      <c r="C86">
        <v>28</v>
      </c>
      <c r="D86" s="14">
        <v>45480</v>
      </c>
      <c r="E86" t="s">
        <v>44</v>
      </c>
      <c r="F86" t="s">
        <v>47</v>
      </c>
      <c r="G86" t="s">
        <v>51</v>
      </c>
      <c r="H86">
        <v>2448.8000000000002</v>
      </c>
      <c r="I86">
        <v>2448.8000000000002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-714.30000000000007</v>
      </c>
      <c r="R86">
        <v>-714.30000000000007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1734.5</v>
      </c>
      <c r="AA86">
        <v>1734.5</v>
      </c>
      <c r="AB86">
        <v>0</v>
      </c>
      <c r="AC86">
        <v>8.33</v>
      </c>
      <c r="AE86">
        <v>-8.33</v>
      </c>
      <c r="AF86">
        <v>1726.17</v>
      </c>
      <c r="AG86">
        <v>1734.5</v>
      </c>
      <c r="AH86">
        <v>8.3299999999999983</v>
      </c>
      <c r="AI86">
        <v>573.75000000000011</v>
      </c>
      <c r="AJ86">
        <v>0</v>
      </c>
      <c r="AK86">
        <v>-573.75000000000011</v>
      </c>
      <c r="AL86">
        <v>1152.4199999999998</v>
      </c>
      <c r="AM86">
        <v>1734.5</v>
      </c>
      <c r="AN86">
        <v>582.08000000000004</v>
      </c>
      <c r="AO86">
        <v>38</v>
      </c>
    </row>
    <row r="87" spans="1:41" x14ac:dyDescent="0.35">
      <c r="A87">
        <v>2024</v>
      </c>
      <c r="B87">
        <v>7</v>
      </c>
      <c r="C87">
        <v>28</v>
      </c>
      <c r="D87" s="14">
        <v>45481</v>
      </c>
      <c r="E87" t="s">
        <v>44</v>
      </c>
      <c r="F87" t="s">
        <v>47</v>
      </c>
      <c r="G87" t="s">
        <v>51</v>
      </c>
      <c r="H87">
        <v>1393.5</v>
      </c>
      <c r="I87">
        <v>1393.5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-371.65000000000003</v>
      </c>
      <c r="R87">
        <v>-371.65000000000003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1021.8500000000003</v>
      </c>
      <c r="AA87">
        <v>1021.8500000000003</v>
      </c>
      <c r="AB87">
        <v>0</v>
      </c>
      <c r="AE87">
        <v>0</v>
      </c>
      <c r="AF87">
        <v>1021.8500000000003</v>
      </c>
      <c r="AG87">
        <v>1021.8500000000003</v>
      </c>
      <c r="AH87">
        <v>0</v>
      </c>
      <c r="AI87">
        <v>374.55</v>
      </c>
      <c r="AJ87">
        <v>0</v>
      </c>
      <c r="AK87">
        <v>-374.55</v>
      </c>
      <c r="AL87">
        <v>647.29999999999995</v>
      </c>
      <c r="AM87">
        <v>1021.8500000000003</v>
      </c>
      <c r="AN87">
        <v>374.55</v>
      </c>
      <c r="AO87">
        <v>23</v>
      </c>
    </row>
    <row r="88" spans="1:41" x14ac:dyDescent="0.35">
      <c r="A88">
        <v>2024</v>
      </c>
      <c r="B88">
        <v>7</v>
      </c>
      <c r="C88">
        <v>28</v>
      </c>
      <c r="D88" s="14">
        <v>45482</v>
      </c>
      <c r="E88" t="s">
        <v>44</v>
      </c>
      <c r="F88" t="s">
        <v>47</v>
      </c>
      <c r="G88" t="s">
        <v>51</v>
      </c>
      <c r="H88">
        <v>45</v>
      </c>
      <c r="I88">
        <v>45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45</v>
      </c>
      <c r="AA88">
        <v>45</v>
      </c>
      <c r="AB88">
        <v>0</v>
      </c>
      <c r="AE88">
        <v>0</v>
      </c>
      <c r="AF88">
        <v>45</v>
      </c>
      <c r="AG88">
        <v>45</v>
      </c>
      <c r="AH88">
        <v>0</v>
      </c>
      <c r="AI88">
        <v>18.03</v>
      </c>
      <c r="AJ88">
        <v>0</v>
      </c>
      <c r="AK88">
        <v>-18.03</v>
      </c>
      <c r="AL88">
        <v>26.97</v>
      </c>
      <c r="AM88">
        <v>45</v>
      </c>
      <c r="AN88">
        <v>18.03</v>
      </c>
      <c r="AO88">
        <v>1</v>
      </c>
    </row>
    <row r="89" spans="1:41" x14ac:dyDescent="0.35">
      <c r="A89">
        <v>2024</v>
      </c>
      <c r="B89">
        <v>7</v>
      </c>
      <c r="C89">
        <v>28</v>
      </c>
      <c r="D89" s="14">
        <v>45483</v>
      </c>
      <c r="E89" t="s">
        <v>44</v>
      </c>
      <c r="F89" t="s">
        <v>47</v>
      </c>
      <c r="G89" t="s">
        <v>51</v>
      </c>
      <c r="H89">
        <v>1764.6999999999998</v>
      </c>
      <c r="I89">
        <v>1764.6999999999998</v>
      </c>
      <c r="J89">
        <v>0</v>
      </c>
      <c r="K89">
        <v>62.5</v>
      </c>
      <c r="L89">
        <v>62.5</v>
      </c>
      <c r="M89">
        <v>0</v>
      </c>
      <c r="N89">
        <v>0</v>
      </c>
      <c r="O89">
        <v>0</v>
      </c>
      <c r="P89">
        <v>0</v>
      </c>
      <c r="Q89">
        <v>-522.65</v>
      </c>
      <c r="R89">
        <v>-522.65</v>
      </c>
      <c r="S89">
        <v>0</v>
      </c>
      <c r="T89">
        <v>-16</v>
      </c>
      <c r="U89">
        <v>-16</v>
      </c>
      <c r="V89">
        <v>0</v>
      </c>
      <c r="W89">
        <v>0</v>
      </c>
      <c r="X89">
        <v>0</v>
      </c>
      <c r="Y89">
        <v>0</v>
      </c>
      <c r="Z89">
        <v>1288.5500000000002</v>
      </c>
      <c r="AA89">
        <v>1288.5500000000002</v>
      </c>
      <c r="AB89">
        <v>0</v>
      </c>
      <c r="AC89">
        <v>73.38000000000001</v>
      </c>
      <c r="AD89">
        <v>73.38000000000001</v>
      </c>
      <c r="AE89">
        <v>0</v>
      </c>
      <c r="AF89">
        <v>1215.17</v>
      </c>
      <c r="AG89">
        <v>1215.17</v>
      </c>
      <c r="AH89">
        <v>0</v>
      </c>
      <c r="AI89">
        <v>247.81</v>
      </c>
      <c r="AJ89">
        <v>0</v>
      </c>
      <c r="AK89">
        <v>-247.81</v>
      </c>
      <c r="AL89">
        <v>967.35999999999979</v>
      </c>
      <c r="AM89">
        <v>1215.17</v>
      </c>
      <c r="AN89">
        <v>247.81</v>
      </c>
      <c r="AO89">
        <v>30</v>
      </c>
    </row>
    <row r="90" spans="1:41" x14ac:dyDescent="0.35">
      <c r="A90">
        <v>2024</v>
      </c>
      <c r="B90">
        <v>7</v>
      </c>
      <c r="C90">
        <v>28</v>
      </c>
      <c r="D90" s="14">
        <v>45484</v>
      </c>
      <c r="E90" t="s">
        <v>44</v>
      </c>
      <c r="F90" t="s">
        <v>47</v>
      </c>
      <c r="G90" t="s">
        <v>51</v>
      </c>
      <c r="H90">
        <v>3879.9</v>
      </c>
      <c r="I90">
        <v>3879.9</v>
      </c>
      <c r="J90">
        <v>0</v>
      </c>
      <c r="K90">
        <v>30</v>
      </c>
      <c r="L90">
        <v>30</v>
      </c>
      <c r="M90">
        <v>0</v>
      </c>
      <c r="N90">
        <v>0</v>
      </c>
      <c r="O90">
        <v>0</v>
      </c>
      <c r="P90">
        <v>0</v>
      </c>
      <c r="Q90">
        <v>-945.84999999999991</v>
      </c>
      <c r="R90">
        <v>-941.38999999999987</v>
      </c>
      <c r="S90">
        <v>4.4600000000000009</v>
      </c>
      <c r="T90">
        <v>-12</v>
      </c>
      <c r="U90">
        <v>-12</v>
      </c>
      <c r="V90">
        <v>0</v>
      </c>
      <c r="W90">
        <v>0</v>
      </c>
      <c r="X90">
        <v>0</v>
      </c>
      <c r="Y90">
        <v>0</v>
      </c>
      <c r="Z90">
        <v>2952.0499999999993</v>
      </c>
      <c r="AA90">
        <v>2956.5099999999993</v>
      </c>
      <c r="AB90">
        <v>4.4600000000000009</v>
      </c>
      <c r="AC90">
        <v>155.05000000000001</v>
      </c>
      <c r="AD90">
        <v>81.67</v>
      </c>
      <c r="AE90">
        <v>-73.38000000000001</v>
      </c>
      <c r="AF90">
        <v>2796.9999999999991</v>
      </c>
      <c r="AG90">
        <v>2874.8399999999992</v>
      </c>
      <c r="AH90">
        <v>77.84</v>
      </c>
      <c r="AI90">
        <v>879.31000000000006</v>
      </c>
      <c r="AJ90">
        <v>0</v>
      </c>
      <c r="AK90">
        <v>-879.31000000000006</v>
      </c>
      <c r="AL90">
        <v>1917.69</v>
      </c>
      <c r="AM90">
        <v>2874.8399999999992</v>
      </c>
      <c r="AN90">
        <v>957.15000000000009</v>
      </c>
      <c r="AO90">
        <v>66</v>
      </c>
    </row>
    <row r="91" spans="1:41" x14ac:dyDescent="0.35">
      <c r="A91">
        <v>2024</v>
      </c>
      <c r="B91">
        <v>7</v>
      </c>
      <c r="C91">
        <v>28</v>
      </c>
      <c r="D91" s="14">
        <v>45485</v>
      </c>
      <c r="E91" t="s">
        <v>44</v>
      </c>
      <c r="F91" t="s">
        <v>47</v>
      </c>
      <c r="G91" t="s">
        <v>51</v>
      </c>
      <c r="H91">
        <v>7392.7500000000055</v>
      </c>
      <c r="I91">
        <v>7392.7500000000055</v>
      </c>
      <c r="J91">
        <v>0</v>
      </c>
      <c r="K91">
        <v>218.7</v>
      </c>
      <c r="L91">
        <v>218.7</v>
      </c>
      <c r="M91">
        <v>0</v>
      </c>
      <c r="N91">
        <v>0</v>
      </c>
      <c r="O91">
        <v>0</v>
      </c>
      <c r="P91">
        <v>0</v>
      </c>
      <c r="Q91">
        <v>-1660.8500000000001</v>
      </c>
      <c r="R91">
        <v>-1660.8500000000001</v>
      </c>
      <c r="S91">
        <v>0</v>
      </c>
      <c r="T91">
        <v>-61</v>
      </c>
      <c r="U91">
        <v>-61</v>
      </c>
      <c r="V91">
        <v>0</v>
      </c>
      <c r="W91">
        <v>0</v>
      </c>
      <c r="X91">
        <v>0</v>
      </c>
      <c r="Y91">
        <v>0</v>
      </c>
      <c r="Z91">
        <v>5889.6000000000058</v>
      </c>
      <c r="AA91">
        <v>5889.6000000000058</v>
      </c>
      <c r="AB91">
        <v>0</v>
      </c>
      <c r="AC91">
        <v>141.67000000000002</v>
      </c>
      <c r="AD91">
        <v>60</v>
      </c>
      <c r="AE91">
        <v>-81.67</v>
      </c>
      <c r="AF91">
        <v>5747.9300000000057</v>
      </c>
      <c r="AG91">
        <v>5829.6000000000058</v>
      </c>
      <c r="AH91">
        <v>81.67</v>
      </c>
      <c r="AI91">
        <v>1107.5300000000004</v>
      </c>
      <c r="AJ91">
        <v>0</v>
      </c>
      <c r="AK91">
        <v>-1107.5300000000004</v>
      </c>
      <c r="AL91">
        <v>4640.4000000000024</v>
      </c>
      <c r="AM91">
        <v>5829.6000000000058</v>
      </c>
      <c r="AN91">
        <v>1189.2</v>
      </c>
      <c r="AO91">
        <v>139</v>
      </c>
    </row>
    <row r="92" spans="1:41" x14ac:dyDescent="0.35">
      <c r="A92">
        <v>2024</v>
      </c>
      <c r="B92">
        <v>7</v>
      </c>
      <c r="C92">
        <v>28</v>
      </c>
      <c r="D92" s="14">
        <v>45486</v>
      </c>
      <c r="E92" t="s">
        <v>44</v>
      </c>
      <c r="F92" t="s">
        <v>47</v>
      </c>
      <c r="G92" t="s">
        <v>51</v>
      </c>
      <c r="H92">
        <v>7017.5000000000045</v>
      </c>
      <c r="I92">
        <v>7017.5000000000045</v>
      </c>
      <c r="J92">
        <v>0</v>
      </c>
      <c r="K92">
        <v>52.5</v>
      </c>
      <c r="L92">
        <v>52.5</v>
      </c>
      <c r="M92">
        <v>0</v>
      </c>
      <c r="N92">
        <v>0</v>
      </c>
      <c r="O92">
        <v>0</v>
      </c>
      <c r="P92">
        <v>0</v>
      </c>
      <c r="Q92">
        <v>-1351.6499999999999</v>
      </c>
      <c r="R92">
        <v>-1351.6499999999999</v>
      </c>
      <c r="S92">
        <v>0</v>
      </c>
      <c r="T92">
        <v>-16</v>
      </c>
      <c r="U92">
        <v>-16</v>
      </c>
      <c r="V92">
        <v>0</v>
      </c>
      <c r="W92">
        <v>0</v>
      </c>
      <c r="X92">
        <v>0</v>
      </c>
      <c r="Y92">
        <v>0</v>
      </c>
      <c r="Z92">
        <v>5702.3500000000031</v>
      </c>
      <c r="AA92">
        <v>5702.3500000000031</v>
      </c>
      <c r="AB92">
        <v>0</v>
      </c>
      <c r="AC92">
        <v>85.75</v>
      </c>
      <c r="AD92">
        <v>25.75</v>
      </c>
      <c r="AE92">
        <v>-60</v>
      </c>
      <c r="AF92">
        <v>5616.6000000000031</v>
      </c>
      <c r="AG92">
        <v>5676.6000000000031</v>
      </c>
      <c r="AH92">
        <v>60</v>
      </c>
      <c r="AI92">
        <v>1397.2199999999993</v>
      </c>
      <c r="AJ92">
        <v>0</v>
      </c>
      <c r="AK92">
        <v>-1397.2199999999993</v>
      </c>
      <c r="AL92">
        <v>4219.3799999999983</v>
      </c>
      <c r="AM92">
        <v>5676.6000000000031</v>
      </c>
      <c r="AN92">
        <v>1457.2199999999993</v>
      </c>
      <c r="AO92">
        <v>129</v>
      </c>
    </row>
    <row r="93" spans="1:41" x14ac:dyDescent="0.35">
      <c r="A93">
        <v>2024</v>
      </c>
      <c r="B93">
        <v>7</v>
      </c>
      <c r="C93">
        <v>29</v>
      </c>
      <c r="D93" s="14">
        <v>45487</v>
      </c>
      <c r="E93" t="s">
        <v>41</v>
      </c>
      <c r="F93" t="s">
        <v>42</v>
      </c>
      <c r="G93" t="s">
        <v>43</v>
      </c>
      <c r="H93">
        <v>99438.25</v>
      </c>
      <c r="I93">
        <v>99438.25</v>
      </c>
      <c r="J93">
        <v>0</v>
      </c>
      <c r="K93">
        <v>1044.2900000000063</v>
      </c>
      <c r="L93">
        <v>1044.2900000000063</v>
      </c>
      <c r="M93">
        <v>0</v>
      </c>
      <c r="N93">
        <v>2342.2499999999964</v>
      </c>
      <c r="O93">
        <v>2342.2499999999964</v>
      </c>
      <c r="P93">
        <v>0</v>
      </c>
      <c r="Q93">
        <v>-8660</v>
      </c>
      <c r="R93">
        <v>-7888</v>
      </c>
      <c r="S93">
        <v>772</v>
      </c>
      <c r="T93">
        <v>-2.8600000000000003</v>
      </c>
      <c r="U93">
        <v>-2.8600000000000003</v>
      </c>
      <c r="V93">
        <v>0</v>
      </c>
      <c r="W93">
        <v>-25</v>
      </c>
      <c r="X93">
        <v>-25</v>
      </c>
      <c r="Y93">
        <v>0</v>
      </c>
      <c r="Z93">
        <v>94136.930000000546</v>
      </c>
      <c r="AA93">
        <v>94908.930000000575</v>
      </c>
      <c r="AB93">
        <v>772</v>
      </c>
      <c r="AC93">
        <v>42745.279999999286</v>
      </c>
      <c r="AD93">
        <v>22333.709999999886</v>
      </c>
      <c r="AE93">
        <v>-20411.569999999887</v>
      </c>
      <c r="AF93">
        <v>51391.650000000409</v>
      </c>
      <c r="AG93">
        <v>72575.220000000045</v>
      </c>
      <c r="AH93">
        <v>21183.56999999988</v>
      </c>
      <c r="AI93">
        <v>-10751.939999999984</v>
      </c>
      <c r="AJ93">
        <v>0</v>
      </c>
      <c r="AK93">
        <v>10751.939999999984</v>
      </c>
      <c r="AL93">
        <v>62143.590000000331</v>
      </c>
      <c r="AM93">
        <v>72575.220000000045</v>
      </c>
      <c r="AN93">
        <v>10431.630000000012</v>
      </c>
      <c r="AO93">
        <v>1756</v>
      </c>
    </row>
    <row r="94" spans="1:41" x14ac:dyDescent="0.35">
      <c r="A94">
        <v>2024</v>
      </c>
      <c r="B94">
        <v>7</v>
      </c>
      <c r="C94">
        <v>29</v>
      </c>
      <c r="D94" s="14">
        <v>45488</v>
      </c>
      <c r="E94" t="s">
        <v>41</v>
      </c>
      <c r="F94" t="s">
        <v>42</v>
      </c>
      <c r="G94" t="s">
        <v>43</v>
      </c>
      <c r="H94">
        <v>90968.5</v>
      </c>
      <c r="I94">
        <v>90968.5</v>
      </c>
      <c r="J94">
        <v>0</v>
      </c>
      <c r="K94">
        <v>910.66000000001202</v>
      </c>
      <c r="L94">
        <v>910.66000000001202</v>
      </c>
      <c r="M94">
        <v>0</v>
      </c>
      <c r="N94">
        <v>2534.1399999999931</v>
      </c>
      <c r="O94">
        <v>2534.1399999999931</v>
      </c>
      <c r="P94">
        <v>0</v>
      </c>
      <c r="Q94">
        <v>-7624.5</v>
      </c>
      <c r="R94">
        <v>-6825.5</v>
      </c>
      <c r="S94">
        <v>799</v>
      </c>
      <c r="T94">
        <v>-3.3800000000000003</v>
      </c>
      <c r="U94">
        <v>-3.3800000000000003</v>
      </c>
      <c r="V94">
        <v>0</v>
      </c>
      <c r="W94">
        <v>-50</v>
      </c>
      <c r="X94">
        <v>-50</v>
      </c>
      <c r="Y94">
        <v>0</v>
      </c>
      <c r="Z94">
        <v>86735.420000000187</v>
      </c>
      <c r="AA94">
        <v>87534.420000000217</v>
      </c>
      <c r="AB94">
        <v>799</v>
      </c>
      <c r="AC94">
        <v>37346.039999999448</v>
      </c>
      <c r="AD94">
        <v>14750.35999999995</v>
      </c>
      <c r="AE94">
        <v>-22595.679999999873</v>
      </c>
      <c r="AF94">
        <v>49389.380000000361</v>
      </c>
      <c r="AG94">
        <v>72784.06</v>
      </c>
      <c r="AH94">
        <v>23394.679999999866</v>
      </c>
      <c r="AI94">
        <v>-7228.6599999999971</v>
      </c>
      <c r="AJ94">
        <v>0</v>
      </c>
      <c r="AK94">
        <v>7228.6599999999971</v>
      </c>
      <c r="AL94">
        <v>56618.040000000357</v>
      </c>
      <c r="AM94">
        <v>72784.06</v>
      </c>
      <c r="AN94">
        <v>16166.019999999948</v>
      </c>
      <c r="AO94">
        <v>1614</v>
      </c>
    </row>
    <row r="95" spans="1:41" x14ac:dyDescent="0.35">
      <c r="A95">
        <v>2024</v>
      </c>
      <c r="B95">
        <v>7</v>
      </c>
      <c r="C95">
        <v>29</v>
      </c>
      <c r="D95" s="14">
        <v>45489</v>
      </c>
      <c r="E95" t="s">
        <v>41</v>
      </c>
      <c r="F95" t="s">
        <v>42</v>
      </c>
      <c r="G95" t="s">
        <v>43</v>
      </c>
      <c r="H95">
        <v>80494.25</v>
      </c>
      <c r="I95">
        <v>80494.25</v>
      </c>
      <c r="J95">
        <v>0</v>
      </c>
      <c r="K95">
        <v>809.68000000000279</v>
      </c>
      <c r="L95">
        <v>809.68000000000279</v>
      </c>
      <c r="M95">
        <v>0</v>
      </c>
      <c r="N95">
        <v>2232.4399999999982</v>
      </c>
      <c r="O95">
        <v>2232.4399999999982</v>
      </c>
      <c r="P95">
        <v>0</v>
      </c>
      <c r="Q95">
        <v>-6368.7</v>
      </c>
      <c r="R95">
        <v>-5776.7</v>
      </c>
      <c r="S95">
        <v>592</v>
      </c>
      <c r="T95">
        <v>-3.22</v>
      </c>
      <c r="U95">
        <v>-3.22</v>
      </c>
      <c r="V95">
        <v>0</v>
      </c>
      <c r="W95">
        <v>-60</v>
      </c>
      <c r="X95">
        <v>-60</v>
      </c>
      <c r="Y95">
        <v>0</v>
      </c>
      <c r="Z95">
        <v>77104.449999999983</v>
      </c>
      <c r="AA95">
        <v>77696.45</v>
      </c>
      <c r="AB95">
        <v>592</v>
      </c>
      <c r="AC95">
        <v>31106.179999999698</v>
      </c>
      <c r="AD95">
        <v>16584.209999999934</v>
      </c>
      <c r="AE95">
        <v>-14521.969999999961</v>
      </c>
      <c r="AF95">
        <v>45998.270000000346</v>
      </c>
      <c r="AG95">
        <v>61112.240000000034</v>
      </c>
      <c r="AH95">
        <v>15113.969999999956</v>
      </c>
      <c r="AI95">
        <v>-7922.74999999999</v>
      </c>
      <c r="AJ95">
        <v>0</v>
      </c>
      <c r="AK95">
        <v>7922.74999999999</v>
      </c>
      <c r="AL95">
        <v>53921.020000000331</v>
      </c>
      <c r="AM95">
        <v>61112.240000000034</v>
      </c>
      <c r="AN95">
        <v>7191.2200000000412</v>
      </c>
      <c r="AO95">
        <v>1444</v>
      </c>
    </row>
    <row r="96" spans="1:41" x14ac:dyDescent="0.35">
      <c r="A96">
        <v>2024</v>
      </c>
      <c r="B96">
        <v>7</v>
      </c>
      <c r="C96">
        <v>29</v>
      </c>
      <c r="D96" s="14">
        <v>45490</v>
      </c>
      <c r="E96" t="s">
        <v>41</v>
      </c>
      <c r="F96" t="s">
        <v>42</v>
      </c>
      <c r="G96" t="s">
        <v>43</v>
      </c>
      <c r="H96">
        <v>95798.75</v>
      </c>
      <c r="I96">
        <v>95798.75</v>
      </c>
      <c r="J96">
        <v>0</v>
      </c>
      <c r="K96">
        <v>1059.9200000000137</v>
      </c>
      <c r="L96">
        <v>1059.9200000000137</v>
      </c>
      <c r="M96">
        <v>0</v>
      </c>
      <c r="N96">
        <v>2332.3899999999971</v>
      </c>
      <c r="O96">
        <v>2332.3899999999971</v>
      </c>
      <c r="P96">
        <v>0</v>
      </c>
      <c r="Q96">
        <v>-7780.6</v>
      </c>
      <c r="R96">
        <v>-6908.6</v>
      </c>
      <c r="S96">
        <v>872</v>
      </c>
      <c r="T96">
        <v>-3.47</v>
      </c>
      <c r="U96">
        <v>-3.47</v>
      </c>
      <c r="V96">
        <v>0</v>
      </c>
      <c r="W96">
        <v>-60</v>
      </c>
      <c r="X96">
        <v>-60</v>
      </c>
      <c r="Y96">
        <v>0</v>
      </c>
      <c r="Z96">
        <v>91346.990000000485</v>
      </c>
      <c r="AA96">
        <v>92218.9900000005</v>
      </c>
      <c r="AB96">
        <v>872</v>
      </c>
      <c r="AC96">
        <v>38517.739999999481</v>
      </c>
      <c r="AD96">
        <v>21956.569999999883</v>
      </c>
      <c r="AE96">
        <v>-16561.169999999925</v>
      </c>
      <c r="AF96">
        <v>52829.250000000407</v>
      </c>
      <c r="AG96">
        <v>70262.419999999984</v>
      </c>
      <c r="AH96">
        <v>17433.169999999922</v>
      </c>
      <c r="AI96">
        <v>-10384.179999999998</v>
      </c>
      <c r="AJ96">
        <v>0</v>
      </c>
      <c r="AK96">
        <v>10384.179999999998</v>
      </c>
      <c r="AL96">
        <v>63213.430000000255</v>
      </c>
      <c r="AM96">
        <v>70262.419999999984</v>
      </c>
      <c r="AN96">
        <v>7048.9900000000271</v>
      </c>
      <c r="AO96">
        <v>1719</v>
      </c>
    </row>
    <row r="97" spans="1:41" x14ac:dyDescent="0.35">
      <c r="A97">
        <v>2024</v>
      </c>
      <c r="B97">
        <v>7</v>
      </c>
      <c r="C97">
        <v>29</v>
      </c>
      <c r="D97" s="14">
        <v>45491</v>
      </c>
      <c r="E97" t="s">
        <v>41</v>
      </c>
      <c r="F97" t="s">
        <v>42</v>
      </c>
      <c r="G97" t="s">
        <v>43</v>
      </c>
      <c r="H97">
        <v>94146.5</v>
      </c>
      <c r="I97">
        <v>94146.5</v>
      </c>
      <c r="J97">
        <v>0</v>
      </c>
      <c r="K97">
        <v>1104.8200000000079</v>
      </c>
      <c r="L97">
        <v>1097.8200000000074</v>
      </c>
      <c r="M97">
        <v>-7</v>
      </c>
      <c r="N97">
        <v>2395.3199999999961</v>
      </c>
      <c r="O97">
        <v>2395.3199999999961</v>
      </c>
      <c r="P97">
        <v>0</v>
      </c>
      <c r="Q97">
        <v>-7353.9500000000007</v>
      </c>
      <c r="R97">
        <v>-7034.9500000000007</v>
      </c>
      <c r="S97">
        <v>319</v>
      </c>
      <c r="T97">
        <v>-1.77</v>
      </c>
      <c r="U97">
        <v>-1.77</v>
      </c>
      <c r="V97">
        <v>0</v>
      </c>
      <c r="W97">
        <v>-65</v>
      </c>
      <c r="X97">
        <v>-65</v>
      </c>
      <c r="Y97">
        <v>0</v>
      </c>
      <c r="Z97">
        <v>90225.920000000449</v>
      </c>
      <c r="AA97">
        <v>90537.920000000449</v>
      </c>
      <c r="AB97">
        <v>312</v>
      </c>
      <c r="AC97">
        <v>37066.41999999946</v>
      </c>
      <c r="AD97">
        <v>15172.47999999996</v>
      </c>
      <c r="AE97">
        <v>-21893.939999999817</v>
      </c>
      <c r="AF97">
        <v>53159.500000000342</v>
      </c>
      <c r="AG97">
        <v>75365.440000000046</v>
      </c>
      <c r="AH97">
        <v>22205.939999999817</v>
      </c>
      <c r="AI97">
        <v>-7054.5499999999902</v>
      </c>
      <c r="AJ97">
        <v>0</v>
      </c>
      <c r="AK97">
        <v>7054.5499999999902</v>
      </c>
      <c r="AL97">
        <v>60214.050000000323</v>
      </c>
      <c r="AM97">
        <v>75365.440000000046</v>
      </c>
      <c r="AN97">
        <v>15151.389999999916</v>
      </c>
      <c r="AO97">
        <v>1706</v>
      </c>
    </row>
    <row r="98" spans="1:41" x14ac:dyDescent="0.35">
      <c r="A98">
        <v>2024</v>
      </c>
      <c r="B98">
        <v>7</v>
      </c>
      <c r="C98">
        <v>29</v>
      </c>
      <c r="D98" s="14">
        <v>45492</v>
      </c>
      <c r="E98" t="s">
        <v>41</v>
      </c>
      <c r="F98" t="s">
        <v>42</v>
      </c>
      <c r="G98" t="s">
        <v>43</v>
      </c>
      <c r="H98">
        <v>77586.25</v>
      </c>
      <c r="I98">
        <v>77586.25</v>
      </c>
      <c r="J98">
        <v>0</v>
      </c>
      <c r="K98">
        <v>957.36000000001172</v>
      </c>
      <c r="L98">
        <v>950.36000000001172</v>
      </c>
      <c r="M98">
        <v>-7</v>
      </c>
      <c r="N98">
        <v>2214.4599999999987</v>
      </c>
      <c r="O98">
        <v>2214.4599999999987</v>
      </c>
      <c r="P98">
        <v>0</v>
      </c>
      <c r="Q98">
        <v>-6515.85</v>
      </c>
      <c r="R98">
        <v>-5734.85</v>
      </c>
      <c r="S98">
        <v>781</v>
      </c>
      <c r="T98">
        <v>-1.61</v>
      </c>
      <c r="U98">
        <v>-1.1500000000000001</v>
      </c>
      <c r="V98">
        <v>0.46</v>
      </c>
      <c r="W98">
        <v>-85.99</v>
      </c>
      <c r="X98">
        <v>-85.99</v>
      </c>
      <c r="Y98">
        <v>0</v>
      </c>
      <c r="Z98">
        <v>74154.619999999893</v>
      </c>
      <c r="AA98">
        <v>74929.079999999929</v>
      </c>
      <c r="AB98">
        <v>774.46</v>
      </c>
      <c r="AC98">
        <v>25960.689999999831</v>
      </c>
      <c r="AD98">
        <v>10771.049999999996</v>
      </c>
      <c r="AE98">
        <v>-15189.639999999961</v>
      </c>
      <c r="AF98">
        <v>48193.930000000299</v>
      </c>
      <c r="AG98">
        <v>64158.029999999912</v>
      </c>
      <c r="AH98">
        <v>15964.099999999957</v>
      </c>
      <c r="AI98">
        <v>-5024.7700000000041</v>
      </c>
      <c r="AJ98">
        <v>0</v>
      </c>
      <c r="AK98">
        <v>5024.7700000000041</v>
      </c>
      <c r="AL98">
        <v>53218.700000000179</v>
      </c>
      <c r="AM98">
        <v>64158.029999999912</v>
      </c>
      <c r="AN98">
        <v>10939.329999999978</v>
      </c>
      <c r="AO98">
        <v>1400</v>
      </c>
    </row>
    <row r="99" spans="1:41" x14ac:dyDescent="0.35">
      <c r="A99">
        <v>2024</v>
      </c>
      <c r="B99">
        <v>7</v>
      </c>
      <c r="C99">
        <v>29</v>
      </c>
      <c r="D99" s="14">
        <v>45493</v>
      </c>
      <c r="E99" t="s">
        <v>41</v>
      </c>
      <c r="F99" t="s">
        <v>42</v>
      </c>
      <c r="G99" t="s">
        <v>43</v>
      </c>
      <c r="H99">
        <v>79211</v>
      </c>
      <c r="I99">
        <v>79211</v>
      </c>
      <c r="J99">
        <v>0</v>
      </c>
      <c r="K99">
        <v>1084.8300000000065</v>
      </c>
      <c r="L99">
        <v>1077.8300000000065</v>
      </c>
      <c r="M99">
        <v>-7</v>
      </c>
      <c r="N99">
        <v>2408.2799999999957</v>
      </c>
      <c r="O99">
        <v>2408.2799999999957</v>
      </c>
      <c r="P99">
        <v>0</v>
      </c>
      <c r="Q99">
        <v>-6877</v>
      </c>
      <c r="R99">
        <v>-6201</v>
      </c>
      <c r="S99">
        <v>676</v>
      </c>
      <c r="T99">
        <v>-2.33</v>
      </c>
      <c r="U99">
        <v>-2.33</v>
      </c>
      <c r="V99">
        <v>0</v>
      </c>
      <c r="W99">
        <v>-90.990000000000009</v>
      </c>
      <c r="X99">
        <v>-90.990000000000009</v>
      </c>
      <c r="Y99">
        <v>0</v>
      </c>
      <c r="Z99">
        <v>75733.789999999863</v>
      </c>
      <c r="AA99">
        <v>76402.789999999906</v>
      </c>
      <c r="AB99">
        <v>669</v>
      </c>
      <c r="AC99">
        <v>22919.519999999844</v>
      </c>
      <c r="AD99">
        <v>11924.72999999999</v>
      </c>
      <c r="AE99">
        <v>-10994.789999999992</v>
      </c>
      <c r="AF99">
        <v>52814.270000000266</v>
      </c>
      <c r="AG99">
        <v>64478.059999999925</v>
      </c>
      <c r="AH99">
        <v>11663.789999999985</v>
      </c>
      <c r="AI99">
        <v>-5598.33</v>
      </c>
      <c r="AJ99">
        <v>0</v>
      </c>
      <c r="AK99">
        <v>5598.33</v>
      </c>
      <c r="AL99">
        <v>58412.60000000021</v>
      </c>
      <c r="AM99">
        <v>64478.059999999925</v>
      </c>
      <c r="AN99">
        <v>6065.4600000000173</v>
      </c>
      <c r="AO99">
        <v>1422</v>
      </c>
    </row>
    <row r="100" spans="1:41" x14ac:dyDescent="0.35">
      <c r="A100">
        <v>2024</v>
      </c>
      <c r="B100">
        <v>7</v>
      </c>
      <c r="C100">
        <v>29</v>
      </c>
      <c r="D100" s="14">
        <v>45487</v>
      </c>
      <c r="E100" t="s">
        <v>44</v>
      </c>
      <c r="F100" t="s">
        <v>42</v>
      </c>
      <c r="G100" t="s">
        <v>45</v>
      </c>
      <c r="H100">
        <v>130957</v>
      </c>
      <c r="I100">
        <v>130957</v>
      </c>
      <c r="J100">
        <v>0</v>
      </c>
      <c r="K100">
        <v>1000.0300000000083</v>
      </c>
      <c r="L100">
        <v>1000.0300000000083</v>
      </c>
      <c r="M100">
        <v>0</v>
      </c>
      <c r="N100">
        <v>5607.3999999999514</v>
      </c>
      <c r="O100">
        <v>5526.4599999999527</v>
      </c>
      <c r="P100">
        <v>-80.94</v>
      </c>
      <c r="Q100">
        <v>-20642.95</v>
      </c>
      <c r="R100">
        <v>-19809.95</v>
      </c>
      <c r="S100">
        <v>833</v>
      </c>
      <c r="T100">
        <v>-7.8100000000000014</v>
      </c>
      <c r="U100">
        <v>-7.8100000000000014</v>
      </c>
      <c r="V100">
        <v>0</v>
      </c>
      <c r="W100">
        <v>-205.06000000000003</v>
      </c>
      <c r="X100">
        <v>-205.06000000000003</v>
      </c>
      <c r="Y100">
        <v>0</v>
      </c>
      <c r="Z100">
        <v>116708.6100000008</v>
      </c>
      <c r="AA100">
        <v>117460.67000000078</v>
      </c>
      <c r="AB100">
        <v>752.06</v>
      </c>
      <c r="AC100">
        <v>31321.009999999806</v>
      </c>
      <c r="AD100">
        <v>15441.889999999952</v>
      </c>
      <c r="AE100">
        <v>-15879.11999999995</v>
      </c>
      <c r="AF100">
        <v>85387.600000000515</v>
      </c>
      <c r="AG100">
        <v>102018.78000000062</v>
      </c>
      <c r="AH100">
        <v>16631.179999999949</v>
      </c>
      <c r="AI100">
        <v>-7995.84</v>
      </c>
      <c r="AJ100">
        <v>0</v>
      </c>
      <c r="AK100">
        <v>7995.84</v>
      </c>
      <c r="AL100">
        <v>93383.440000000235</v>
      </c>
      <c r="AM100">
        <v>102018.78000000062</v>
      </c>
      <c r="AN100">
        <v>8635.3400000000202</v>
      </c>
      <c r="AO100">
        <v>1716</v>
      </c>
    </row>
    <row r="101" spans="1:41" x14ac:dyDescent="0.35">
      <c r="A101">
        <v>2024</v>
      </c>
      <c r="B101">
        <v>7</v>
      </c>
      <c r="C101">
        <v>29</v>
      </c>
      <c r="D101" s="14">
        <v>45488</v>
      </c>
      <c r="E101" t="s">
        <v>44</v>
      </c>
      <c r="F101" t="s">
        <v>42</v>
      </c>
      <c r="G101" t="s">
        <v>45</v>
      </c>
      <c r="H101">
        <v>108514</v>
      </c>
      <c r="I101">
        <v>108514</v>
      </c>
      <c r="J101">
        <v>0</v>
      </c>
      <c r="K101">
        <v>643.42000000000019</v>
      </c>
      <c r="L101">
        <v>643.42000000000019</v>
      </c>
      <c r="M101">
        <v>0</v>
      </c>
      <c r="N101">
        <v>5225.649999999956</v>
      </c>
      <c r="O101">
        <v>5225.649999999956</v>
      </c>
      <c r="P101">
        <v>0</v>
      </c>
      <c r="Q101">
        <v>-17208.400000000001</v>
      </c>
      <c r="R101">
        <v>-16391.400000000001</v>
      </c>
      <c r="S101">
        <v>817</v>
      </c>
      <c r="T101">
        <v>-1.7300000000000002</v>
      </c>
      <c r="U101">
        <v>-1.7300000000000002</v>
      </c>
      <c r="V101">
        <v>0</v>
      </c>
      <c r="W101">
        <v>-119.17999999999999</v>
      </c>
      <c r="X101">
        <v>-119.17999999999999</v>
      </c>
      <c r="Y101">
        <v>0</v>
      </c>
      <c r="Z101">
        <v>97053.760000000344</v>
      </c>
      <c r="AA101">
        <v>97870.760000000359</v>
      </c>
      <c r="AB101">
        <v>817</v>
      </c>
      <c r="AC101">
        <v>26228.389999999832</v>
      </c>
      <c r="AD101">
        <v>11141.669999999991</v>
      </c>
      <c r="AE101">
        <v>-15086.719999999941</v>
      </c>
      <c r="AF101">
        <v>70825.370000000257</v>
      </c>
      <c r="AG101">
        <v>86729.0900000002</v>
      </c>
      <c r="AH101">
        <v>15903.719999999934</v>
      </c>
      <c r="AI101">
        <v>-6000.8200000000033</v>
      </c>
      <c r="AJ101">
        <v>0</v>
      </c>
      <c r="AK101">
        <v>6000.8200000000033</v>
      </c>
      <c r="AL101">
        <v>76826.19000000009</v>
      </c>
      <c r="AM101">
        <v>86729.0900000002</v>
      </c>
      <c r="AN101">
        <v>9902.8999999999851</v>
      </c>
      <c r="AO101">
        <v>1405</v>
      </c>
    </row>
    <row r="102" spans="1:41" x14ac:dyDescent="0.35">
      <c r="A102">
        <v>2024</v>
      </c>
      <c r="B102">
        <v>7</v>
      </c>
      <c r="C102">
        <v>29</v>
      </c>
      <c r="D102" s="14">
        <v>45489</v>
      </c>
      <c r="E102" t="s">
        <v>44</v>
      </c>
      <c r="F102" t="s">
        <v>42</v>
      </c>
      <c r="G102" t="s">
        <v>45</v>
      </c>
      <c r="H102">
        <v>91645</v>
      </c>
      <c r="I102">
        <v>91645</v>
      </c>
      <c r="J102">
        <v>0</v>
      </c>
      <c r="K102">
        <v>617.050000000002</v>
      </c>
      <c r="L102">
        <v>617.050000000002</v>
      </c>
      <c r="M102">
        <v>0</v>
      </c>
      <c r="N102">
        <v>4020.4199999999737</v>
      </c>
      <c r="O102">
        <v>4004.4299999999739</v>
      </c>
      <c r="P102">
        <v>-15.99</v>
      </c>
      <c r="Q102">
        <v>-14149.15</v>
      </c>
      <c r="R102">
        <v>-13457.15</v>
      </c>
      <c r="S102">
        <v>692</v>
      </c>
      <c r="T102">
        <v>-1.06</v>
      </c>
      <c r="U102">
        <v>-1.06</v>
      </c>
      <c r="V102">
        <v>0</v>
      </c>
      <c r="W102">
        <v>-76.59</v>
      </c>
      <c r="X102">
        <v>-76.59</v>
      </c>
      <c r="Y102">
        <v>0</v>
      </c>
      <c r="Z102">
        <v>82055.670000000129</v>
      </c>
      <c r="AA102">
        <v>82731.680000000139</v>
      </c>
      <c r="AB102">
        <v>676.01</v>
      </c>
      <c r="AC102">
        <v>20399.919999999864</v>
      </c>
      <c r="AD102">
        <v>9435.7299999999977</v>
      </c>
      <c r="AE102">
        <v>-10964.189999999977</v>
      </c>
      <c r="AF102">
        <v>61655.750000000131</v>
      </c>
      <c r="AG102">
        <v>73295.950000000084</v>
      </c>
      <c r="AH102">
        <v>11640.19999999997</v>
      </c>
      <c r="AI102">
        <v>-4906.0800000000008</v>
      </c>
      <c r="AJ102">
        <v>0</v>
      </c>
      <c r="AK102">
        <v>4906.0800000000008</v>
      </c>
      <c r="AL102">
        <v>66561.830000000089</v>
      </c>
      <c r="AM102">
        <v>73295.950000000084</v>
      </c>
      <c r="AN102">
        <v>6734.1200000000199</v>
      </c>
      <c r="AO102">
        <v>1169</v>
      </c>
    </row>
    <row r="103" spans="1:41" x14ac:dyDescent="0.35">
      <c r="A103">
        <v>2024</v>
      </c>
      <c r="B103">
        <v>7</v>
      </c>
      <c r="C103">
        <v>29</v>
      </c>
      <c r="D103" s="14">
        <v>45490</v>
      </c>
      <c r="E103" t="s">
        <v>44</v>
      </c>
      <c r="F103" t="s">
        <v>42</v>
      </c>
      <c r="G103" t="s">
        <v>45</v>
      </c>
      <c r="H103">
        <v>118102</v>
      </c>
      <c r="I103">
        <v>118102</v>
      </c>
      <c r="J103">
        <v>0</v>
      </c>
      <c r="K103">
        <v>761.64000000000283</v>
      </c>
      <c r="L103">
        <v>761.64000000000283</v>
      </c>
      <c r="M103">
        <v>0</v>
      </c>
      <c r="N103">
        <v>4855.8999999999614</v>
      </c>
      <c r="O103">
        <v>4820.9199999999619</v>
      </c>
      <c r="P103">
        <v>-34.980000000000004</v>
      </c>
      <c r="Q103">
        <v>-18356.2</v>
      </c>
      <c r="R103">
        <v>-17485.95</v>
      </c>
      <c r="S103">
        <v>870.25</v>
      </c>
      <c r="T103">
        <v>-1.81</v>
      </c>
      <c r="U103">
        <v>-1.81</v>
      </c>
      <c r="V103">
        <v>0</v>
      </c>
      <c r="W103">
        <v>-86.990000000000009</v>
      </c>
      <c r="X103">
        <v>-86.990000000000009</v>
      </c>
      <c r="Y103">
        <v>0</v>
      </c>
      <c r="Z103">
        <v>105274.5400000004</v>
      </c>
      <c r="AA103">
        <v>106109.81000000042</v>
      </c>
      <c r="AB103">
        <v>835.27</v>
      </c>
      <c r="AC103">
        <v>24817.389999999839</v>
      </c>
      <c r="AD103">
        <v>15698.409999999951</v>
      </c>
      <c r="AE103">
        <v>-9118.9800000000014</v>
      </c>
      <c r="AF103">
        <v>80457.150000000169</v>
      </c>
      <c r="AG103">
        <v>90411.400000000183</v>
      </c>
      <c r="AH103">
        <v>9954.2499999999964</v>
      </c>
      <c r="AI103">
        <v>-8061.6399999999994</v>
      </c>
      <c r="AJ103">
        <v>0</v>
      </c>
      <c r="AK103">
        <v>8061.6399999999994</v>
      </c>
      <c r="AL103">
        <v>88518.790000000154</v>
      </c>
      <c r="AM103">
        <v>90411.400000000183</v>
      </c>
      <c r="AN103">
        <v>1892.6100000000038</v>
      </c>
      <c r="AO103">
        <v>1516</v>
      </c>
    </row>
    <row r="104" spans="1:41" x14ac:dyDescent="0.35">
      <c r="A104">
        <v>2024</v>
      </c>
      <c r="B104">
        <v>7</v>
      </c>
      <c r="C104">
        <v>29</v>
      </c>
      <c r="D104" s="14">
        <v>45491</v>
      </c>
      <c r="E104" t="s">
        <v>44</v>
      </c>
      <c r="F104" t="s">
        <v>42</v>
      </c>
      <c r="G104" t="s">
        <v>45</v>
      </c>
      <c r="H104">
        <v>126549</v>
      </c>
      <c r="I104">
        <v>126549</v>
      </c>
      <c r="J104">
        <v>0</v>
      </c>
      <c r="K104">
        <v>921.70000000000834</v>
      </c>
      <c r="L104">
        <v>921.70000000000834</v>
      </c>
      <c r="M104">
        <v>0</v>
      </c>
      <c r="N104">
        <v>5253.5499999999556</v>
      </c>
      <c r="O104">
        <v>5218.5699999999561</v>
      </c>
      <c r="P104">
        <v>-34.980000000000004</v>
      </c>
      <c r="Q104">
        <v>-19933.45</v>
      </c>
      <c r="R104">
        <v>-19394.95</v>
      </c>
      <c r="S104">
        <v>538.5</v>
      </c>
      <c r="T104">
        <v>-2.2400000000000002</v>
      </c>
      <c r="U104">
        <v>-2.2400000000000002</v>
      </c>
      <c r="V104">
        <v>0</v>
      </c>
      <c r="W104">
        <v>-88.49</v>
      </c>
      <c r="X104">
        <v>-88.49</v>
      </c>
      <c r="Y104">
        <v>0</v>
      </c>
      <c r="Z104">
        <v>112700.07000000076</v>
      </c>
      <c r="AA104">
        <v>113203.59000000075</v>
      </c>
      <c r="AB104">
        <v>503.52</v>
      </c>
      <c r="AC104">
        <v>25870.899999999845</v>
      </c>
      <c r="AD104">
        <v>10261.570000000011</v>
      </c>
      <c r="AE104">
        <v>-15609.32999999994</v>
      </c>
      <c r="AF104">
        <v>86829.170000000449</v>
      </c>
      <c r="AG104">
        <v>102942.02000000046</v>
      </c>
      <c r="AH104">
        <v>16112.849999999937</v>
      </c>
      <c r="AI104">
        <v>-5275.2000000000007</v>
      </c>
      <c r="AJ104">
        <v>0</v>
      </c>
      <c r="AK104">
        <v>5275.2000000000007</v>
      </c>
      <c r="AL104">
        <v>92104.370000000214</v>
      </c>
      <c r="AM104">
        <v>102942.02000000046</v>
      </c>
      <c r="AN104">
        <v>10837.649999999978</v>
      </c>
      <c r="AO104">
        <v>1624</v>
      </c>
    </row>
    <row r="105" spans="1:41" x14ac:dyDescent="0.35">
      <c r="A105">
        <v>2024</v>
      </c>
      <c r="B105">
        <v>7</v>
      </c>
      <c r="C105">
        <v>29</v>
      </c>
      <c r="D105" s="14">
        <v>45492</v>
      </c>
      <c r="E105" t="s">
        <v>44</v>
      </c>
      <c r="F105" t="s">
        <v>42</v>
      </c>
      <c r="G105" t="s">
        <v>45</v>
      </c>
      <c r="H105">
        <v>113278</v>
      </c>
      <c r="I105">
        <v>113278</v>
      </c>
      <c r="J105">
        <v>0</v>
      </c>
      <c r="K105">
        <v>674.15000000000168</v>
      </c>
      <c r="L105">
        <v>674.15000000000168</v>
      </c>
      <c r="M105">
        <v>0</v>
      </c>
      <c r="N105">
        <v>4788.7799999999606</v>
      </c>
      <c r="O105">
        <v>4788.7799999999606</v>
      </c>
      <c r="P105">
        <v>0</v>
      </c>
      <c r="Q105">
        <v>-17362</v>
      </c>
      <c r="R105">
        <v>-16354</v>
      </c>
      <c r="S105">
        <v>1008</v>
      </c>
      <c r="T105">
        <v>-0.46</v>
      </c>
      <c r="U105">
        <v>-0.46</v>
      </c>
      <c r="V105">
        <v>0</v>
      </c>
      <c r="W105">
        <v>-39.5</v>
      </c>
      <c r="X105">
        <v>-39.5</v>
      </c>
      <c r="Y105">
        <v>0</v>
      </c>
      <c r="Z105">
        <v>101338.97000000039</v>
      </c>
      <c r="AA105">
        <v>102346.97000000039</v>
      </c>
      <c r="AB105">
        <v>1008</v>
      </c>
      <c r="AC105">
        <v>19229.289999999884</v>
      </c>
      <c r="AD105">
        <v>9004.3500000000149</v>
      </c>
      <c r="AE105">
        <v>-10224.940000000002</v>
      </c>
      <c r="AF105">
        <v>82109.680000000226</v>
      </c>
      <c r="AG105">
        <v>93342.620000000301</v>
      </c>
      <c r="AH105">
        <v>11232.939999999999</v>
      </c>
      <c r="AI105">
        <v>-4688.7800000000016</v>
      </c>
      <c r="AJ105">
        <v>0</v>
      </c>
      <c r="AK105">
        <v>4688.7800000000016</v>
      </c>
      <c r="AL105">
        <v>86798.460000000021</v>
      </c>
      <c r="AM105">
        <v>93342.620000000301</v>
      </c>
      <c r="AN105">
        <v>6544.1600000000126</v>
      </c>
      <c r="AO105">
        <v>1475</v>
      </c>
    </row>
    <row r="106" spans="1:41" x14ac:dyDescent="0.35">
      <c r="A106">
        <v>2024</v>
      </c>
      <c r="B106">
        <v>7</v>
      </c>
      <c r="C106">
        <v>29</v>
      </c>
      <c r="D106" s="14">
        <v>45493</v>
      </c>
      <c r="E106" t="s">
        <v>44</v>
      </c>
      <c r="F106" t="s">
        <v>42</v>
      </c>
      <c r="G106" t="s">
        <v>45</v>
      </c>
      <c r="H106">
        <v>111035</v>
      </c>
      <c r="I106">
        <v>111035</v>
      </c>
      <c r="J106">
        <v>0</v>
      </c>
      <c r="K106">
        <v>826.73000000000775</v>
      </c>
      <c r="L106">
        <v>826.73000000000775</v>
      </c>
      <c r="M106">
        <v>0</v>
      </c>
      <c r="N106">
        <v>4756.7499999999609</v>
      </c>
      <c r="O106">
        <v>4718.7699999999613</v>
      </c>
      <c r="P106">
        <v>-37.980000000000004</v>
      </c>
      <c r="Q106">
        <v>-17063.75</v>
      </c>
      <c r="R106">
        <v>-16272.25</v>
      </c>
      <c r="S106">
        <v>791.5</v>
      </c>
      <c r="T106">
        <v>-10.86</v>
      </c>
      <c r="U106">
        <v>-10.86</v>
      </c>
      <c r="V106">
        <v>0</v>
      </c>
      <c r="W106">
        <v>-99.3</v>
      </c>
      <c r="X106">
        <v>-99.3</v>
      </c>
      <c r="Y106">
        <v>0</v>
      </c>
      <c r="Z106">
        <v>99444.570000000473</v>
      </c>
      <c r="AA106">
        <v>100198.09000000048</v>
      </c>
      <c r="AB106">
        <v>753.52</v>
      </c>
      <c r="AC106">
        <v>16803.859999999935</v>
      </c>
      <c r="AD106">
        <v>7861.9600000000228</v>
      </c>
      <c r="AE106">
        <v>-8941.9000000000106</v>
      </c>
      <c r="AF106">
        <v>82640.710000000312</v>
      </c>
      <c r="AG106">
        <v>92336.130000000296</v>
      </c>
      <c r="AH106">
        <v>9695.4200000000055</v>
      </c>
      <c r="AI106">
        <v>-4162.6699999999983</v>
      </c>
      <c r="AJ106">
        <v>0</v>
      </c>
      <c r="AK106">
        <v>4162.6699999999983</v>
      </c>
      <c r="AL106">
        <v>86803.380000000121</v>
      </c>
      <c r="AM106">
        <v>92336.130000000296</v>
      </c>
      <c r="AN106">
        <v>5532.7500000000355</v>
      </c>
      <c r="AO106">
        <v>1451</v>
      </c>
    </row>
    <row r="107" spans="1:41" x14ac:dyDescent="0.35">
      <c r="A107">
        <v>2024</v>
      </c>
      <c r="B107">
        <v>7</v>
      </c>
      <c r="C107">
        <v>29</v>
      </c>
      <c r="D107" s="14">
        <v>45487</v>
      </c>
      <c r="E107" t="s">
        <v>44</v>
      </c>
      <c r="F107" t="s">
        <v>42</v>
      </c>
      <c r="G107" t="s">
        <v>46</v>
      </c>
      <c r="H107">
        <v>40853.08</v>
      </c>
      <c r="I107">
        <v>40853.08</v>
      </c>
      <c r="J107">
        <v>0</v>
      </c>
      <c r="K107">
        <v>218.92999999999992</v>
      </c>
      <c r="L107">
        <v>218.92999999999992</v>
      </c>
      <c r="M107">
        <v>0</v>
      </c>
      <c r="N107">
        <v>895.46000000000038</v>
      </c>
      <c r="O107">
        <v>895.46000000000038</v>
      </c>
      <c r="P107">
        <v>0</v>
      </c>
      <c r="Q107">
        <v>-13282.830000000002</v>
      </c>
      <c r="R107">
        <v>-13018.830000000002</v>
      </c>
      <c r="S107">
        <v>264</v>
      </c>
      <c r="T107">
        <v>-0.94000000000000006</v>
      </c>
      <c r="U107">
        <v>-0.94000000000000006</v>
      </c>
      <c r="V107">
        <v>0</v>
      </c>
      <c r="W107">
        <v>-4.8</v>
      </c>
      <c r="X107">
        <v>-4.8</v>
      </c>
      <c r="Y107">
        <v>0</v>
      </c>
      <c r="Z107">
        <v>28678.899999999994</v>
      </c>
      <c r="AA107">
        <v>28942.899999999994</v>
      </c>
      <c r="AB107">
        <v>264</v>
      </c>
      <c r="AC107">
        <v>10506.619999999995</v>
      </c>
      <c r="AD107">
        <v>4844.9500000000053</v>
      </c>
      <c r="AE107">
        <v>-5661.6700000000055</v>
      </c>
      <c r="AF107">
        <v>18172.28000000001</v>
      </c>
      <c r="AG107">
        <v>24097.950000000004</v>
      </c>
      <c r="AH107">
        <v>5925.6700000000064</v>
      </c>
      <c r="AI107">
        <v>-1449.23</v>
      </c>
      <c r="AJ107">
        <v>0</v>
      </c>
      <c r="AK107">
        <v>1449.23</v>
      </c>
      <c r="AL107">
        <v>19621.509999999991</v>
      </c>
      <c r="AM107">
        <v>24097.950000000004</v>
      </c>
      <c r="AN107">
        <v>4476.4400000000041</v>
      </c>
      <c r="AO107">
        <v>479</v>
      </c>
    </row>
    <row r="108" spans="1:41" x14ac:dyDescent="0.35">
      <c r="A108">
        <v>2024</v>
      </c>
      <c r="B108">
        <v>7</v>
      </c>
      <c r="C108">
        <v>29</v>
      </c>
      <c r="D108" s="14">
        <v>45488</v>
      </c>
      <c r="E108" t="s">
        <v>44</v>
      </c>
      <c r="F108" t="s">
        <v>42</v>
      </c>
      <c r="G108" t="s">
        <v>46</v>
      </c>
      <c r="H108">
        <v>29577.22</v>
      </c>
      <c r="I108">
        <v>29577.22</v>
      </c>
      <c r="J108">
        <v>0</v>
      </c>
      <c r="K108">
        <v>87.210000000000008</v>
      </c>
      <c r="L108">
        <v>87.210000000000008</v>
      </c>
      <c r="M108">
        <v>0</v>
      </c>
      <c r="N108">
        <v>882.47000000000037</v>
      </c>
      <c r="O108">
        <v>882.47000000000037</v>
      </c>
      <c r="P108">
        <v>0</v>
      </c>
      <c r="Q108">
        <v>-10263.820000000002</v>
      </c>
      <c r="R108">
        <v>-10007.820000000002</v>
      </c>
      <c r="S108">
        <v>256</v>
      </c>
      <c r="T108">
        <v>0</v>
      </c>
      <c r="U108">
        <v>0</v>
      </c>
      <c r="V108">
        <v>0</v>
      </c>
      <c r="W108">
        <v>-4.8</v>
      </c>
      <c r="X108">
        <v>-4.8</v>
      </c>
      <c r="Y108">
        <v>0</v>
      </c>
      <c r="Z108">
        <v>20278.280000000006</v>
      </c>
      <c r="AA108">
        <v>20534.280000000006</v>
      </c>
      <c r="AB108">
        <v>256</v>
      </c>
      <c r="AC108">
        <v>7584.7400000000098</v>
      </c>
      <c r="AD108">
        <v>2949.550000000002</v>
      </c>
      <c r="AE108">
        <v>-4635.1900000000051</v>
      </c>
      <c r="AF108">
        <v>12693.540000000003</v>
      </c>
      <c r="AG108">
        <v>17584.730000000003</v>
      </c>
      <c r="AH108">
        <v>4891.1900000000041</v>
      </c>
      <c r="AI108">
        <v>-1161.1399999999999</v>
      </c>
      <c r="AJ108">
        <v>0</v>
      </c>
      <c r="AK108">
        <v>1161.1399999999999</v>
      </c>
      <c r="AL108">
        <v>13854.68</v>
      </c>
      <c r="AM108">
        <v>17584.730000000003</v>
      </c>
      <c r="AN108">
        <v>3730.0500000000015</v>
      </c>
      <c r="AO108">
        <v>329</v>
      </c>
    </row>
    <row r="109" spans="1:41" x14ac:dyDescent="0.35">
      <c r="A109">
        <v>2024</v>
      </c>
      <c r="B109">
        <v>7</v>
      </c>
      <c r="C109">
        <v>29</v>
      </c>
      <c r="D109" s="14">
        <v>45489</v>
      </c>
      <c r="E109" t="s">
        <v>44</v>
      </c>
      <c r="F109" t="s">
        <v>42</v>
      </c>
      <c r="G109" t="s">
        <v>46</v>
      </c>
      <c r="H109">
        <v>20331.43</v>
      </c>
      <c r="I109">
        <v>20331.43</v>
      </c>
      <c r="J109">
        <v>0</v>
      </c>
      <c r="K109">
        <v>80.259999999999948</v>
      </c>
      <c r="L109">
        <v>80.259999999999948</v>
      </c>
      <c r="M109">
        <v>0</v>
      </c>
      <c r="N109">
        <v>429.74000000000012</v>
      </c>
      <c r="O109">
        <v>429.74000000000012</v>
      </c>
      <c r="P109">
        <v>0</v>
      </c>
      <c r="Q109">
        <v>-6916.8300000000017</v>
      </c>
      <c r="R109">
        <v>-6788.8300000000017</v>
      </c>
      <c r="S109">
        <v>128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13924.599999999984</v>
      </c>
      <c r="AA109">
        <v>14052.599999999984</v>
      </c>
      <c r="AB109">
        <v>128</v>
      </c>
      <c r="AC109">
        <v>4704.9300000000057</v>
      </c>
      <c r="AD109">
        <v>1818.7600000000002</v>
      </c>
      <c r="AE109">
        <v>-2886.1700000000028</v>
      </c>
      <c r="AF109">
        <v>9219.6699999999928</v>
      </c>
      <c r="AG109">
        <v>12233.839999999991</v>
      </c>
      <c r="AH109">
        <v>3014.1700000000028</v>
      </c>
      <c r="AI109">
        <v>-693.2299999999999</v>
      </c>
      <c r="AJ109">
        <v>0</v>
      </c>
      <c r="AK109">
        <v>693.2299999999999</v>
      </c>
      <c r="AL109">
        <v>9912.9000000000051</v>
      </c>
      <c r="AM109">
        <v>12233.839999999991</v>
      </c>
      <c r="AN109">
        <v>2320.9400000000014</v>
      </c>
      <c r="AO109">
        <v>229</v>
      </c>
    </row>
    <row r="110" spans="1:41" x14ac:dyDescent="0.35">
      <c r="A110">
        <v>2024</v>
      </c>
      <c r="B110">
        <v>7</v>
      </c>
      <c r="C110">
        <v>29</v>
      </c>
      <c r="D110" s="14">
        <v>45490</v>
      </c>
      <c r="E110" t="s">
        <v>44</v>
      </c>
      <c r="F110" t="s">
        <v>42</v>
      </c>
      <c r="G110" t="s">
        <v>46</v>
      </c>
      <c r="H110">
        <v>33034.01</v>
      </c>
      <c r="I110">
        <v>33034.01</v>
      </c>
      <c r="J110">
        <v>0</v>
      </c>
      <c r="K110">
        <v>245.7000000000001</v>
      </c>
      <c r="L110">
        <v>245.7000000000001</v>
      </c>
      <c r="M110">
        <v>0</v>
      </c>
      <c r="N110">
        <v>819.46000000000038</v>
      </c>
      <c r="O110">
        <v>819.46000000000038</v>
      </c>
      <c r="P110">
        <v>0</v>
      </c>
      <c r="Q110">
        <v>-11077.970000000003</v>
      </c>
      <c r="R110">
        <v>-10802.760000000002</v>
      </c>
      <c r="S110">
        <v>275.21000000000004</v>
      </c>
      <c r="T110">
        <v>0</v>
      </c>
      <c r="U110">
        <v>0</v>
      </c>
      <c r="V110">
        <v>0</v>
      </c>
      <c r="W110">
        <v>-5</v>
      </c>
      <c r="X110">
        <v>-5</v>
      </c>
      <c r="Y110">
        <v>0</v>
      </c>
      <c r="Z110">
        <v>23016.200000000008</v>
      </c>
      <c r="AA110">
        <v>23291.410000000011</v>
      </c>
      <c r="AB110">
        <v>275.21000000000004</v>
      </c>
      <c r="AC110">
        <v>6881.1700000000092</v>
      </c>
      <c r="AD110">
        <v>5100.0400000000063</v>
      </c>
      <c r="AE110">
        <v>-1781.1300000000003</v>
      </c>
      <c r="AF110">
        <v>16135.030000000012</v>
      </c>
      <c r="AG110">
        <v>18191.370000000003</v>
      </c>
      <c r="AH110">
        <v>2056.34</v>
      </c>
      <c r="AI110">
        <v>-1546.7799999999979</v>
      </c>
      <c r="AJ110">
        <v>0</v>
      </c>
      <c r="AK110">
        <v>1546.7799999999979</v>
      </c>
      <c r="AL110">
        <v>17681.809999999994</v>
      </c>
      <c r="AM110">
        <v>18191.370000000003</v>
      </c>
      <c r="AN110">
        <v>509.55999999999989</v>
      </c>
      <c r="AO110">
        <v>387</v>
      </c>
    </row>
    <row r="111" spans="1:41" x14ac:dyDescent="0.35">
      <c r="A111">
        <v>2024</v>
      </c>
      <c r="B111">
        <v>7</v>
      </c>
      <c r="C111">
        <v>29</v>
      </c>
      <c r="D111" s="14">
        <v>45491</v>
      </c>
      <c r="E111" t="s">
        <v>44</v>
      </c>
      <c r="F111" t="s">
        <v>42</v>
      </c>
      <c r="G111" t="s">
        <v>46</v>
      </c>
      <c r="H111">
        <v>40991.22</v>
      </c>
      <c r="I111">
        <v>40991.22</v>
      </c>
      <c r="J111">
        <v>0</v>
      </c>
      <c r="K111">
        <v>241.98000000000002</v>
      </c>
      <c r="L111">
        <v>241.98000000000002</v>
      </c>
      <c r="M111">
        <v>0</v>
      </c>
      <c r="N111">
        <v>1013.3300000000005</v>
      </c>
      <c r="O111">
        <v>1000.3400000000005</v>
      </c>
      <c r="P111">
        <v>-12.99</v>
      </c>
      <c r="Q111">
        <v>-13454.96</v>
      </c>
      <c r="R111">
        <v>-13421.96</v>
      </c>
      <c r="S111">
        <v>33</v>
      </c>
      <c r="T111">
        <v>0</v>
      </c>
      <c r="U111">
        <v>0</v>
      </c>
      <c r="V111">
        <v>0</v>
      </c>
      <c r="W111">
        <v>-25</v>
      </c>
      <c r="X111">
        <v>-25</v>
      </c>
      <c r="Y111">
        <v>0</v>
      </c>
      <c r="Z111">
        <v>28766.570000000007</v>
      </c>
      <c r="AA111">
        <v>28786.580000000005</v>
      </c>
      <c r="AB111">
        <v>20.009999999999998</v>
      </c>
      <c r="AC111">
        <v>8946.29000000001</v>
      </c>
      <c r="AD111">
        <v>4178.4500000000062</v>
      </c>
      <c r="AE111">
        <v>-4767.8400000000047</v>
      </c>
      <c r="AF111">
        <v>19820.280000000017</v>
      </c>
      <c r="AG111">
        <v>24608.130000000019</v>
      </c>
      <c r="AH111">
        <v>4787.8500000000049</v>
      </c>
      <c r="AI111">
        <v>-976.77999999999986</v>
      </c>
      <c r="AJ111">
        <v>0</v>
      </c>
      <c r="AK111">
        <v>976.77999999999986</v>
      </c>
      <c r="AL111">
        <v>20797.060000000009</v>
      </c>
      <c r="AM111">
        <v>24608.130000000019</v>
      </c>
      <c r="AN111">
        <v>3811.070000000002</v>
      </c>
      <c r="AO111">
        <v>477</v>
      </c>
    </row>
    <row r="112" spans="1:41" x14ac:dyDescent="0.35">
      <c r="A112">
        <v>2024</v>
      </c>
      <c r="B112">
        <v>7</v>
      </c>
      <c r="C112">
        <v>29</v>
      </c>
      <c r="D112" s="14">
        <v>45492</v>
      </c>
      <c r="E112" t="s">
        <v>44</v>
      </c>
      <c r="F112" t="s">
        <v>42</v>
      </c>
      <c r="G112" t="s">
        <v>46</v>
      </c>
      <c r="H112">
        <v>45603.79</v>
      </c>
      <c r="I112">
        <v>45603.79</v>
      </c>
      <c r="J112">
        <v>0</v>
      </c>
      <c r="K112">
        <v>253.37000000000015</v>
      </c>
      <c r="L112">
        <v>253.37000000000015</v>
      </c>
      <c r="M112">
        <v>0</v>
      </c>
      <c r="N112">
        <v>1144.2700000000004</v>
      </c>
      <c r="O112">
        <v>1144.2700000000004</v>
      </c>
      <c r="P112">
        <v>0</v>
      </c>
      <c r="Q112">
        <v>-15164.980000000001</v>
      </c>
      <c r="R112">
        <v>-14762.980000000001</v>
      </c>
      <c r="S112">
        <v>402</v>
      </c>
      <c r="T112">
        <v>0</v>
      </c>
      <c r="U112">
        <v>0</v>
      </c>
      <c r="V112">
        <v>0</v>
      </c>
      <c r="W112">
        <v>-40.99</v>
      </c>
      <c r="X112">
        <v>-40.99</v>
      </c>
      <c r="Y112">
        <v>0</v>
      </c>
      <c r="Z112">
        <v>31795.460000000014</v>
      </c>
      <c r="AA112">
        <v>32197.460000000017</v>
      </c>
      <c r="AB112">
        <v>402</v>
      </c>
      <c r="AC112">
        <v>8396.3200000000197</v>
      </c>
      <c r="AD112">
        <v>4346.2700000000095</v>
      </c>
      <c r="AE112">
        <v>-4050.0500000000084</v>
      </c>
      <c r="AF112">
        <v>23399.140000000065</v>
      </c>
      <c r="AG112">
        <v>27851.190000000035</v>
      </c>
      <c r="AH112">
        <v>4452.0500000000084</v>
      </c>
      <c r="AI112">
        <v>-1166.4599999999989</v>
      </c>
      <c r="AJ112">
        <v>0</v>
      </c>
      <c r="AK112">
        <v>1166.4599999999989</v>
      </c>
      <c r="AL112">
        <v>24565.600000000009</v>
      </c>
      <c r="AM112">
        <v>27851.190000000035</v>
      </c>
      <c r="AN112">
        <v>3285.590000000002</v>
      </c>
      <c r="AO112">
        <v>526</v>
      </c>
    </row>
    <row r="113" spans="1:41" x14ac:dyDescent="0.35">
      <c r="A113">
        <v>2024</v>
      </c>
      <c r="B113">
        <v>7</v>
      </c>
      <c r="C113">
        <v>29</v>
      </c>
      <c r="D113" s="14">
        <v>45493</v>
      </c>
      <c r="E113" t="s">
        <v>44</v>
      </c>
      <c r="F113" t="s">
        <v>42</v>
      </c>
      <c r="G113" t="s">
        <v>46</v>
      </c>
      <c r="H113">
        <v>51927.61</v>
      </c>
      <c r="I113">
        <v>51927.61</v>
      </c>
      <c r="J113">
        <v>0</v>
      </c>
      <c r="K113">
        <v>471.13999999999925</v>
      </c>
      <c r="L113">
        <v>471.13999999999925</v>
      </c>
      <c r="M113">
        <v>0</v>
      </c>
      <c r="N113">
        <v>1648.9800000000007</v>
      </c>
      <c r="O113">
        <v>1648.9800000000007</v>
      </c>
      <c r="P113">
        <v>0</v>
      </c>
      <c r="Q113">
        <v>-17620.150000000001</v>
      </c>
      <c r="R113">
        <v>-17234.150000000001</v>
      </c>
      <c r="S113">
        <v>386</v>
      </c>
      <c r="T113">
        <v>0</v>
      </c>
      <c r="U113">
        <v>0</v>
      </c>
      <c r="V113">
        <v>0</v>
      </c>
      <c r="W113">
        <v>-35.99</v>
      </c>
      <c r="X113">
        <v>-35.99</v>
      </c>
      <c r="Y113">
        <v>0</v>
      </c>
      <c r="Z113">
        <v>36391.590000000004</v>
      </c>
      <c r="AA113">
        <v>36777.590000000004</v>
      </c>
      <c r="AB113">
        <v>386</v>
      </c>
      <c r="AC113">
        <v>8607.1800000000167</v>
      </c>
      <c r="AD113">
        <v>4287.4300000000076</v>
      </c>
      <c r="AE113">
        <v>-4319.7500000000064</v>
      </c>
      <c r="AF113">
        <v>27784.410000000134</v>
      </c>
      <c r="AG113">
        <v>32490.160000000087</v>
      </c>
      <c r="AH113">
        <v>4705.7500000000091</v>
      </c>
      <c r="AI113">
        <v>-977.4</v>
      </c>
      <c r="AJ113">
        <v>0</v>
      </c>
      <c r="AK113">
        <v>977.4</v>
      </c>
      <c r="AL113">
        <v>28761.810000000063</v>
      </c>
      <c r="AM113">
        <v>32490.160000000087</v>
      </c>
      <c r="AN113">
        <v>3728.3500000000054</v>
      </c>
      <c r="AO113">
        <v>595</v>
      </c>
    </row>
    <row r="114" spans="1:41" x14ac:dyDescent="0.35">
      <c r="A114">
        <v>2024</v>
      </c>
      <c r="B114">
        <v>7</v>
      </c>
      <c r="C114">
        <v>29</v>
      </c>
      <c r="D114" s="14">
        <v>45487</v>
      </c>
      <c r="E114" t="s">
        <v>44</v>
      </c>
      <c r="F114" t="s">
        <v>47</v>
      </c>
      <c r="G114" t="s">
        <v>48</v>
      </c>
      <c r="H114">
        <v>9120.0499999999938</v>
      </c>
      <c r="I114">
        <v>9120.0499999999938</v>
      </c>
      <c r="J114">
        <v>0</v>
      </c>
      <c r="K114">
        <v>677.86000000000013</v>
      </c>
      <c r="L114">
        <v>677.86000000000013</v>
      </c>
      <c r="M114">
        <v>0</v>
      </c>
      <c r="N114">
        <v>15.99</v>
      </c>
      <c r="O114">
        <v>15.99</v>
      </c>
      <c r="P114">
        <v>0</v>
      </c>
      <c r="Q114">
        <v>-1802.8499999999995</v>
      </c>
      <c r="R114">
        <v>-1802.8499999999995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8011.050000000012</v>
      </c>
      <c r="AA114">
        <v>8011.050000000012</v>
      </c>
      <c r="AB114">
        <v>0</v>
      </c>
      <c r="AE114">
        <v>0</v>
      </c>
      <c r="AF114">
        <v>8011.050000000012</v>
      </c>
      <c r="AG114">
        <v>8011.050000000012</v>
      </c>
      <c r="AH114">
        <v>0</v>
      </c>
      <c r="AI114">
        <v>3008.7700000000004</v>
      </c>
      <c r="AJ114">
        <v>0</v>
      </c>
      <c r="AK114">
        <v>-3008.7700000000004</v>
      </c>
      <c r="AL114">
        <v>5002.2799999999979</v>
      </c>
      <c r="AM114">
        <v>8011.050000000012</v>
      </c>
      <c r="AN114">
        <v>3008.7700000000004</v>
      </c>
      <c r="AO114">
        <v>253</v>
      </c>
    </row>
    <row r="115" spans="1:41" x14ac:dyDescent="0.35">
      <c r="A115">
        <v>2024</v>
      </c>
      <c r="B115">
        <v>7</v>
      </c>
      <c r="C115">
        <v>29</v>
      </c>
      <c r="D115" s="14">
        <v>45488</v>
      </c>
      <c r="E115" t="s">
        <v>44</v>
      </c>
      <c r="F115" t="s">
        <v>47</v>
      </c>
      <c r="G115" t="s">
        <v>48</v>
      </c>
      <c r="H115">
        <v>2866.9000000000005</v>
      </c>
      <c r="I115">
        <v>2866.9000000000005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-727.6</v>
      </c>
      <c r="R115">
        <v>-727.6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2139.3000000000002</v>
      </c>
      <c r="AA115">
        <v>2139.3000000000002</v>
      </c>
      <c r="AB115">
        <v>0</v>
      </c>
      <c r="AC115">
        <v>26.5</v>
      </c>
      <c r="AD115">
        <v>26.5</v>
      </c>
      <c r="AE115">
        <v>0</v>
      </c>
      <c r="AF115">
        <v>2112.8000000000002</v>
      </c>
      <c r="AG115">
        <v>2112.8000000000002</v>
      </c>
      <c r="AH115">
        <v>0</v>
      </c>
      <c r="AI115">
        <v>585.28000000000009</v>
      </c>
      <c r="AJ115">
        <v>0</v>
      </c>
      <c r="AK115">
        <v>-585.28000000000009</v>
      </c>
      <c r="AL115">
        <v>1527.5200000000002</v>
      </c>
      <c r="AM115">
        <v>2112.8000000000002</v>
      </c>
      <c r="AN115">
        <v>585.28</v>
      </c>
      <c r="AO115">
        <v>42</v>
      </c>
    </row>
    <row r="116" spans="1:41" x14ac:dyDescent="0.35">
      <c r="A116">
        <v>2024</v>
      </c>
      <c r="B116">
        <v>7</v>
      </c>
      <c r="C116">
        <v>29</v>
      </c>
      <c r="D116" s="14">
        <v>45489</v>
      </c>
      <c r="E116" t="s">
        <v>44</v>
      </c>
      <c r="F116" t="s">
        <v>47</v>
      </c>
      <c r="G116" t="s">
        <v>48</v>
      </c>
      <c r="H116">
        <v>83</v>
      </c>
      <c r="I116">
        <v>83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-8</v>
      </c>
      <c r="R116">
        <v>-8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75</v>
      </c>
      <c r="AA116">
        <v>75</v>
      </c>
      <c r="AB116">
        <v>0</v>
      </c>
      <c r="AC116">
        <v>26.5</v>
      </c>
      <c r="AE116">
        <v>-26.5</v>
      </c>
      <c r="AF116">
        <v>48.5</v>
      </c>
      <c r="AG116">
        <v>75</v>
      </c>
      <c r="AH116">
        <v>26.5</v>
      </c>
      <c r="AI116">
        <v>0</v>
      </c>
      <c r="AJ116">
        <v>0</v>
      </c>
      <c r="AK116">
        <v>0</v>
      </c>
      <c r="AL116">
        <v>48.5</v>
      </c>
      <c r="AM116">
        <v>75</v>
      </c>
      <c r="AN116">
        <v>26.5</v>
      </c>
      <c r="AO116">
        <v>1</v>
      </c>
    </row>
    <row r="117" spans="1:41" x14ac:dyDescent="0.35">
      <c r="A117">
        <v>2024</v>
      </c>
      <c r="B117">
        <v>7</v>
      </c>
      <c r="C117">
        <v>29</v>
      </c>
      <c r="D117" s="14">
        <v>45490</v>
      </c>
      <c r="E117" t="s">
        <v>44</v>
      </c>
      <c r="F117" t="s">
        <v>47</v>
      </c>
      <c r="G117" t="s">
        <v>48</v>
      </c>
      <c r="H117">
        <v>5897.3500000000322</v>
      </c>
      <c r="I117">
        <v>5897.3500000000322</v>
      </c>
      <c r="J117">
        <v>0</v>
      </c>
      <c r="K117">
        <v>1690.5000000000016</v>
      </c>
      <c r="L117">
        <v>1690.5000000000016</v>
      </c>
      <c r="M117">
        <v>0</v>
      </c>
      <c r="N117">
        <v>0</v>
      </c>
      <c r="O117">
        <v>0</v>
      </c>
      <c r="P117">
        <v>0</v>
      </c>
      <c r="Q117">
        <v>-150.1</v>
      </c>
      <c r="R117">
        <v>-150.1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7437.7500000000309</v>
      </c>
      <c r="AA117">
        <v>7437.7500000000309</v>
      </c>
      <c r="AB117">
        <v>0</v>
      </c>
      <c r="AE117">
        <v>0</v>
      </c>
      <c r="AF117">
        <v>7437.7500000000309</v>
      </c>
      <c r="AG117">
        <v>7437.7500000000309</v>
      </c>
      <c r="AH117">
        <v>0</v>
      </c>
      <c r="AI117">
        <v>2328.3299999999936</v>
      </c>
      <c r="AJ117">
        <v>0</v>
      </c>
      <c r="AK117">
        <v>-2328.3299999999936</v>
      </c>
      <c r="AL117">
        <v>5109.4200000000119</v>
      </c>
      <c r="AM117">
        <v>7437.7500000000309</v>
      </c>
      <c r="AN117">
        <v>2328.3299999999936</v>
      </c>
      <c r="AO117">
        <v>306</v>
      </c>
    </row>
    <row r="118" spans="1:41" x14ac:dyDescent="0.35">
      <c r="A118">
        <v>2024</v>
      </c>
      <c r="B118">
        <v>7</v>
      </c>
      <c r="C118">
        <v>29</v>
      </c>
      <c r="D118" s="14">
        <v>45491</v>
      </c>
      <c r="E118" t="s">
        <v>44</v>
      </c>
      <c r="F118" t="s">
        <v>47</v>
      </c>
      <c r="G118" t="s">
        <v>48</v>
      </c>
      <c r="H118">
        <v>9197.1300000000156</v>
      </c>
      <c r="I118">
        <v>9197.1300000000156</v>
      </c>
      <c r="J118">
        <v>0</v>
      </c>
      <c r="K118">
        <v>1773.1600000000014</v>
      </c>
      <c r="L118">
        <v>1768.0400000000016</v>
      </c>
      <c r="M118">
        <v>-5.12</v>
      </c>
      <c r="N118">
        <v>66.959999999999994</v>
      </c>
      <c r="O118">
        <v>66.959999999999994</v>
      </c>
      <c r="P118">
        <v>0</v>
      </c>
      <c r="Q118">
        <v>-1175.0999999999997</v>
      </c>
      <c r="R118">
        <v>-1175.0999999999997</v>
      </c>
      <c r="S118">
        <v>0</v>
      </c>
      <c r="T118">
        <v>-9.6300000000000008</v>
      </c>
      <c r="U118">
        <v>-9.6300000000000008</v>
      </c>
      <c r="V118">
        <v>0</v>
      </c>
      <c r="W118">
        <v>0</v>
      </c>
      <c r="X118">
        <v>0</v>
      </c>
      <c r="Y118">
        <v>0</v>
      </c>
      <c r="Z118">
        <v>9852.52</v>
      </c>
      <c r="AA118">
        <v>9847.4</v>
      </c>
      <c r="AB118">
        <v>-5.120000000000001</v>
      </c>
      <c r="AC118">
        <v>4.01</v>
      </c>
      <c r="AD118">
        <v>2.34</v>
      </c>
      <c r="AE118">
        <v>-1.67</v>
      </c>
      <c r="AF118">
        <v>9848.51</v>
      </c>
      <c r="AG118">
        <v>9845.06</v>
      </c>
      <c r="AH118">
        <v>-3.4499999999999993</v>
      </c>
      <c r="AI118">
        <v>2891.5299999999961</v>
      </c>
      <c r="AJ118">
        <v>0</v>
      </c>
      <c r="AK118">
        <v>-2891.5299999999961</v>
      </c>
      <c r="AL118">
        <v>6956.9800000000123</v>
      </c>
      <c r="AM118">
        <v>9845.06</v>
      </c>
      <c r="AN118">
        <v>2888.0799999999958</v>
      </c>
      <c r="AO118">
        <v>294</v>
      </c>
    </row>
    <row r="119" spans="1:41" x14ac:dyDescent="0.35">
      <c r="A119">
        <v>2024</v>
      </c>
      <c r="B119">
        <v>7</v>
      </c>
      <c r="C119">
        <v>29</v>
      </c>
      <c r="D119" s="14">
        <v>45492</v>
      </c>
      <c r="E119" t="s">
        <v>44</v>
      </c>
      <c r="F119" t="s">
        <v>47</v>
      </c>
      <c r="G119" t="s">
        <v>48</v>
      </c>
      <c r="H119">
        <v>17274.549999999959</v>
      </c>
      <c r="I119">
        <v>17274.549999999959</v>
      </c>
      <c r="J119">
        <v>0</v>
      </c>
      <c r="K119">
        <v>813.60000000000036</v>
      </c>
      <c r="L119">
        <v>813.60000000000036</v>
      </c>
      <c r="M119">
        <v>0</v>
      </c>
      <c r="N119">
        <v>0</v>
      </c>
      <c r="O119">
        <v>0</v>
      </c>
      <c r="P119">
        <v>0</v>
      </c>
      <c r="Q119">
        <v>-6615.3999999999896</v>
      </c>
      <c r="R119">
        <v>-6604.3999999999896</v>
      </c>
      <c r="S119">
        <v>11</v>
      </c>
      <c r="T119">
        <v>-8</v>
      </c>
      <c r="U119">
        <v>-8</v>
      </c>
      <c r="V119">
        <v>0</v>
      </c>
      <c r="W119">
        <v>0</v>
      </c>
      <c r="X119">
        <v>0</v>
      </c>
      <c r="Y119">
        <v>0</v>
      </c>
      <c r="Z119">
        <v>11464.750000000027</v>
      </c>
      <c r="AA119">
        <v>11475.750000000027</v>
      </c>
      <c r="AB119">
        <v>11</v>
      </c>
      <c r="AC119">
        <v>4.01</v>
      </c>
      <c r="AD119">
        <v>1.67</v>
      </c>
      <c r="AE119">
        <v>-2.34</v>
      </c>
      <c r="AF119">
        <v>11460.740000000027</v>
      </c>
      <c r="AG119">
        <v>11474.080000000027</v>
      </c>
      <c r="AH119">
        <v>13.340000000000003</v>
      </c>
      <c r="AI119">
        <v>3695.2100000000069</v>
      </c>
      <c r="AJ119">
        <v>0</v>
      </c>
      <c r="AK119">
        <v>-3695.2100000000069</v>
      </c>
      <c r="AL119">
        <v>7765.5300000000243</v>
      </c>
      <c r="AM119">
        <v>11474.080000000027</v>
      </c>
      <c r="AN119">
        <v>3708.550000000007</v>
      </c>
      <c r="AO119">
        <v>379</v>
      </c>
    </row>
    <row r="120" spans="1:41" x14ac:dyDescent="0.35">
      <c r="A120">
        <v>2024</v>
      </c>
      <c r="B120">
        <v>7</v>
      </c>
      <c r="C120">
        <v>29</v>
      </c>
      <c r="D120" s="14">
        <v>45493</v>
      </c>
      <c r="E120" t="s">
        <v>44</v>
      </c>
      <c r="F120" t="s">
        <v>47</v>
      </c>
      <c r="G120" t="s">
        <v>48</v>
      </c>
      <c r="H120">
        <v>10119.710000000006</v>
      </c>
      <c r="I120">
        <v>10119.710000000006</v>
      </c>
      <c r="J120">
        <v>0</v>
      </c>
      <c r="K120">
        <v>490.78999999999991</v>
      </c>
      <c r="L120">
        <v>490.78999999999991</v>
      </c>
      <c r="M120">
        <v>0</v>
      </c>
      <c r="N120">
        <v>25.980000000000004</v>
      </c>
      <c r="O120">
        <v>25.980000000000004</v>
      </c>
      <c r="P120">
        <v>0</v>
      </c>
      <c r="Q120">
        <v>-1430.9500000000003</v>
      </c>
      <c r="R120">
        <v>-1430.9500000000003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9205.5300000000152</v>
      </c>
      <c r="AA120">
        <v>9205.5300000000152</v>
      </c>
      <c r="AB120">
        <v>0</v>
      </c>
      <c r="AC120">
        <v>2.42</v>
      </c>
      <c r="AD120">
        <v>0.75</v>
      </c>
      <c r="AE120">
        <v>-1.67</v>
      </c>
      <c r="AF120">
        <v>9203.1100000000151</v>
      </c>
      <c r="AG120">
        <v>9204.7800000000152</v>
      </c>
      <c r="AH120">
        <v>1.6700000000000017</v>
      </c>
      <c r="AI120">
        <v>3223.1199999999949</v>
      </c>
      <c r="AJ120">
        <v>0</v>
      </c>
      <c r="AK120">
        <v>-3223.1199999999949</v>
      </c>
      <c r="AL120">
        <v>5979.9900000000034</v>
      </c>
      <c r="AM120">
        <v>9204.7800000000152</v>
      </c>
      <c r="AN120">
        <v>3224.789999999995</v>
      </c>
      <c r="AO120">
        <v>332</v>
      </c>
    </row>
    <row r="121" spans="1:41" x14ac:dyDescent="0.35">
      <c r="A121">
        <v>2024</v>
      </c>
      <c r="B121">
        <v>7</v>
      </c>
      <c r="C121">
        <v>29</v>
      </c>
      <c r="D121" s="14">
        <v>45487</v>
      </c>
      <c r="E121" t="s">
        <v>44</v>
      </c>
      <c r="F121" t="s">
        <v>47</v>
      </c>
      <c r="G121" t="s">
        <v>49</v>
      </c>
      <c r="H121">
        <v>5810.1500000000005</v>
      </c>
      <c r="I121">
        <v>5810.1500000000005</v>
      </c>
      <c r="J121">
        <v>0</v>
      </c>
      <c r="K121">
        <v>73.339999999999989</v>
      </c>
      <c r="L121">
        <v>73.339999999999989</v>
      </c>
      <c r="M121">
        <v>0</v>
      </c>
      <c r="N121">
        <v>127.91</v>
      </c>
      <c r="O121">
        <v>127.91</v>
      </c>
      <c r="P121">
        <v>0</v>
      </c>
      <c r="Q121">
        <v>-1988.7</v>
      </c>
      <c r="R121">
        <v>-1974.7</v>
      </c>
      <c r="S121">
        <v>14</v>
      </c>
      <c r="T121">
        <v>-10</v>
      </c>
      <c r="U121">
        <v>-10</v>
      </c>
      <c r="V121">
        <v>0</v>
      </c>
      <c r="W121">
        <v>-10</v>
      </c>
      <c r="X121">
        <v>-10</v>
      </c>
      <c r="Y121">
        <v>0</v>
      </c>
      <c r="Z121">
        <v>4002.7000000000021</v>
      </c>
      <c r="AA121">
        <v>4016.7000000000021</v>
      </c>
      <c r="AB121">
        <v>14</v>
      </c>
      <c r="AC121">
        <v>385.53000000000014</v>
      </c>
      <c r="AD121">
        <v>129.44999999999999</v>
      </c>
      <c r="AE121">
        <v>-256.0800000000001</v>
      </c>
      <c r="AF121">
        <v>3617.1699999999996</v>
      </c>
      <c r="AG121">
        <v>3887.2500000000018</v>
      </c>
      <c r="AH121">
        <v>270.08000000000021</v>
      </c>
      <c r="AI121">
        <v>453.89</v>
      </c>
      <c r="AJ121">
        <v>14.58</v>
      </c>
      <c r="AK121">
        <v>-439.30999999999995</v>
      </c>
      <c r="AL121">
        <v>3163.2799999999984</v>
      </c>
      <c r="AM121">
        <v>3872.6700000000019</v>
      </c>
      <c r="AN121">
        <v>709.39</v>
      </c>
      <c r="AO121">
        <v>77</v>
      </c>
    </row>
    <row r="122" spans="1:41" x14ac:dyDescent="0.35">
      <c r="A122">
        <v>2024</v>
      </c>
      <c r="B122">
        <v>7</v>
      </c>
      <c r="C122">
        <v>29</v>
      </c>
      <c r="D122" s="14">
        <v>45488</v>
      </c>
      <c r="E122" t="s">
        <v>44</v>
      </c>
      <c r="F122" t="s">
        <v>47</v>
      </c>
      <c r="G122" t="s">
        <v>49</v>
      </c>
      <c r="H122">
        <v>6400</v>
      </c>
      <c r="I122">
        <v>6400</v>
      </c>
      <c r="J122">
        <v>0</v>
      </c>
      <c r="K122">
        <v>84.91</v>
      </c>
      <c r="L122">
        <v>84.91</v>
      </c>
      <c r="M122">
        <v>0</v>
      </c>
      <c r="N122">
        <v>88.95</v>
      </c>
      <c r="O122">
        <v>88.95</v>
      </c>
      <c r="P122">
        <v>0</v>
      </c>
      <c r="Q122">
        <v>-1852.3000000000006</v>
      </c>
      <c r="R122">
        <v>-1852.3000000000006</v>
      </c>
      <c r="S122">
        <v>0</v>
      </c>
      <c r="T122">
        <v>-5</v>
      </c>
      <c r="U122">
        <v>-5</v>
      </c>
      <c r="V122">
        <v>0</v>
      </c>
      <c r="W122">
        <v>-5</v>
      </c>
      <c r="X122">
        <v>-5</v>
      </c>
      <c r="Y122">
        <v>0</v>
      </c>
      <c r="Z122">
        <v>4711.5599999999977</v>
      </c>
      <c r="AA122">
        <v>4711.5599999999977</v>
      </c>
      <c r="AB122">
        <v>0</v>
      </c>
      <c r="AC122">
        <v>167.68</v>
      </c>
      <c r="AD122">
        <v>26.67</v>
      </c>
      <c r="AE122">
        <v>-141.01</v>
      </c>
      <c r="AF122">
        <v>4543.8799999999974</v>
      </c>
      <c r="AG122">
        <v>4684.8899999999976</v>
      </c>
      <c r="AH122">
        <v>141.01</v>
      </c>
      <c r="AI122">
        <v>1241.5199999999995</v>
      </c>
      <c r="AJ122">
        <v>1.3</v>
      </c>
      <c r="AK122">
        <v>-1240.2199999999996</v>
      </c>
      <c r="AL122">
        <v>3302.3599999999983</v>
      </c>
      <c r="AM122">
        <v>4683.5899999999983</v>
      </c>
      <c r="AN122">
        <v>1381.23</v>
      </c>
      <c r="AO122">
        <v>95</v>
      </c>
    </row>
    <row r="123" spans="1:41" x14ac:dyDescent="0.35">
      <c r="A123">
        <v>2024</v>
      </c>
      <c r="B123">
        <v>7</v>
      </c>
      <c r="C123">
        <v>29</v>
      </c>
      <c r="D123" s="14">
        <v>45489</v>
      </c>
      <c r="E123" t="s">
        <v>44</v>
      </c>
      <c r="F123" t="s">
        <v>47</v>
      </c>
      <c r="G123" t="s">
        <v>49</v>
      </c>
      <c r="H123">
        <v>901</v>
      </c>
      <c r="I123">
        <v>901</v>
      </c>
      <c r="J123">
        <v>0</v>
      </c>
      <c r="K123">
        <v>1.4100000000000001</v>
      </c>
      <c r="L123">
        <v>1.4100000000000001</v>
      </c>
      <c r="M123">
        <v>0</v>
      </c>
      <c r="N123">
        <v>31.98</v>
      </c>
      <c r="O123">
        <v>31.98</v>
      </c>
      <c r="P123">
        <v>0</v>
      </c>
      <c r="Q123">
        <v>-206</v>
      </c>
      <c r="R123">
        <v>-206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728.39</v>
      </c>
      <c r="AA123">
        <v>728.39</v>
      </c>
      <c r="AB123">
        <v>0</v>
      </c>
      <c r="AC123">
        <v>198.10000000000002</v>
      </c>
      <c r="AD123">
        <v>171.43</v>
      </c>
      <c r="AE123">
        <v>-26.67</v>
      </c>
      <c r="AF123">
        <v>530.29</v>
      </c>
      <c r="AG123">
        <v>556.95999999999992</v>
      </c>
      <c r="AH123">
        <v>26.669999999999995</v>
      </c>
      <c r="AI123">
        <v>-92.75</v>
      </c>
      <c r="AJ123">
        <v>0</v>
      </c>
      <c r="AK123">
        <v>92.75</v>
      </c>
      <c r="AL123">
        <v>623.04</v>
      </c>
      <c r="AM123">
        <v>556.95999999999992</v>
      </c>
      <c r="AN123">
        <v>-66.080000000000027</v>
      </c>
      <c r="AO123">
        <v>10</v>
      </c>
    </row>
    <row r="124" spans="1:41" x14ac:dyDescent="0.35">
      <c r="A124">
        <v>2024</v>
      </c>
      <c r="B124">
        <v>7</v>
      </c>
      <c r="C124">
        <v>29</v>
      </c>
      <c r="D124" s="14">
        <v>45490</v>
      </c>
      <c r="E124" t="s">
        <v>44</v>
      </c>
      <c r="F124" t="s">
        <v>47</v>
      </c>
      <c r="G124" t="s">
        <v>49</v>
      </c>
      <c r="H124">
        <v>4210.5499999999984</v>
      </c>
      <c r="I124">
        <v>4210.5499999999984</v>
      </c>
      <c r="J124">
        <v>0</v>
      </c>
      <c r="K124">
        <v>211.35999999999999</v>
      </c>
      <c r="L124">
        <v>211.35999999999999</v>
      </c>
      <c r="M124">
        <v>0</v>
      </c>
      <c r="N124">
        <v>101.94</v>
      </c>
      <c r="O124">
        <v>101.94</v>
      </c>
      <c r="P124">
        <v>0</v>
      </c>
      <c r="Q124">
        <v>-1310.2</v>
      </c>
      <c r="R124">
        <v>-1264.2</v>
      </c>
      <c r="S124">
        <v>46</v>
      </c>
      <c r="T124">
        <v>-5</v>
      </c>
      <c r="U124">
        <v>-5</v>
      </c>
      <c r="V124">
        <v>0</v>
      </c>
      <c r="W124">
        <v>-15</v>
      </c>
      <c r="X124">
        <v>-15</v>
      </c>
      <c r="Y124">
        <v>0</v>
      </c>
      <c r="Z124">
        <v>3193.6499999999987</v>
      </c>
      <c r="AA124">
        <v>3239.6499999999978</v>
      </c>
      <c r="AB124">
        <v>46.000000000000014</v>
      </c>
      <c r="AC124">
        <v>411.43</v>
      </c>
      <c r="AD124">
        <v>240</v>
      </c>
      <c r="AE124">
        <v>-171.43</v>
      </c>
      <c r="AF124">
        <v>2782.2199999999975</v>
      </c>
      <c r="AG124">
        <v>2999.6499999999969</v>
      </c>
      <c r="AH124">
        <v>217.43</v>
      </c>
      <c r="AI124">
        <v>265.78000000000014</v>
      </c>
      <c r="AJ124">
        <v>0</v>
      </c>
      <c r="AK124">
        <v>-265.78000000000014</v>
      </c>
      <c r="AL124">
        <v>2516.4399999999982</v>
      </c>
      <c r="AM124">
        <v>2999.6499999999969</v>
      </c>
      <c r="AN124">
        <v>483.21000000000015</v>
      </c>
      <c r="AO124">
        <v>70</v>
      </c>
    </row>
    <row r="125" spans="1:41" x14ac:dyDescent="0.35">
      <c r="A125">
        <v>2024</v>
      </c>
      <c r="B125">
        <v>7</v>
      </c>
      <c r="C125">
        <v>29</v>
      </c>
      <c r="D125" s="14">
        <v>45491</v>
      </c>
      <c r="E125" t="s">
        <v>44</v>
      </c>
      <c r="F125" t="s">
        <v>47</v>
      </c>
      <c r="G125" t="s">
        <v>49</v>
      </c>
      <c r="H125">
        <v>10999.249999999996</v>
      </c>
      <c r="I125">
        <v>10999.249999999996</v>
      </c>
      <c r="J125">
        <v>0</v>
      </c>
      <c r="K125">
        <v>206.25000000000003</v>
      </c>
      <c r="L125">
        <v>206.25000000000003</v>
      </c>
      <c r="M125">
        <v>0</v>
      </c>
      <c r="N125">
        <v>169.90000000000003</v>
      </c>
      <c r="O125">
        <v>169.90000000000003</v>
      </c>
      <c r="P125">
        <v>0</v>
      </c>
      <c r="Q125">
        <v>-4229.1999999999971</v>
      </c>
      <c r="R125">
        <v>-4229.1999999999971</v>
      </c>
      <c r="S125">
        <v>0</v>
      </c>
      <c r="T125">
        <v>-36.400000000000006</v>
      </c>
      <c r="U125">
        <v>-36.400000000000006</v>
      </c>
      <c r="V125">
        <v>0</v>
      </c>
      <c r="W125">
        <v>-28.990000000000002</v>
      </c>
      <c r="X125">
        <v>-28.990000000000002</v>
      </c>
      <c r="Y125">
        <v>0</v>
      </c>
      <c r="Z125">
        <v>7080.8100000000049</v>
      </c>
      <c r="AA125">
        <v>7080.8100000000049</v>
      </c>
      <c r="AB125">
        <v>0</v>
      </c>
      <c r="AC125">
        <v>465.30000000000007</v>
      </c>
      <c r="AD125">
        <v>225.29999999999998</v>
      </c>
      <c r="AE125">
        <v>-239.99999999999994</v>
      </c>
      <c r="AF125">
        <v>6615.5100000000039</v>
      </c>
      <c r="AG125">
        <v>6855.5100000000048</v>
      </c>
      <c r="AH125">
        <v>240</v>
      </c>
      <c r="AI125">
        <v>1455.82</v>
      </c>
      <c r="AJ125">
        <v>0</v>
      </c>
      <c r="AK125">
        <v>-1455.82</v>
      </c>
      <c r="AL125">
        <v>5159.6899999999987</v>
      </c>
      <c r="AM125">
        <v>6855.5100000000048</v>
      </c>
      <c r="AN125">
        <v>1695.8200000000004</v>
      </c>
      <c r="AO125">
        <v>134</v>
      </c>
    </row>
    <row r="126" spans="1:41" x14ac:dyDescent="0.35">
      <c r="A126">
        <v>2024</v>
      </c>
      <c r="B126">
        <v>7</v>
      </c>
      <c r="C126">
        <v>29</v>
      </c>
      <c r="D126" s="14">
        <v>45492</v>
      </c>
      <c r="E126" t="s">
        <v>44</v>
      </c>
      <c r="F126" t="s">
        <v>47</v>
      </c>
      <c r="G126" t="s">
        <v>49</v>
      </c>
      <c r="H126">
        <v>8642.1500000000015</v>
      </c>
      <c r="I126">
        <v>8642.1500000000015</v>
      </c>
      <c r="J126">
        <v>0</v>
      </c>
      <c r="K126">
        <v>105.28999999999998</v>
      </c>
      <c r="L126">
        <v>105.28999999999998</v>
      </c>
      <c r="M126">
        <v>0</v>
      </c>
      <c r="N126">
        <v>89.94</v>
      </c>
      <c r="O126">
        <v>89.94</v>
      </c>
      <c r="P126">
        <v>0</v>
      </c>
      <c r="Q126">
        <v>-3294.7499999999991</v>
      </c>
      <c r="R126">
        <v>-3287.7499999999991</v>
      </c>
      <c r="S126">
        <v>7</v>
      </c>
      <c r="T126">
        <v>-5</v>
      </c>
      <c r="U126">
        <v>-5</v>
      </c>
      <c r="V126">
        <v>0</v>
      </c>
      <c r="W126">
        <v>0</v>
      </c>
      <c r="X126">
        <v>0</v>
      </c>
      <c r="Y126">
        <v>0</v>
      </c>
      <c r="Z126">
        <v>5537.6300000000019</v>
      </c>
      <c r="AA126">
        <v>5544.6300000000019</v>
      </c>
      <c r="AB126">
        <v>7</v>
      </c>
      <c r="AC126">
        <v>345.20000000000005</v>
      </c>
      <c r="AD126">
        <v>118.23</v>
      </c>
      <c r="AE126">
        <v>-226.97</v>
      </c>
      <c r="AF126">
        <v>5192.4300000000021</v>
      </c>
      <c r="AG126">
        <v>5426.4000000000024</v>
      </c>
      <c r="AH126">
        <v>233.97000000000003</v>
      </c>
      <c r="AI126">
        <v>872.66999999999928</v>
      </c>
      <c r="AJ126">
        <v>14.91</v>
      </c>
      <c r="AK126">
        <v>-857.7599999999992</v>
      </c>
      <c r="AL126">
        <v>4319.7599999999966</v>
      </c>
      <c r="AM126">
        <v>5411.4900000000025</v>
      </c>
      <c r="AN126">
        <v>1091.7299999999998</v>
      </c>
      <c r="AO126">
        <v>104</v>
      </c>
    </row>
    <row r="127" spans="1:41" x14ac:dyDescent="0.35">
      <c r="A127">
        <v>2024</v>
      </c>
      <c r="B127">
        <v>7</v>
      </c>
      <c r="C127">
        <v>29</v>
      </c>
      <c r="D127" s="14">
        <v>45493</v>
      </c>
      <c r="E127" t="s">
        <v>44</v>
      </c>
      <c r="F127" t="s">
        <v>47</v>
      </c>
      <c r="G127" t="s">
        <v>49</v>
      </c>
      <c r="H127">
        <v>10107.100000000013</v>
      </c>
      <c r="I127">
        <v>10107.100000000013</v>
      </c>
      <c r="J127">
        <v>0</v>
      </c>
      <c r="K127">
        <v>422.02999999999986</v>
      </c>
      <c r="L127">
        <v>422.02999999999986</v>
      </c>
      <c r="M127">
        <v>0</v>
      </c>
      <c r="N127">
        <v>126.92</v>
      </c>
      <c r="O127">
        <v>126.92</v>
      </c>
      <c r="P127">
        <v>0</v>
      </c>
      <c r="Q127">
        <v>-2720.099999999999</v>
      </c>
      <c r="R127">
        <v>-2693.099999999999</v>
      </c>
      <c r="S127">
        <v>26.999999999999993</v>
      </c>
      <c r="T127">
        <v>-17</v>
      </c>
      <c r="U127">
        <v>-17</v>
      </c>
      <c r="V127">
        <v>0</v>
      </c>
      <c r="W127">
        <v>-5</v>
      </c>
      <c r="X127">
        <v>-5</v>
      </c>
      <c r="Y127">
        <v>0</v>
      </c>
      <c r="Z127">
        <v>7913.9500000000135</v>
      </c>
      <c r="AA127">
        <v>7940.9500000000144</v>
      </c>
      <c r="AB127">
        <v>27.000000000000004</v>
      </c>
      <c r="AC127">
        <v>226.96</v>
      </c>
      <c r="AD127">
        <v>93.31</v>
      </c>
      <c r="AE127">
        <v>-133.65</v>
      </c>
      <c r="AF127">
        <v>7686.9900000000134</v>
      </c>
      <c r="AG127">
        <v>7847.640000000014</v>
      </c>
      <c r="AH127">
        <v>160.65</v>
      </c>
      <c r="AI127">
        <v>1931.6300000000006</v>
      </c>
      <c r="AJ127">
        <v>13.72</v>
      </c>
      <c r="AK127">
        <v>-1917.9100000000005</v>
      </c>
      <c r="AL127">
        <v>5755.3600000000069</v>
      </c>
      <c r="AM127">
        <v>7833.9200000000137</v>
      </c>
      <c r="AN127">
        <v>2078.5600000000009</v>
      </c>
      <c r="AO127">
        <v>196</v>
      </c>
    </row>
    <row r="128" spans="1:41" x14ac:dyDescent="0.35">
      <c r="A128">
        <v>2024</v>
      </c>
      <c r="B128">
        <v>7</v>
      </c>
      <c r="C128">
        <v>29</v>
      </c>
      <c r="D128" s="14">
        <v>45487</v>
      </c>
      <c r="E128" t="s">
        <v>44</v>
      </c>
      <c r="F128" t="s">
        <v>47</v>
      </c>
      <c r="G128" t="s">
        <v>50</v>
      </c>
      <c r="H128">
        <v>22289.05</v>
      </c>
      <c r="I128">
        <v>22289.05</v>
      </c>
      <c r="J128">
        <v>0</v>
      </c>
      <c r="K128">
        <v>420.12999999999994</v>
      </c>
      <c r="L128">
        <v>420.12999999999994</v>
      </c>
      <c r="M128">
        <v>0</v>
      </c>
      <c r="N128">
        <v>983.39000000000044</v>
      </c>
      <c r="O128">
        <v>983.39000000000044</v>
      </c>
      <c r="P128">
        <v>0</v>
      </c>
      <c r="Q128">
        <v>-6080.34</v>
      </c>
      <c r="R128">
        <v>-5939.34</v>
      </c>
      <c r="S128">
        <v>141</v>
      </c>
      <c r="T128">
        <v>-40</v>
      </c>
      <c r="U128">
        <v>-40</v>
      </c>
      <c r="V128">
        <v>0</v>
      </c>
      <c r="W128">
        <v>-78.960000000000008</v>
      </c>
      <c r="X128">
        <v>-78.960000000000008</v>
      </c>
      <c r="Y128">
        <v>0</v>
      </c>
      <c r="Z128">
        <v>17493.269999999986</v>
      </c>
      <c r="AA128">
        <v>17634.269999999982</v>
      </c>
      <c r="AB128">
        <v>141</v>
      </c>
      <c r="AC128">
        <v>3740.2400000000043</v>
      </c>
      <c r="AD128">
        <v>2182.3500000000013</v>
      </c>
      <c r="AE128">
        <v>-1557.8900000000003</v>
      </c>
      <c r="AF128">
        <v>13753.03</v>
      </c>
      <c r="AG128">
        <v>15451.92</v>
      </c>
      <c r="AH128">
        <v>1698.8900000000008</v>
      </c>
      <c r="AI128">
        <v>-1205.0400000000002</v>
      </c>
      <c r="AJ128">
        <v>0</v>
      </c>
      <c r="AK128">
        <v>1205.0400000000002</v>
      </c>
      <c r="AL128">
        <v>14958.070000000011</v>
      </c>
      <c r="AM128">
        <v>15451.92</v>
      </c>
      <c r="AN128">
        <v>493.84999999999968</v>
      </c>
      <c r="AO128">
        <v>255</v>
      </c>
    </row>
    <row r="129" spans="1:41" x14ac:dyDescent="0.35">
      <c r="A129">
        <v>2024</v>
      </c>
      <c r="B129">
        <v>7</v>
      </c>
      <c r="C129">
        <v>29</v>
      </c>
      <c r="D129" s="14">
        <v>45488</v>
      </c>
      <c r="E129" t="s">
        <v>44</v>
      </c>
      <c r="F129" t="s">
        <v>47</v>
      </c>
      <c r="G129" t="s">
        <v>50</v>
      </c>
      <c r="H129">
        <v>16183</v>
      </c>
      <c r="I129">
        <v>16183</v>
      </c>
      <c r="J129">
        <v>0</v>
      </c>
      <c r="K129">
        <v>307.08999999999975</v>
      </c>
      <c r="L129">
        <v>307.08999999999975</v>
      </c>
      <c r="M129">
        <v>0</v>
      </c>
      <c r="N129">
        <v>823.50000000000034</v>
      </c>
      <c r="O129">
        <v>823.50000000000034</v>
      </c>
      <c r="P129">
        <v>0</v>
      </c>
      <c r="Q129">
        <v>-4229.25</v>
      </c>
      <c r="R129">
        <v>-4092.25</v>
      </c>
      <c r="S129">
        <v>137</v>
      </c>
      <c r="T129">
        <v>-10</v>
      </c>
      <c r="U129">
        <v>-10</v>
      </c>
      <c r="V129">
        <v>0</v>
      </c>
      <c r="W129">
        <v>-73.960000000000008</v>
      </c>
      <c r="X129">
        <v>-73.960000000000008</v>
      </c>
      <c r="Y129">
        <v>0</v>
      </c>
      <c r="Z129">
        <v>13000.37999999999</v>
      </c>
      <c r="AA129">
        <v>13137.37999999999</v>
      </c>
      <c r="AB129">
        <v>137</v>
      </c>
      <c r="AC129">
        <v>3235.8800000000047</v>
      </c>
      <c r="AD129">
        <v>1080.03</v>
      </c>
      <c r="AE129">
        <v>-2155.8500000000022</v>
      </c>
      <c r="AF129">
        <v>9764.4999999999982</v>
      </c>
      <c r="AG129">
        <v>12057.349999999991</v>
      </c>
      <c r="AH129">
        <v>2292.8500000000022</v>
      </c>
      <c r="AI129">
        <v>-617.80000000000018</v>
      </c>
      <c r="AJ129">
        <v>0</v>
      </c>
      <c r="AK129">
        <v>617.80000000000018</v>
      </c>
      <c r="AL129">
        <v>10382.300000000007</v>
      </c>
      <c r="AM129">
        <v>12057.349999999991</v>
      </c>
      <c r="AN129">
        <v>1675.0500000000011</v>
      </c>
      <c r="AO129">
        <v>184</v>
      </c>
    </row>
    <row r="130" spans="1:41" x14ac:dyDescent="0.35">
      <c r="A130">
        <v>2024</v>
      </c>
      <c r="B130">
        <v>7</v>
      </c>
      <c r="C130">
        <v>29</v>
      </c>
      <c r="D130" s="14">
        <v>45489</v>
      </c>
      <c r="E130" t="s">
        <v>44</v>
      </c>
      <c r="F130" t="s">
        <v>47</v>
      </c>
      <c r="G130" t="s">
        <v>50</v>
      </c>
      <c r="H130">
        <v>14366</v>
      </c>
      <c r="I130">
        <v>14366</v>
      </c>
      <c r="J130">
        <v>0</v>
      </c>
      <c r="K130">
        <v>154.82</v>
      </c>
      <c r="L130">
        <v>154.82</v>
      </c>
      <c r="M130">
        <v>0</v>
      </c>
      <c r="N130">
        <v>537.67000000000019</v>
      </c>
      <c r="O130">
        <v>537.67000000000019</v>
      </c>
      <c r="P130">
        <v>0</v>
      </c>
      <c r="Q130">
        <v>-4012.25</v>
      </c>
      <c r="R130">
        <v>-3835.25</v>
      </c>
      <c r="S130">
        <v>177</v>
      </c>
      <c r="T130">
        <v>-5</v>
      </c>
      <c r="U130">
        <v>-5</v>
      </c>
      <c r="V130">
        <v>0</v>
      </c>
      <c r="W130">
        <v>-25.990000000000002</v>
      </c>
      <c r="X130">
        <v>-25.990000000000002</v>
      </c>
      <c r="Y130">
        <v>0</v>
      </c>
      <c r="Z130">
        <v>11015.25</v>
      </c>
      <c r="AA130">
        <v>11192.249999999998</v>
      </c>
      <c r="AB130">
        <v>177</v>
      </c>
      <c r="AC130">
        <v>2280.1800000000021</v>
      </c>
      <c r="AD130">
        <v>1234.1500000000003</v>
      </c>
      <c r="AE130">
        <v>-1046.0300000000002</v>
      </c>
      <c r="AF130">
        <v>8735.0699999999943</v>
      </c>
      <c r="AG130">
        <v>9958.1</v>
      </c>
      <c r="AH130">
        <v>1223.0300000000002</v>
      </c>
      <c r="AI130">
        <v>-765.93</v>
      </c>
      <c r="AJ130">
        <v>0</v>
      </c>
      <c r="AK130">
        <v>765.93</v>
      </c>
      <c r="AL130">
        <v>9500.9999999999927</v>
      </c>
      <c r="AM130">
        <v>9958.1</v>
      </c>
      <c r="AN130">
        <v>457.0999999999998</v>
      </c>
      <c r="AO130">
        <v>162</v>
      </c>
    </row>
    <row r="131" spans="1:41" x14ac:dyDescent="0.35">
      <c r="A131">
        <v>2024</v>
      </c>
      <c r="B131">
        <v>7</v>
      </c>
      <c r="C131">
        <v>29</v>
      </c>
      <c r="D131" s="14">
        <v>45490</v>
      </c>
      <c r="E131" t="s">
        <v>44</v>
      </c>
      <c r="F131" t="s">
        <v>47</v>
      </c>
      <c r="G131" t="s">
        <v>50</v>
      </c>
      <c r="H131">
        <v>23292.249999999996</v>
      </c>
      <c r="I131">
        <v>23292.249999999996</v>
      </c>
      <c r="J131">
        <v>0</v>
      </c>
      <c r="K131">
        <v>370.65999999999917</v>
      </c>
      <c r="L131">
        <v>370.65999999999917</v>
      </c>
      <c r="M131">
        <v>0</v>
      </c>
      <c r="N131">
        <v>1032.3500000000004</v>
      </c>
      <c r="O131">
        <v>1032.3500000000004</v>
      </c>
      <c r="P131">
        <v>0</v>
      </c>
      <c r="Q131">
        <v>-6931.35</v>
      </c>
      <c r="R131">
        <v>-6599.35</v>
      </c>
      <c r="S131">
        <v>332</v>
      </c>
      <c r="T131">
        <v>-35</v>
      </c>
      <c r="U131">
        <v>-35</v>
      </c>
      <c r="V131">
        <v>0</v>
      </c>
      <c r="W131">
        <v>-40.99</v>
      </c>
      <c r="X131">
        <v>-40.99</v>
      </c>
      <c r="Y131">
        <v>0</v>
      </c>
      <c r="Z131">
        <v>17687.919999999987</v>
      </c>
      <c r="AA131">
        <v>18019.919999999991</v>
      </c>
      <c r="AB131">
        <v>332</v>
      </c>
      <c r="AC131">
        <v>3666.3400000000056</v>
      </c>
      <c r="AD131">
        <v>2432.1900000000032</v>
      </c>
      <c r="AE131">
        <v>-1234.1500000000003</v>
      </c>
      <c r="AF131">
        <v>14021.580000000007</v>
      </c>
      <c r="AG131">
        <v>15587.730000000001</v>
      </c>
      <c r="AH131">
        <v>1566.1500000000008</v>
      </c>
      <c r="AI131">
        <v>-1367.649999999998</v>
      </c>
      <c r="AJ131">
        <v>0</v>
      </c>
      <c r="AK131">
        <v>1367.649999999998</v>
      </c>
      <c r="AL131">
        <v>15389.230000000007</v>
      </c>
      <c r="AM131">
        <v>15587.730000000001</v>
      </c>
      <c r="AN131">
        <v>198.5</v>
      </c>
      <c r="AO131">
        <v>267</v>
      </c>
    </row>
    <row r="132" spans="1:41" x14ac:dyDescent="0.35">
      <c r="A132">
        <v>2024</v>
      </c>
      <c r="B132">
        <v>7</v>
      </c>
      <c r="C132">
        <v>29</v>
      </c>
      <c r="D132" s="14">
        <v>45491</v>
      </c>
      <c r="E132" t="s">
        <v>44</v>
      </c>
      <c r="F132" t="s">
        <v>47</v>
      </c>
      <c r="G132" t="s">
        <v>50</v>
      </c>
      <c r="H132">
        <v>25193.15</v>
      </c>
      <c r="I132">
        <v>25193.15</v>
      </c>
      <c r="J132">
        <v>0</v>
      </c>
      <c r="K132">
        <v>385.13999999999987</v>
      </c>
      <c r="L132">
        <v>385.13999999999987</v>
      </c>
      <c r="M132">
        <v>0</v>
      </c>
      <c r="N132">
        <v>1012.3600000000005</v>
      </c>
      <c r="O132">
        <v>1012.3600000000005</v>
      </c>
      <c r="P132">
        <v>0</v>
      </c>
      <c r="Q132">
        <v>-7142.46</v>
      </c>
      <c r="R132">
        <v>-7094.96</v>
      </c>
      <c r="S132">
        <v>47.5</v>
      </c>
      <c r="T132">
        <v>-10</v>
      </c>
      <c r="U132">
        <v>-10</v>
      </c>
      <c r="V132">
        <v>0</v>
      </c>
      <c r="W132">
        <v>-59.980000000000004</v>
      </c>
      <c r="X132">
        <v>-59.980000000000004</v>
      </c>
      <c r="Y132">
        <v>0</v>
      </c>
      <c r="Z132">
        <v>19378.210000000006</v>
      </c>
      <c r="AA132">
        <v>19425.710000000006</v>
      </c>
      <c r="AB132">
        <v>47.499999999999993</v>
      </c>
      <c r="AC132">
        <v>3783.1100000000056</v>
      </c>
      <c r="AD132">
        <v>1383.5500000000002</v>
      </c>
      <c r="AE132">
        <v>-2399.5600000000018</v>
      </c>
      <c r="AF132">
        <v>15595.100000000009</v>
      </c>
      <c r="AG132">
        <v>18042.160000000007</v>
      </c>
      <c r="AH132">
        <v>2447.0600000000018</v>
      </c>
      <c r="AI132">
        <v>-850.2499999999992</v>
      </c>
      <c r="AJ132">
        <v>0</v>
      </c>
      <c r="AK132">
        <v>850.2499999999992</v>
      </c>
      <c r="AL132">
        <v>16445.349999999999</v>
      </c>
      <c r="AM132">
        <v>18042.160000000007</v>
      </c>
      <c r="AN132">
        <v>1596.8099999999997</v>
      </c>
      <c r="AO132">
        <v>293</v>
      </c>
    </row>
    <row r="133" spans="1:41" x14ac:dyDescent="0.35">
      <c r="A133">
        <v>2024</v>
      </c>
      <c r="B133">
        <v>7</v>
      </c>
      <c r="C133">
        <v>29</v>
      </c>
      <c r="D133" s="14">
        <v>45492</v>
      </c>
      <c r="E133" t="s">
        <v>44</v>
      </c>
      <c r="F133" t="s">
        <v>47</v>
      </c>
      <c r="G133" t="s">
        <v>50</v>
      </c>
      <c r="H133">
        <v>21444</v>
      </c>
      <c r="I133">
        <v>21444</v>
      </c>
      <c r="J133">
        <v>0</v>
      </c>
      <c r="K133">
        <v>381.98999999999944</v>
      </c>
      <c r="L133">
        <v>381.98999999999944</v>
      </c>
      <c r="M133">
        <v>0</v>
      </c>
      <c r="N133">
        <v>910.4400000000004</v>
      </c>
      <c r="O133">
        <v>910.4400000000004</v>
      </c>
      <c r="P133">
        <v>0</v>
      </c>
      <c r="Q133">
        <v>-6076.9400000000005</v>
      </c>
      <c r="R133">
        <v>-5870.9400000000005</v>
      </c>
      <c r="S133">
        <v>206</v>
      </c>
      <c r="T133">
        <v>-20</v>
      </c>
      <c r="U133">
        <v>-20</v>
      </c>
      <c r="V133">
        <v>0</v>
      </c>
      <c r="W133">
        <v>-43.99</v>
      </c>
      <c r="X133">
        <v>-43.99</v>
      </c>
      <c r="Y133">
        <v>0</v>
      </c>
      <c r="Z133">
        <v>16595.499999999989</v>
      </c>
      <c r="AA133">
        <v>16801.499999999993</v>
      </c>
      <c r="AB133">
        <v>206</v>
      </c>
      <c r="AC133">
        <v>2762.0400000000031</v>
      </c>
      <c r="AD133">
        <v>1367.74</v>
      </c>
      <c r="AE133">
        <v>-1394.3000000000009</v>
      </c>
      <c r="AF133">
        <v>13833.460000000003</v>
      </c>
      <c r="AG133">
        <v>15433.759999999993</v>
      </c>
      <c r="AH133">
        <v>1600.3000000000009</v>
      </c>
      <c r="AI133">
        <v>-714.46000000000026</v>
      </c>
      <c r="AJ133">
        <v>0</v>
      </c>
      <c r="AK133">
        <v>714.46000000000026</v>
      </c>
      <c r="AL133">
        <v>14547.920000000004</v>
      </c>
      <c r="AM133">
        <v>15433.759999999993</v>
      </c>
      <c r="AN133">
        <v>885.84000000000015</v>
      </c>
      <c r="AO133">
        <v>246</v>
      </c>
    </row>
    <row r="134" spans="1:41" x14ac:dyDescent="0.35">
      <c r="A134">
        <v>2024</v>
      </c>
      <c r="B134">
        <v>7</v>
      </c>
      <c r="C134">
        <v>29</v>
      </c>
      <c r="D134" s="14">
        <v>45493</v>
      </c>
      <c r="E134" t="s">
        <v>44</v>
      </c>
      <c r="F134" t="s">
        <v>47</v>
      </c>
      <c r="G134" t="s">
        <v>50</v>
      </c>
      <c r="H134">
        <v>26106.149999999998</v>
      </c>
      <c r="I134">
        <v>26106.149999999998</v>
      </c>
      <c r="J134">
        <v>0</v>
      </c>
      <c r="K134">
        <v>439.56999999999965</v>
      </c>
      <c r="L134">
        <v>439.56999999999965</v>
      </c>
      <c r="M134">
        <v>0</v>
      </c>
      <c r="N134">
        <v>1124.3000000000004</v>
      </c>
      <c r="O134">
        <v>1124.3000000000004</v>
      </c>
      <c r="P134">
        <v>0</v>
      </c>
      <c r="Q134">
        <v>-7676.47</v>
      </c>
      <c r="R134">
        <v>-7360.47</v>
      </c>
      <c r="S134">
        <v>316</v>
      </c>
      <c r="T134">
        <v>-25</v>
      </c>
      <c r="U134">
        <v>-25</v>
      </c>
      <c r="V134">
        <v>0</v>
      </c>
      <c r="W134">
        <v>-30.990000000000002</v>
      </c>
      <c r="X134">
        <v>-30.990000000000002</v>
      </c>
      <c r="Y134">
        <v>0</v>
      </c>
      <c r="Z134">
        <v>19937.559999999987</v>
      </c>
      <c r="AA134">
        <v>20253.559999999987</v>
      </c>
      <c r="AB134">
        <v>316</v>
      </c>
      <c r="AC134">
        <v>2594.1600000000008</v>
      </c>
      <c r="AD134">
        <v>1226.4199999999998</v>
      </c>
      <c r="AE134">
        <v>-1367.7400000000002</v>
      </c>
      <c r="AF134">
        <v>17343.400000000005</v>
      </c>
      <c r="AG134">
        <v>19027.139999999996</v>
      </c>
      <c r="AH134">
        <v>1683.74</v>
      </c>
      <c r="AI134">
        <v>-749.07000000000016</v>
      </c>
      <c r="AJ134">
        <v>0</v>
      </c>
      <c r="AK134">
        <v>749.07000000000016</v>
      </c>
      <c r="AL134">
        <v>18092.470000000005</v>
      </c>
      <c r="AM134">
        <v>19027.139999999996</v>
      </c>
      <c r="AN134">
        <v>934.66999999999973</v>
      </c>
      <c r="AO134">
        <v>307</v>
      </c>
    </row>
    <row r="135" spans="1:41" x14ac:dyDescent="0.35">
      <c r="A135">
        <v>2024</v>
      </c>
      <c r="B135">
        <v>7</v>
      </c>
      <c r="C135">
        <v>29</v>
      </c>
      <c r="D135" s="14">
        <v>45487</v>
      </c>
      <c r="E135" t="s">
        <v>44</v>
      </c>
      <c r="F135" t="s">
        <v>47</v>
      </c>
      <c r="G135" t="s">
        <v>51</v>
      </c>
      <c r="H135">
        <v>6767.9500000000044</v>
      </c>
      <c r="I135">
        <v>6767.9500000000044</v>
      </c>
      <c r="J135">
        <v>0</v>
      </c>
      <c r="K135">
        <v>80</v>
      </c>
      <c r="L135">
        <v>80</v>
      </c>
      <c r="M135">
        <v>0</v>
      </c>
      <c r="N135">
        <v>0</v>
      </c>
      <c r="O135">
        <v>0</v>
      </c>
      <c r="P135">
        <v>0</v>
      </c>
      <c r="Q135">
        <v>-1476.9999999999998</v>
      </c>
      <c r="R135">
        <v>-1476.9999999999998</v>
      </c>
      <c r="S135">
        <v>0</v>
      </c>
      <c r="T135">
        <v>-32</v>
      </c>
      <c r="U135">
        <v>-32</v>
      </c>
      <c r="V135">
        <v>0</v>
      </c>
      <c r="W135">
        <v>0</v>
      </c>
      <c r="X135">
        <v>0</v>
      </c>
      <c r="Y135">
        <v>0</v>
      </c>
      <c r="Z135">
        <v>5338.9500000000016</v>
      </c>
      <c r="AA135">
        <v>5338.9500000000016</v>
      </c>
      <c r="AB135">
        <v>0</v>
      </c>
      <c r="AC135">
        <v>65.75</v>
      </c>
      <c r="AD135">
        <v>40</v>
      </c>
      <c r="AE135">
        <v>-25.75</v>
      </c>
      <c r="AF135">
        <v>5273.2000000000016</v>
      </c>
      <c r="AG135">
        <v>5298.9500000000016</v>
      </c>
      <c r="AH135">
        <v>25.75</v>
      </c>
      <c r="AI135">
        <v>1272.3299999999992</v>
      </c>
      <c r="AJ135">
        <v>0</v>
      </c>
      <c r="AK135">
        <v>-1272.3299999999992</v>
      </c>
      <c r="AL135">
        <v>4000.870000000004</v>
      </c>
      <c r="AM135">
        <v>5298.9500000000016</v>
      </c>
      <c r="AN135">
        <v>1298.079999999999</v>
      </c>
      <c r="AO135">
        <v>124</v>
      </c>
    </row>
    <row r="136" spans="1:41" x14ac:dyDescent="0.35">
      <c r="A136">
        <v>2024</v>
      </c>
      <c r="B136">
        <v>7</v>
      </c>
      <c r="C136">
        <v>29</v>
      </c>
      <c r="D136" s="14">
        <v>45488</v>
      </c>
      <c r="E136" t="s">
        <v>44</v>
      </c>
      <c r="F136" t="s">
        <v>47</v>
      </c>
      <c r="G136" t="s">
        <v>51</v>
      </c>
      <c r="H136">
        <v>2855.75</v>
      </c>
      <c r="I136">
        <v>2855.75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-387.59999999999997</v>
      </c>
      <c r="R136">
        <v>-387.59999999999997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2468.1499999999996</v>
      </c>
      <c r="AA136">
        <v>2468.1499999999996</v>
      </c>
      <c r="AB136">
        <v>0</v>
      </c>
      <c r="AC136">
        <v>40</v>
      </c>
      <c r="AE136">
        <v>-40</v>
      </c>
      <c r="AF136">
        <v>2428.1499999999996</v>
      </c>
      <c r="AG136">
        <v>2468.1499999999996</v>
      </c>
      <c r="AH136">
        <v>40</v>
      </c>
      <c r="AI136">
        <v>525.9000000000002</v>
      </c>
      <c r="AJ136">
        <v>0</v>
      </c>
      <c r="AK136">
        <v>-525.9000000000002</v>
      </c>
      <c r="AL136">
        <v>1902.2500000000005</v>
      </c>
      <c r="AM136">
        <v>2468.1499999999996</v>
      </c>
      <c r="AN136">
        <v>565.90000000000009</v>
      </c>
      <c r="AO136">
        <v>50</v>
      </c>
    </row>
    <row r="137" spans="1:41" x14ac:dyDescent="0.35">
      <c r="A137">
        <v>2024</v>
      </c>
      <c r="B137">
        <v>7</v>
      </c>
      <c r="C137">
        <v>29</v>
      </c>
      <c r="D137" s="14">
        <v>45489</v>
      </c>
      <c r="E137" t="s">
        <v>44</v>
      </c>
      <c r="F137" t="s">
        <v>47</v>
      </c>
      <c r="G137" t="s">
        <v>51</v>
      </c>
      <c r="H137">
        <v>1638.9999999999993</v>
      </c>
      <c r="I137">
        <v>1638.9999999999993</v>
      </c>
      <c r="J137">
        <v>0</v>
      </c>
      <c r="K137">
        <v>65</v>
      </c>
      <c r="L137">
        <v>65</v>
      </c>
      <c r="M137">
        <v>0</v>
      </c>
      <c r="N137">
        <v>0</v>
      </c>
      <c r="O137">
        <v>0</v>
      </c>
      <c r="P137">
        <v>0</v>
      </c>
      <c r="Q137">
        <v>-186.2</v>
      </c>
      <c r="R137">
        <v>-186.2</v>
      </c>
      <c r="S137">
        <v>0</v>
      </c>
      <c r="T137">
        <v>-16</v>
      </c>
      <c r="U137">
        <v>-16</v>
      </c>
      <c r="V137">
        <v>0</v>
      </c>
      <c r="W137">
        <v>0</v>
      </c>
      <c r="X137">
        <v>0</v>
      </c>
      <c r="Y137">
        <v>0</v>
      </c>
      <c r="Z137">
        <v>1501.7999999999993</v>
      </c>
      <c r="AA137">
        <v>1501.7999999999993</v>
      </c>
      <c r="AB137">
        <v>0</v>
      </c>
      <c r="AE137">
        <v>0</v>
      </c>
      <c r="AF137">
        <v>1501.7999999999993</v>
      </c>
      <c r="AG137">
        <v>1501.7999999999993</v>
      </c>
      <c r="AH137">
        <v>0</v>
      </c>
      <c r="AI137">
        <v>76.89</v>
      </c>
      <c r="AJ137">
        <v>0</v>
      </c>
      <c r="AK137">
        <v>-76.89</v>
      </c>
      <c r="AL137">
        <v>1424.9099999999994</v>
      </c>
      <c r="AM137">
        <v>1501.7999999999993</v>
      </c>
      <c r="AN137">
        <v>76.89</v>
      </c>
      <c r="AO137">
        <v>39</v>
      </c>
    </row>
    <row r="138" spans="1:41" x14ac:dyDescent="0.35">
      <c r="A138">
        <v>2024</v>
      </c>
      <c r="B138">
        <v>7</v>
      </c>
      <c r="C138">
        <v>29</v>
      </c>
      <c r="D138" s="14">
        <v>45490</v>
      </c>
      <c r="E138" t="s">
        <v>44</v>
      </c>
      <c r="F138" t="s">
        <v>47</v>
      </c>
      <c r="G138" t="s">
        <v>51</v>
      </c>
      <c r="H138">
        <v>2328.4999999999995</v>
      </c>
      <c r="I138">
        <v>2328.4999999999995</v>
      </c>
      <c r="J138">
        <v>0</v>
      </c>
      <c r="K138">
        <v>32.5</v>
      </c>
      <c r="L138">
        <v>32.5</v>
      </c>
      <c r="M138">
        <v>0</v>
      </c>
      <c r="N138">
        <v>0</v>
      </c>
      <c r="O138">
        <v>0</v>
      </c>
      <c r="P138">
        <v>0</v>
      </c>
      <c r="Q138">
        <v>-513.15000000000009</v>
      </c>
      <c r="R138">
        <v>-513.15000000000009</v>
      </c>
      <c r="S138">
        <v>0</v>
      </c>
      <c r="T138">
        <v>-8</v>
      </c>
      <c r="U138">
        <v>-8</v>
      </c>
      <c r="V138">
        <v>0</v>
      </c>
      <c r="W138">
        <v>0</v>
      </c>
      <c r="X138">
        <v>0</v>
      </c>
      <c r="Y138">
        <v>0</v>
      </c>
      <c r="Z138">
        <v>1839.8499999999997</v>
      </c>
      <c r="AA138">
        <v>1839.8499999999997</v>
      </c>
      <c r="AB138">
        <v>0</v>
      </c>
      <c r="AE138">
        <v>0</v>
      </c>
      <c r="AF138">
        <v>1839.8499999999997</v>
      </c>
      <c r="AG138">
        <v>1839.8499999999997</v>
      </c>
      <c r="AH138">
        <v>0</v>
      </c>
      <c r="AI138">
        <v>426.10999999999996</v>
      </c>
      <c r="AJ138">
        <v>0</v>
      </c>
      <c r="AK138">
        <v>-426.10999999999996</v>
      </c>
      <c r="AL138">
        <v>1413.7399999999993</v>
      </c>
      <c r="AM138">
        <v>1839.8499999999997</v>
      </c>
      <c r="AN138">
        <v>426.10999999999996</v>
      </c>
      <c r="AO138">
        <v>39</v>
      </c>
    </row>
    <row r="139" spans="1:41" x14ac:dyDescent="0.35">
      <c r="A139">
        <v>2024</v>
      </c>
      <c r="B139">
        <v>7</v>
      </c>
      <c r="C139">
        <v>29</v>
      </c>
      <c r="D139" s="14">
        <v>45491</v>
      </c>
      <c r="E139" t="s">
        <v>44</v>
      </c>
      <c r="F139" t="s">
        <v>47</v>
      </c>
      <c r="G139" t="s">
        <v>51</v>
      </c>
      <c r="H139">
        <v>3188.85</v>
      </c>
      <c r="I139">
        <v>3188.85</v>
      </c>
      <c r="J139">
        <v>0</v>
      </c>
      <c r="K139">
        <v>10</v>
      </c>
      <c r="L139">
        <v>10</v>
      </c>
      <c r="M139">
        <v>0</v>
      </c>
      <c r="N139">
        <v>0</v>
      </c>
      <c r="O139">
        <v>0</v>
      </c>
      <c r="P139">
        <v>0</v>
      </c>
      <c r="Q139">
        <v>-831.04999999999984</v>
      </c>
      <c r="R139">
        <v>-831.04999999999984</v>
      </c>
      <c r="S139">
        <v>0</v>
      </c>
      <c r="T139">
        <v>-4</v>
      </c>
      <c r="U139">
        <v>-4</v>
      </c>
      <c r="V139">
        <v>0</v>
      </c>
      <c r="W139">
        <v>0</v>
      </c>
      <c r="X139">
        <v>0</v>
      </c>
      <c r="Y139">
        <v>0</v>
      </c>
      <c r="Z139">
        <v>2363.7999999999997</v>
      </c>
      <c r="AA139">
        <v>2363.7999999999997</v>
      </c>
      <c r="AB139">
        <v>0</v>
      </c>
      <c r="AC139">
        <v>8.33</v>
      </c>
      <c r="AE139">
        <v>-8.33</v>
      </c>
      <c r="AF139">
        <v>2355.4699999999998</v>
      </c>
      <c r="AG139">
        <v>2363.7999999999997</v>
      </c>
      <c r="AH139">
        <v>8.3299999999999983</v>
      </c>
      <c r="AI139">
        <v>421.27000000000004</v>
      </c>
      <c r="AJ139">
        <v>5.26</v>
      </c>
      <c r="AK139">
        <v>-416.01000000000005</v>
      </c>
      <c r="AL139">
        <v>1934.2000000000007</v>
      </c>
      <c r="AM139">
        <v>2358.54</v>
      </c>
      <c r="AN139">
        <v>424.34000000000003</v>
      </c>
      <c r="AO139">
        <v>50</v>
      </c>
    </row>
    <row r="140" spans="1:41" x14ac:dyDescent="0.35">
      <c r="A140">
        <v>2024</v>
      </c>
      <c r="B140">
        <v>7</v>
      </c>
      <c r="C140">
        <v>29</v>
      </c>
      <c r="D140" s="14">
        <v>45492</v>
      </c>
      <c r="E140" t="s">
        <v>44</v>
      </c>
      <c r="F140" t="s">
        <v>47</v>
      </c>
      <c r="G140" t="s">
        <v>51</v>
      </c>
      <c r="H140">
        <v>3642.15</v>
      </c>
      <c r="I140">
        <v>3642.15</v>
      </c>
      <c r="J140">
        <v>0</v>
      </c>
      <c r="K140">
        <v>32.5</v>
      </c>
      <c r="L140">
        <v>32.5</v>
      </c>
      <c r="M140">
        <v>0</v>
      </c>
      <c r="N140">
        <v>0</v>
      </c>
      <c r="O140">
        <v>0</v>
      </c>
      <c r="P140">
        <v>0</v>
      </c>
      <c r="Q140">
        <v>-979.44999999999959</v>
      </c>
      <c r="R140">
        <v>-979.44999999999959</v>
      </c>
      <c r="S140">
        <v>0</v>
      </c>
      <c r="T140">
        <v>-8</v>
      </c>
      <c r="U140">
        <v>-8</v>
      </c>
      <c r="V140">
        <v>0</v>
      </c>
      <c r="W140">
        <v>0</v>
      </c>
      <c r="X140">
        <v>0</v>
      </c>
      <c r="Y140">
        <v>0</v>
      </c>
      <c r="Z140">
        <v>2687.1999999999989</v>
      </c>
      <c r="AA140">
        <v>2687.1999999999989</v>
      </c>
      <c r="AB140">
        <v>0</v>
      </c>
      <c r="AC140">
        <v>60</v>
      </c>
      <c r="AD140">
        <v>60</v>
      </c>
      <c r="AE140">
        <v>0</v>
      </c>
      <c r="AF140">
        <v>2627.1999999999989</v>
      </c>
      <c r="AG140">
        <v>2627.1999999999989</v>
      </c>
      <c r="AH140">
        <v>0</v>
      </c>
      <c r="AI140">
        <v>584.7399999999999</v>
      </c>
      <c r="AJ140">
        <v>0</v>
      </c>
      <c r="AK140">
        <v>-584.7399999999999</v>
      </c>
      <c r="AL140">
        <v>2042.4600000000007</v>
      </c>
      <c r="AM140">
        <v>2627.1999999999989</v>
      </c>
      <c r="AN140">
        <v>584.7399999999999</v>
      </c>
      <c r="AO140">
        <v>64</v>
      </c>
    </row>
    <row r="141" spans="1:41" x14ac:dyDescent="0.35">
      <c r="A141">
        <v>2024</v>
      </c>
      <c r="B141">
        <v>7</v>
      </c>
      <c r="C141">
        <v>29</v>
      </c>
      <c r="D141" s="14">
        <v>45493</v>
      </c>
      <c r="E141" t="s">
        <v>44</v>
      </c>
      <c r="F141" t="s">
        <v>47</v>
      </c>
      <c r="G141" t="s">
        <v>51</v>
      </c>
      <c r="H141">
        <v>5448.0000000000009</v>
      </c>
      <c r="I141">
        <v>5308.0000000000009</v>
      </c>
      <c r="J141">
        <v>-140</v>
      </c>
      <c r="K141">
        <v>45.95</v>
      </c>
      <c r="L141">
        <v>45.95</v>
      </c>
      <c r="M141">
        <v>0</v>
      </c>
      <c r="N141">
        <v>18.990000000000002</v>
      </c>
      <c r="O141">
        <v>18.990000000000002</v>
      </c>
      <c r="P141">
        <v>0</v>
      </c>
      <c r="Q141">
        <v>-1421.0500000000009</v>
      </c>
      <c r="R141">
        <v>-1372.0500000000009</v>
      </c>
      <c r="S141">
        <v>49</v>
      </c>
      <c r="T141">
        <v>-8</v>
      </c>
      <c r="U141">
        <v>-8</v>
      </c>
      <c r="V141">
        <v>0</v>
      </c>
      <c r="W141">
        <v>0</v>
      </c>
      <c r="X141">
        <v>0</v>
      </c>
      <c r="Y141">
        <v>0</v>
      </c>
      <c r="Z141">
        <v>4083.8900000000017</v>
      </c>
      <c r="AA141">
        <v>3992.8900000000017</v>
      </c>
      <c r="AB141">
        <v>-91</v>
      </c>
      <c r="AC141">
        <v>130.17000000000002</v>
      </c>
      <c r="AD141">
        <v>70.17</v>
      </c>
      <c r="AE141">
        <v>-60</v>
      </c>
      <c r="AF141">
        <v>3953.7200000000016</v>
      </c>
      <c r="AG141">
        <v>3922.7200000000016</v>
      </c>
      <c r="AH141">
        <v>-31</v>
      </c>
      <c r="AI141">
        <v>909.35999999999956</v>
      </c>
      <c r="AJ141">
        <v>0</v>
      </c>
      <c r="AK141">
        <v>-909.35999999999956</v>
      </c>
      <c r="AL141">
        <v>3044.3599999999997</v>
      </c>
      <c r="AM141">
        <v>3922.7200000000016</v>
      </c>
      <c r="AN141">
        <v>878.35999999999979</v>
      </c>
      <c r="AO141">
        <v>92</v>
      </c>
    </row>
    <row r="142" spans="1:41" x14ac:dyDescent="0.35">
      <c r="A142">
        <v>2024</v>
      </c>
      <c r="B142">
        <v>7</v>
      </c>
      <c r="C142">
        <v>30</v>
      </c>
      <c r="D142" s="14">
        <v>45494</v>
      </c>
      <c r="E142" t="s">
        <v>41</v>
      </c>
      <c r="F142" t="s">
        <v>42</v>
      </c>
      <c r="G142" t="s">
        <v>43</v>
      </c>
      <c r="H142">
        <v>91318.5</v>
      </c>
      <c r="I142">
        <v>91318.5</v>
      </c>
      <c r="J142">
        <v>0</v>
      </c>
      <c r="K142">
        <v>1152.2300000000073</v>
      </c>
      <c r="L142">
        <v>1152.2300000000073</v>
      </c>
      <c r="M142">
        <v>0</v>
      </c>
      <c r="N142">
        <v>2600.2099999999928</v>
      </c>
      <c r="O142">
        <v>2600.2099999999928</v>
      </c>
      <c r="P142">
        <v>0</v>
      </c>
      <c r="Q142">
        <v>-7874.75</v>
      </c>
      <c r="R142">
        <v>-7149.75</v>
      </c>
      <c r="S142">
        <v>725</v>
      </c>
      <c r="T142">
        <v>-1.4</v>
      </c>
      <c r="U142">
        <v>-1.4</v>
      </c>
      <c r="V142">
        <v>0</v>
      </c>
      <c r="W142">
        <v>-70</v>
      </c>
      <c r="X142">
        <v>-70</v>
      </c>
      <c r="Y142">
        <v>0</v>
      </c>
      <c r="Z142">
        <v>87124.790000000401</v>
      </c>
      <c r="AA142">
        <v>87849.79000000043</v>
      </c>
      <c r="AB142">
        <v>725</v>
      </c>
      <c r="AC142">
        <v>28715.229999999723</v>
      </c>
      <c r="AD142">
        <v>16720.529999999926</v>
      </c>
      <c r="AE142">
        <v>-11994.699999999984</v>
      </c>
      <c r="AF142">
        <v>58409.560000000391</v>
      </c>
      <c r="AG142">
        <v>71129.260000000097</v>
      </c>
      <c r="AH142">
        <v>12719.699999999983</v>
      </c>
      <c r="AI142">
        <v>-7909.6199999999917</v>
      </c>
      <c r="AJ142">
        <v>0</v>
      </c>
      <c r="AK142">
        <v>7909.6199999999917</v>
      </c>
      <c r="AL142">
        <v>66319.180000000299</v>
      </c>
      <c r="AM142">
        <v>71129.260000000097</v>
      </c>
      <c r="AN142">
        <v>4810.0800000000172</v>
      </c>
      <c r="AO142">
        <v>1634</v>
      </c>
    </row>
    <row r="143" spans="1:41" x14ac:dyDescent="0.35">
      <c r="A143">
        <v>2024</v>
      </c>
      <c r="B143">
        <v>7</v>
      </c>
      <c r="C143">
        <v>30</v>
      </c>
      <c r="D143" s="14">
        <v>45495</v>
      </c>
      <c r="E143" t="s">
        <v>41</v>
      </c>
      <c r="F143" t="s">
        <v>42</v>
      </c>
      <c r="G143" t="s">
        <v>43</v>
      </c>
      <c r="H143">
        <v>106281</v>
      </c>
      <c r="I143">
        <v>106281</v>
      </c>
      <c r="J143">
        <v>0</v>
      </c>
      <c r="K143">
        <v>1201.9500000000157</v>
      </c>
      <c r="L143">
        <v>1201.9500000000157</v>
      </c>
      <c r="M143">
        <v>0</v>
      </c>
      <c r="N143">
        <v>2861.059999999989</v>
      </c>
      <c r="O143">
        <v>2861.059999999989</v>
      </c>
      <c r="P143">
        <v>0</v>
      </c>
      <c r="Q143">
        <v>-9320.1</v>
      </c>
      <c r="R143">
        <v>-8455.1</v>
      </c>
      <c r="S143">
        <v>865</v>
      </c>
      <c r="T143">
        <v>-3.01</v>
      </c>
      <c r="U143">
        <v>-3.01</v>
      </c>
      <c r="V143">
        <v>0</v>
      </c>
      <c r="W143">
        <v>-88</v>
      </c>
      <c r="X143">
        <v>-88</v>
      </c>
      <c r="Y143">
        <v>0</v>
      </c>
      <c r="Z143">
        <v>100932.90000000063</v>
      </c>
      <c r="AA143">
        <v>101797.90000000063</v>
      </c>
      <c r="AB143">
        <v>865</v>
      </c>
      <c r="AC143">
        <v>36543.639999999301</v>
      </c>
      <c r="AD143">
        <v>19967.149999999838</v>
      </c>
      <c r="AE143">
        <v>-16576.489999999954</v>
      </c>
      <c r="AF143">
        <v>64389.260000000642</v>
      </c>
      <c r="AG143">
        <v>81830.750000000437</v>
      </c>
      <c r="AH143">
        <v>17441.489999999943</v>
      </c>
      <c r="AI143">
        <v>-9413.5599999999831</v>
      </c>
      <c r="AJ143">
        <v>0</v>
      </c>
      <c r="AK143">
        <v>9413.5599999999831</v>
      </c>
      <c r="AL143">
        <v>73802.820000000167</v>
      </c>
      <c r="AM143">
        <v>81830.750000000437</v>
      </c>
      <c r="AN143">
        <v>8027.9300000000412</v>
      </c>
      <c r="AO143">
        <v>1880</v>
      </c>
    </row>
    <row r="144" spans="1:41" x14ac:dyDescent="0.35">
      <c r="A144">
        <v>2024</v>
      </c>
      <c r="B144">
        <v>7</v>
      </c>
      <c r="C144">
        <v>30</v>
      </c>
      <c r="D144" s="14">
        <v>45496</v>
      </c>
      <c r="E144" t="s">
        <v>41</v>
      </c>
      <c r="F144" t="s">
        <v>42</v>
      </c>
      <c r="G144" t="s">
        <v>43</v>
      </c>
      <c r="H144">
        <v>98805</v>
      </c>
      <c r="I144">
        <v>98805</v>
      </c>
      <c r="J144">
        <v>0</v>
      </c>
      <c r="K144">
        <v>1060.7300000000055</v>
      </c>
      <c r="L144">
        <v>1060.7300000000055</v>
      </c>
      <c r="M144">
        <v>0</v>
      </c>
      <c r="N144">
        <v>2630.2599999999929</v>
      </c>
      <c r="O144">
        <v>2630.2599999999929</v>
      </c>
      <c r="P144">
        <v>0</v>
      </c>
      <c r="Q144">
        <v>-8200.35</v>
      </c>
      <c r="R144">
        <v>-7522.35</v>
      </c>
      <c r="S144">
        <v>678</v>
      </c>
      <c r="T144">
        <v>-5.84</v>
      </c>
      <c r="U144">
        <v>-5.84</v>
      </c>
      <c r="V144">
        <v>0</v>
      </c>
      <c r="W144">
        <v>-112.69000000000001</v>
      </c>
      <c r="X144">
        <v>-112.69000000000001</v>
      </c>
      <c r="Y144">
        <v>0</v>
      </c>
      <c r="Z144">
        <v>94177.110000000554</v>
      </c>
      <c r="AA144">
        <v>94855.110000000583</v>
      </c>
      <c r="AB144">
        <v>678</v>
      </c>
      <c r="AC144">
        <v>36111.729999999152</v>
      </c>
      <c r="AD144">
        <v>16471.289999999979</v>
      </c>
      <c r="AE144">
        <v>-19640.43999999986</v>
      </c>
      <c r="AF144">
        <v>58065.38000000079</v>
      </c>
      <c r="AG144">
        <v>78383.820000000371</v>
      </c>
      <c r="AH144">
        <v>20318.439999999839</v>
      </c>
      <c r="AI144">
        <v>-7681.1199999999872</v>
      </c>
      <c r="AJ144">
        <v>0</v>
      </c>
      <c r="AK144">
        <v>7681.1199999999872</v>
      </c>
      <c r="AL144">
        <v>65746.500000000553</v>
      </c>
      <c r="AM144">
        <v>78383.820000000371</v>
      </c>
      <c r="AN144">
        <v>12637.320000000011</v>
      </c>
      <c r="AO144">
        <v>1737</v>
      </c>
    </row>
    <row r="145" spans="1:41" x14ac:dyDescent="0.35">
      <c r="A145">
        <v>2024</v>
      </c>
      <c r="B145">
        <v>7</v>
      </c>
      <c r="C145">
        <v>30</v>
      </c>
      <c r="D145" s="14">
        <v>45497</v>
      </c>
      <c r="E145" t="s">
        <v>41</v>
      </c>
      <c r="F145" t="s">
        <v>42</v>
      </c>
      <c r="G145" t="s">
        <v>43</v>
      </c>
      <c r="H145">
        <v>122978</v>
      </c>
      <c r="I145">
        <v>122978</v>
      </c>
      <c r="J145">
        <v>0</v>
      </c>
      <c r="K145">
        <v>1423.6900000000214</v>
      </c>
      <c r="L145">
        <v>1423.6900000000214</v>
      </c>
      <c r="M145">
        <v>0</v>
      </c>
      <c r="N145">
        <v>3327.8299999999831</v>
      </c>
      <c r="O145">
        <v>3308.8399999999833</v>
      </c>
      <c r="P145">
        <v>-18.990000000000002</v>
      </c>
      <c r="Q145">
        <v>-10185.25</v>
      </c>
      <c r="R145">
        <v>-9502.25</v>
      </c>
      <c r="S145">
        <v>683</v>
      </c>
      <c r="T145">
        <v>-14.980000000000002</v>
      </c>
      <c r="U145">
        <v>-14.980000000000002</v>
      </c>
      <c r="V145">
        <v>0</v>
      </c>
      <c r="W145">
        <v>-159.68</v>
      </c>
      <c r="X145">
        <v>-159.68</v>
      </c>
      <c r="Y145">
        <v>0</v>
      </c>
      <c r="Z145">
        <v>117369.61000000089</v>
      </c>
      <c r="AA145">
        <v>118033.62000000091</v>
      </c>
      <c r="AB145">
        <v>664.01</v>
      </c>
      <c r="AC145">
        <v>45875.139999998632</v>
      </c>
      <c r="AD145">
        <v>29527.029999999504</v>
      </c>
      <c r="AE145">
        <v>-16348.109999999993</v>
      </c>
      <c r="AF145">
        <v>71494.470000000787</v>
      </c>
      <c r="AG145">
        <v>88506.590000000331</v>
      </c>
      <c r="AH145">
        <v>17012.11999999997</v>
      </c>
      <c r="AI145">
        <v>-14067.129999999996</v>
      </c>
      <c r="AJ145">
        <v>0</v>
      </c>
      <c r="AK145">
        <v>14067.129999999996</v>
      </c>
      <c r="AL145">
        <v>85561.600000000457</v>
      </c>
      <c r="AM145">
        <v>88506.590000000331</v>
      </c>
      <c r="AN145">
        <v>2944.9900000000252</v>
      </c>
      <c r="AO145">
        <v>2164</v>
      </c>
    </row>
    <row r="146" spans="1:41" x14ac:dyDescent="0.35">
      <c r="A146">
        <v>2024</v>
      </c>
      <c r="B146">
        <v>7</v>
      </c>
      <c r="C146">
        <v>30</v>
      </c>
      <c r="D146" s="14">
        <v>45498</v>
      </c>
      <c r="E146" t="s">
        <v>41</v>
      </c>
      <c r="F146" t="s">
        <v>42</v>
      </c>
      <c r="G146" t="s">
        <v>43</v>
      </c>
      <c r="H146">
        <v>137968</v>
      </c>
      <c r="I146">
        <v>137968</v>
      </c>
      <c r="J146">
        <v>0</v>
      </c>
      <c r="K146">
        <v>1837.6900000000164</v>
      </c>
      <c r="L146">
        <v>1837.6900000000164</v>
      </c>
      <c r="M146">
        <v>0</v>
      </c>
      <c r="N146">
        <v>3550.619999999979</v>
      </c>
      <c r="O146">
        <v>3537.6299999999792</v>
      </c>
      <c r="P146">
        <v>-12.99</v>
      </c>
      <c r="Q146">
        <v>-11350.5</v>
      </c>
      <c r="R146">
        <v>-10570.5</v>
      </c>
      <c r="S146">
        <v>780</v>
      </c>
      <c r="T146">
        <v>-13.88</v>
      </c>
      <c r="U146">
        <v>-13.88</v>
      </c>
      <c r="V146">
        <v>0</v>
      </c>
      <c r="W146">
        <v>-148.98000000000002</v>
      </c>
      <c r="X146">
        <v>-148.98000000000002</v>
      </c>
      <c r="Y146">
        <v>0</v>
      </c>
      <c r="Z146">
        <v>131842.95000000185</v>
      </c>
      <c r="AA146">
        <v>132609.96000000183</v>
      </c>
      <c r="AB146">
        <v>767.01</v>
      </c>
      <c r="AC146">
        <v>53712.869999998271</v>
      </c>
      <c r="AD146">
        <v>24424.199999999706</v>
      </c>
      <c r="AE146">
        <v>-29288.669999999638</v>
      </c>
      <c r="AF146">
        <v>78130.080000000773</v>
      </c>
      <c r="AG146">
        <v>108185.76000000081</v>
      </c>
      <c r="AH146">
        <v>30055.679999999629</v>
      </c>
      <c r="AI146">
        <v>-11436.679999999997</v>
      </c>
      <c r="AJ146">
        <v>0</v>
      </c>
      <c r="AK146">
        <v>11436.679999999997</v>
      </c>
      <c r="AL146">
        <v>89566.760000000315</v>
      </c>
      <c r="AM146">
        <v>108185.76000000081</v>
      </c>
      <c r="AN146">
        <v>18618.999999999854</v>
      </c>
      <c r="AO146">
        <v>2434</v>
      </c>
    </row>
    <row r="147" spans="1:41" x14ac:dyDescent="0.35">
      <c r="A147">
        <v>2024</v>
      </c>
      <c r="B147">
        <v>7</v>
      </c>
      <c r="C147">
        <v>30</v>
      </c>
      <c r="D147" s="14">
        <v>45499</v>
      </c>
      <c r="E147" t="s">
        <v>41</v>
      </c>
      <c r="F147" t="s">
        <v>42</v>
      </c>
      <c r="G147" t="s">
        <v>43</v>
      </c>
      <c r="H147">
        <v>118195</v>
      </c>
      <c r="I147">
        <v>118144</v>
      </c>
      <c r="J147">
        <v>-51</v>
      </c>
      <c r="K147">
        <v>1483.300000000022</v>
      </c>
      <c r="L147">
        <v>1483.300000000022</v>
      </c>
      <c r="M147">
        <v>0</v>
      </c>
      <c r="N147">
        <v>3035.9499999999866</v>
      </c>
      <c r="O147">
        <v>3035.9499999999866</v>
      </c>
      <c r="P147">
        <v>0</v>
      </c>
      <c r="Q147">
        <v>-9627.5</v>
      </c>
      <c r="R147">
        <v>-8786.5</v>
      </c>
      <c r="S147">
        <v>841</v>
      </c>
      <c r="T147">
        <v>-5.0100000000000007</v>
      </c>
      <c r="U147">
        <v>-5.0100000000000007</v>
      </c>
      <c r="V147">
        <v>0</v>
      </c>
      <c r="W147">
        <v>-112.98</v>
      </c>
      <c r="X147">
        <v>-112.98</v>
      </c>
      <c r="Y147">
        <v>0</v>
      </c>
      <c r="Z147">
        <v>112968.76000000103</v>
      </c>
      <c r="AA147">
        <v>113758.76000000103</v>
      </c>
      <c r="AB147">
        <v>790</v>
      </c>
      <c r="AC147">
        <v>46727.369999998627</v>
      </c>
      <c r="AD147">
        <v>22337.399999999736</v>
      </c>
      <c r="AE147">
        <v>-24389.96999999971</v>
      </c>
      <c r="AF147">
        <v>66241.390000000945</v>
      </c>
      <c r="AG147">
        <v>91421.360000000583</v>
      </c>
      <c r="AH147">
        <v>25179.969999999699</v>
      </c>
      <c r="AI147">
        <v>-10649.110000000002</v>
      </c>
      <c r="AJ147">
        <v>0</v>
      </c>
      <c r="AK147">
        <v>10649.110000000002</v>
      </c>
      <c r="AL147">
        <v>76890.500000000393</v>
      </c>
      <c r="AM147">
        <v>91421.360000000583</v>
      </c>
      <c r="AN147">
        <v>14530.859999999999</v>
      </c>
      <c r="AO147">
        <v>2080</v>
      </c>
    </row>
    <row r="148" spans="1:41" x14ac:dyDescent="0.35">
      <c r="A148">
        <v>2024</v>
      </c>
      <c r="B148">
        <v>7</v>
      </c>
      <c r="C148">
        <v>30</v>
      </c>
      <c r="D148" s="14">
        <v>45500</v>
      </c>
      <c r="E148" t="s">
        <v>41</v>
      </c>
      <c r="F148" t="s">
        <v>42</v>
      </c>
      <c r="G148" t="s">
        <v>43</v>
      </c>
      <c r="H148">
        <v>122855.5</v>
      </c>
      <c r="I148">
        <v>122855.5</v>
      </c>
      <c r="J148">
        <v>0</v>
      </c>
      <c r="K148">
        <v>1356.2900000000102</v>
      </c>
      <c r="L148">
        <v>1349.2900000000102</v>
      </c>
      <c r="M148">
        <v>-7</v>
      </c>
      <c r="N148">
        <v>3267.699999999983</v>
      </c>
      <c r="O148">
        <v>3267.699999999983</v>
      </c>
      <c r="P148">
        <v>0</v>
      </c>
      <c r="Q148">
        <v>-10282.75</v>
      </c>
      <c r="R148">
        <v>-9104.75</v>
      </c>
      <c r="S148">
        <v>1178</v>
      </c>
      <c r="T148">
        <v>-6.21</v>
      </c>
      <c r="U148">
        <v>-6.21</v>
      </c>
      <c r="V148">
        <v>0</v>
      </c>
      <c r="W148">
        <v>-93.990000000000009</v>
      </c>
      <c r="X148">
        <v>-93.990000000000009</v>
      </c>
      <c r="Y148">
        <v>0</v>
      </c>
      <c r="Z148">
        <v>117096.54000000126</v>
      </c>
      <c r="AA148">
        <v>118267.5400000013</v>
      </c>
      <c r="AB148">
        <v>1171</v>
      </c>
      <c r="AC148">
        <v>48498.119999998831</v>
      </c>
      <c r="AD148">
        <v>26307.349999999631</v>
      </c>
      <c r="AE148">
        <v>-22190.7699999998</v>
      </c>
      <c r="AF148">
        <v>68598.420000000682</v>
      </c>
      <c r="AG148">
        <v>91960.190000000584</v>
      </c>
      <c r="AH148">
        <v>23361.769999999764</v>
      </c>
      <c r="AI148">
        <v>-11766.260000000009</v>
      </c>
      <c r="AJ148">
        <v>0</v>
      </c>
      <c r="AK148">
        <v>11766.260000000009</v>
      </c>
      <c r="AL148">
        <v>80364.680000000531</v>
      </c>
      <c r="AM148">
        <v>91960.190000000584</v>
      </c>
      <c r="AN148">
        <v>11595.509999999998</v>
      </c>
      <c r="AO148">
        <v>2160</v>
      </c>
    </row>
    <row r="149" spans="1:41" x14ac:dyDescent="0.35">
      <c r="A149">
        <v>2024</v>
      </c>
      <c r="B149">
        <v>7</v>
      </c>
      <c r="C149">
        <v>30</v>
      </c>
      <c r="D149" s="14">
        <v>45494</v>
      </c>
      <c r="E149" t="s">
        <v>44</v>
      </c>
      <c r="F149" t="s">
        <v>42</v>
      </c>
      <c r="G149" t="s">
        <v>45</v>
      </c>
      <c r="H149">
        <v>123649.5</v>
      </c>
      <c r="I149">
        <v>123649.5</v>
      </c>
      <c r="J149">
        <v>0</v>
      </c>
      <c r="K149">
        <v>939.17000000000814</v>
      </c>
      <c r="L149">
        <v>939.17000000000814</v>
      </c>
      <c r="M149">
        <v>0</v>
      </c>
      <c r="N149">
        <v>5668.2699999999495</v>
      </c>
      <c r="O149">
        <v>5668.2699999999495</v>
      </c>
      <c r="P149">
        <v>0</v>
      </c>
      <c r="Q149">
        <v>-20166.7</v>
      </c>
      <c r="R149">
        <v>-19151.2</v>
      </c>
      <c r="S149">
        <v>1015.5</v>
      </c>
      <c r="T149">
        <v>-11.14</v>
      </c>
      <c r="U149">
        <v>-11.14</v>
      </c>
      <c r="V149">
        <v>0</v>
      </c>
      <c r="W149">
        <v>-112.8</v>
      </c>
      <c r="X149">
        <v>-112.8</v>
      </c>
      <c r="Y149">
        <v>0</v>
      </c>
      <c r="Z149">
        <v>109966.30000000073</v>
      </c>
      <c r="AA149">
        <v>110981.80000000072</v>
      </c>
      <c r="AB149">
        <v>1015.5</v>
      </c>
      <c r="AC149">
        <v>22044.519999999851</v>
      </c>
      <c r="AD149">
        <v>14249.73999999998</v>
      </c>
      <c r="AE149">
        <v>-7794.7800000000225</v>
      </c>
      <c r="AF149">
        <v>87921.780000000304</v>
      </c>
      <c r="AG149">
        <v>96732.060000000536</v>
      </c>
      <c r="AH149">
        <v>8810.2800000000116</v>
      </c>
      <c r="AI149">
        <v>-7188.2399999999943</v>
      </c>
      <c r="AJ149">
        <v>0</v>
      </c>
      <c r="AK149">
        <v>7188.2399999999943</v>
      </c>
      <c r="AL149">
        <v>95110.020000000062</v>
      </c>
      <c r="AM149">
        <v>96732.060000000536</v>
      </c>
      <c r="AN149">
        <v>1622.040000000002</v>
      </c>
      <c r="AO149">
        <v>1609</v>
      </c>
    </row>
    <row r="150" spans="1:41" x14ac:dyDescent="0.35">
      <c r="A150">
        <v>2024</v>
      </c>
      <c r="B150">
        <v>7</v>
      </c>
      <c r="C150">
        <v>30</v>
      </c>
      <c r="D150" s="14">
        <v>45495</v>
      </c>
      <c r="E150" t="s">
        <v>44</v>
      </c>
      <c r="F150" t="s">
        <v>42</v>
      </c>
      <c r="G150" t="s">
        <v>45</v>
      </c>
      <c r="H150">
        <v>162217.5</v>
      </c>
      <c r="I150">
        <v>162217.5</v>
      </c>
      <c r="J150">
        <v>0</v>
      </c>
      <c r="K150">
        <v>1095.9600000000066</v>
      </c>
      <c r="L150">
        <v>1095.9600000000066</v>
      </c>
      <c r="M150">
        <v>0</v>
      </c>
      <c r="N150">
        <v>7647.1699999999237</v>
      </c>
      <c r="O150">
        <v>7634.1799999999239</v>
      </c>
      <c r="P150">
        <v>-12.99</v>
      </c>
      <c r="Q150">
        <v>-26298.370000000003</v>
      </c>
      <c r="R150">
        <v>-25108.120000000003</v>
      </c>
      <c r="S150">
        <v>1190.25</v>
      </c>
      <c r="T150">
        <v>-9.0499999999999989</v>
      </c>
      <c r="U150">
        <v>-9.0499999999999989</v>
      </c>
      <c r="V150">
        <v>0</v>
      </c>
      <c r="W150">
        <v>-105.9</v>
      </c>
      <c r="X150">
        <v>-105.9</v>
      </c>
      <c r="Y150">
        <v>0</v>
      </c>
      <c r="Z150">
        <v>144547.31000000073</v>
      </c>
      <c r="AA150">
        <v>145724.57000000068</v>
      </c>
      <c r="AB150">
        <v>1177.26</v>
      </c>
      <c r="AC150">
        <v>36986.39999999939</v>
      </c>
      <c r="AD150">
        <v>22963.999999999731</v>
      </c>
      <c r="AE150">
        <v>-14022.399999999981</v>
      </c>
      <c r="AF150">
        <v>107560.91000000102</v>
      </c>
      <c r="AG150">
        <v>122760.57000000126</v>
      </c>
      <c r="AH150">
        <v>15199.659999999976</v>
      </c>
      <c r="AI150">
        <v>-11474.859999999995</v>
      </c>
      <c r="AJ150">
        <v>0</v>
      </c>
      <c r="AK150">
        <v>11474.859999999995</v>
      </c>
      <c r="AL150">
        <v>119035.77000000048</v>
      </c>
      <c r="AM150">
        <v>122760.57000000126</v>
      </c>
      <c r="AN150">
        <v>3724.8000000000175</v>
      </c>
      <c r="AO150">
        <v>2062</v>
      </c>
    </row>
    <row r="151" spans="1:41" x14ac:dyDescent="0.35">
      <c r="A151">
        <v>2024</v>
      </c>
      <c r="B151">
        <v>7</v>
      </c>
      <c r="C151">
        <v>30</v>
      </c>
      <c r="D151" s="14">
        <v>45496</v>
      </c>
      <c r="E151" t="s">
        <v>44</v>
      </c>
      <c r="F151" t="s">
        <v>42</v>
      </c>
      <c r="G151" t="s">
        <v>45</v>
      </c>
      <c r="H151">
        <v>155354</v>
      </c>
      <c r="I151">
        <v>155354</v>
      </c>
      <c r="J151">
        <v>0</v>
      </c>
      <c r="K151">
        <v>992.71000000001027</v>
      </c>
      <c r="L151">
        <v>992.71000000001027</v>
      </c>
      <c r="M151">
        <v>0</v>
      </c>
      <c r="N151">
        <v>6727.869999999939</v>
      </c>
      <c r="O151">
        <v>6673.8999999999396</v>
      </c>
      <c r="P151">
        <v>-53.970000000000006</v>
      </c>
      <c r="Q151">
        <v>-25997.42</v>
      </c>
      <c r="R151">
        <v>-25183.17</v>
      </c>
      <c r="S151">
        <v>814.25</v>
      </c>
      <c r="T151">
        <v>-9.0400000000000009</v>
      </c>
      <c r="U151">
        <v>-9.0400000000000009</v>
      </c>
      <c r="V151">
        <v>0</v>
      </c>
      <c r="W151">
        <v>-111.3</v>
      </c>
      <c r="X151">
        <v>-96.8</v>
      </c>
      <c r="Y151">
        <v>14.5</v>
      </c>
      <c r="Z151">
        <v>136956.82000000105</v>
      </c>
      <c r="AA151">
        <v>137731.60000000102</v>
      </c>
      <c r="AB151">
        <v>774.78</v>
      </c>
      <c r="AC151">
        <v>39824.889999998872</v>
      </c>
      <c r="AD151">
        <v>17426.179999999964</v>
      </c>
      <c r="AE151">
        <v>-22398.709999999737</v>
      </c>
      <c r="AF151">
        <v>97131.930000001026</v>
      </c>
      <c r="AG151">
        <v>120305.42000000109</v>
      </c>
      <c r="AH151">
        <v>23173.489999999711</v>
      </c>
      <c r="AI151">
        <v>-8784.2499999999982</v>
      </c>
      <c r="AJ151">
        <v>0</v>
      </c>
      <c r="AK151">
        <v>8784.2499999999982</v>
      </c>
      <c r="AL151">
        <v>105916.18000000065</v>
      </c>
      <c r="AM151">
        <v>120305.42000000109</v>
      </c>
      <c r="AN151">
        <v>14389.239999999982</v>
      </c>
      <c r="AO151">
        <v>1957</v>
      </c>
    </row>
    <row r="152" spans="1:41" x14ac:dyDescent="0.35">
      <c r="A152">
        <v>2024</v>
      </c>
      <c r="B152">
        <v>7</v>
      </c>
      <c r="C152">
        <v>30</v>
      </c>
      <c r="D152" s="14">
        <v>45497</v>
      </c>
      <c r="E152" t="s">
        <v>44</v>
      </c>
      <c r="F152" t="s">
        <v>42</v>
      </c>
      <c r="G152" t="s">
        <v>45</v>
      </c>
      <c r="H152">
        <v>186077</v>
      </c>
      <c r="I152">
        <v>186077</v>
      </c>
      <c r="J152">
        <v>0</v>
      </c>
      <c r="K152">
        <v>1132.8800000000072</v>
      </c>
      <c r="L152">
        <v>1132.8800000000072</v>
      </c>
      <c r="M152">
        <v>0</v>
      </c>
      <c r="N152">
        <v>7677.2399999999243</v>
      </c>
      <c r="O152">
        <v>7617.2799999999252</v>
      </c>
      <c r="P152">
        <v>-59.960000000000008</v>
      </c>
      <c r="Q152">
        <v>-30391.25</v>
      </c>
      <c r="R152">
        <v>-29392</v>
      </c>
      <c r="S152">
        <v>999.25</v>
      </c>
      <c r="T152">
        <v>-11.780000000000001</v>
      </c>
      <c r="U152">
        <v>-11.780000000000001</v>
      </c>
      <c r="V152">
        <v>0</v>
      </c>
      <c r="W152">
        <v>-129.19999999999999</v>
      </c>
      <c r="X152">
        <v>-129.19999999999999</v>
      </c>
      <c r="Y152">
        <v>0</v>
      </c>
      <c r="Z152">
        <v>164354.89000000022</v>
      </c>
      <c r="AA152">
        <v>165294.1800000002</v>
      </c>
      <c r="AB152">
        <v>939.29</v>
      </c>
      <c r="AC152">
        <v>46351.539999998524</v>
      </c>
      <c r="AD152">
        <v>29195.83999999944</v>
      </c>
      <c r="AE152">
        <v>-17155.699999999975</v>
      </c>
      <c r="AF152">
        <v>118003.35000000161</v>
      </c>
      <c r="AG152">
        <v>136098.34000000099</v>
      </c>
      <c r="AH152">
        <v>18094.98999999994</v>
      </c>
      <c r="AI152">
        <v>-14787.610000000004</v>
      </c>
      <c r="AJ152">
        <v>0</v>
      </c>
      <c r="AK152">
        <v>14787.610000000004</v>
      </c>
      <c r="AL152">
        <v>132790.96000000081</v>
      </c>
      <c r="AM152">
        <v>136098.34000000099</v>
      </c>
      <c r="AN152">
        <v>3307.3800000000319</v>
      </c>
      <c r="AO152">
        <v>2351</v>
      </c>
    </row>
    <row r="153" spans="1:41" x14ac:dyDescent="0.35">
      <c r="A153">
        <v>2024</v>
      </c>
      <c r="B153">
        <v>7</v>
      </c>
      <c r="C153">
        <v>30</v>
      </c>
      <c r="D153" s="14">
        <v>45498</v>
      </c>
      <c r="E153" t="s">
        <v>44</v>
      </c>
      <c r="F153" t="s">
        <v>42</v>
      </c>
      <c r="G153" t="s">
        <v>45</v>
      </c>
      <c r="H153">
        <v>217619.5</v>
      </c>
      <c r="I153">
        <v>217619.5</v>
      </c>
      <c r="J153">
        <v>0</v>
      </c>
      <c r="K153">
        <v>1456.7800000000177</v>
      </c>
      <c r="L153">
        <v>1456.7800000000177</v>
      </c>
      <c r="M153">
        <v>0</v>
      </c>
      <c r="N153">
        <v>9043.4199999999073</v>
      </c>
      <c r="O153">
        <v>9024.4299999999075</v>
      </c>
      <c r="P153">
        <v>-18.990000000000002</v>
      </c>
      <c r="Q153">
        <v>-33906.270000000004</v>
      </c>
      <c r="R153">
        <v>-33113.270000000004</v>
      </c>
      <c r="S153">
        <v>793</v>
      </c>
      <c r="T153">
        <v>-16.970000000000002</v>
      </c>
      <c r="U153">
        <v>-16.970000000000002</v>
      </c>
      <c r="V153">
        <v>0</v>
      </c>
      <c r="W153">
        <v>-155.59999999999997</v>
      </c>
      <c r="X153">
        <v>-155.59999999999997</v>
      </c>
      <c r="Y153">
        <v>0</v>
      </c>
      <c r="Z153">
        <v>194040.8599999999</v>
      </c>
      <c r="AA153">
        <v>194814.86999999991</v>
      </c>
      <c r="AB153">
        <v>774.01</v>
      </c>
      <c r="AC153">
        <v>55480.409999998039</v>
      </c>
      <c r="AD153">
        <v>27125.639999999508</v>
      </c>
      <c r="AE153">
        <v>-28354.769999999466</v>
      </c>
      <c r="AF153">
        <v>138560.45000000042</v>
      </c>
      <c r="AG153">
        <v>167689.22999999975</v>
      </c>
      <c r="AH153">
        <v>29128.779999999457</v>
      </c>
      <c r="AI153">
        <v>-13382.33</v>
      </c>
      <c r="AJ153">
        <v>0</v>
      </c>
      <c r="AK153">
        <v>13382.33</v>
      </c>
      <c r="AL153">
        <v>151942.77999999962</v>
      </c>
      <c r="AM153">
        <v>167689.22999999975</v>
      </c>
      <c r="AN153">
        <v>15746.449999999995</v>
      </c>
      <c r="AO153">
        <v>2758</v>
      </c>
    </row>
    <row r="154" spans="1:41" x14ac:dyDescent="0.35">
      <c r="A154">
        <v>2024</v>
      </c>
      <c r="B154">
        <v>7</v>
      </c>
      <c r="C154">
        <v>30</v>
      </c>
      <c r="D154" s="14">
        <v>45499</v>
      </c>
      <c r="E154" t="s">
        <v>44</v>
      </c>
      <c r="F154" t="s">
        <v>42</v>
      </c>
      <c r="G154" t="s">
        <v>45</v>
      </c>
      <c r="H154">
        <v>194135.5</v>
      </c>
      <c r="I154">
        <v>194135.5</v>
      </c>
      <c r="J154">
        <v>0</v>
      </c>
      <c r="K154">
        <v>1390.2500000000095</v>
      </c>
      <c r="L154">
        <v>1390.2500000000095</v>
      </c>
      <c r="M154">
        <v>0</v>
      </c>
      <c r="N154">
        <v>8333.8299999999163</v>
      </c>
      <c r="O154">
        <v>8276.8599999999169</v>
      </c>
      <c r="P154">
        <v>-56.970000000000006</v>
      </c>
      <c r="Q154">
        <v>-31510.019999999997</v>
      </c>
      <c r="R154">
        <v>-30544.019999999997</v>
      </c>
      <c r="S154">
        <v>966</v>
      </c>
      <c r="T154">
        <v>-18.669999999999998</v>
      </c>
      <c r="U154">
        <v>-18.669999999999998</v>
      </c>
      <c r="V154">
        <v>0</v>
      </c>
      <c r="W154">
        <v>-204.89000000000001</v>
      </c>
      <c r="X154">
        <v>-204.89000000000001</v>
      </c>
      <c r="Y154">
        <v>0</v>
      </c>
      <c r="Z154">
        <v>172126</v>
      </c>
      <c r="AA154">
        <v>173035.02999999994</v>
      </c>
      <c r="AB154">
        <v>909.03</v>
      </c>
      <c r="AC154">
        <v>50597.119999998373</v>
      </c>
      <c r="AD154">
        <v>24325.009999999686</v>
      </c>
      <c r="AE154">
        <v>-26272.109999999539</v>
      </c>
      <c r="AF154">
        <v>121528.88000000158</v>
      </c>
      <c r="AG154">
        <v>148710.02000000063</v>
      </c>
      <c r="AH154">
        <v>27181.139999999501</v>
      </c>
      <c r="AI154">
        <v>-11823.360000000021</v>
      </c>
      <c r="AJ154">
        <v>0</v>
      </c>
      <c r="AK154">
        <v>11823.360000000021</v>
      </c>
      <c r="AL154">
        <v>133352.24000000098</v>
      </c>
      <c r="AM154">
        <v>148710.02000000063</v>
      </c>
      <c r="AN154">
        <v>15357.779999999968</v>
      </c>
      <c r="AO154">
        <v>2475</v>
      </c>
    </row>
    <row r="155" spans="1:41" x14ac:dyDescent="0.35">
      <c r="A155">
        <v>2024</v>
      </c>
      <c r="B155">
        <v>7</v>
      </c>
      <c r="C155">
        <v>30</v>
      </c>
      <c r="D155" s="14">
        <v>45500</v>
      </c>
      <c r="E155" t="s">
        <v>44</v>
      </c>
      <c r="F155" t="s">
        <v>42</v>
      </c>
      <c r="G155" t="s">
        <v>45</v>
      </c>
      <c r="H155">
        <v>181905</v>
      </c>
      <c r="I155">
        <v>181905</v>
      </c>
      <c r="J155">
        <v>0</v>
      </c>
      <c r="K155">
        <v>1449.6600000000176</v>
      </c>
      <c r="L155">
        <v>1479.6600000000178</v>
      </c>
      <c r="M155">
        <v>30</v>
      </c>
      <c r="N155">
        <v>7798.1199999999226</v>
      </c>
      <c r="O155">
        <v>7763.139999999923</v>
      </c>
      <c r="P155">
        <v>-34.980000000000004</v>
      </c>
      <c r="Q155">
        <v>-30387.25</v>
      </c>
      <c r="R155">
        <v>-29545.25</v>
      </c>
      <c r="S155">
        <v>842</v>
      </c>
      <c r="T155">
        <v>-23.700000000000003</v>
      </c>
      <c r="U155">
        <v>-24.650000000000002</v>
      </c>
      <c r="V155">
        <v>-0.95000000000000007</v>
      </c>
      <c r="W155">
        <v>-196.28000000000003</v>
      </c>
      <c r="X155">
        <v>-196.28000000000003</v>
      </c>
      <c r="Y155">
        <v>0</v>
      </c>
      <c r="Z155">
        <v>160545.55000000037</v>
      </c>
      <c r="AA155">
        <v>161381.62000000032</v>
      </c>
      <c r="AB155">
        <v>836.07</v>
      </c>
      <c r="AC155">
        <v>48468.61999999854</v>
      </c>
      <c r="AD155">
        <v>24834.719999999626</v>
      </c>
      <c r="AE155">
        <v>-23633.899999999645</v>
      </c>
      <c r="AF155">
        <v>112076.9300000011</v>
      </c>
      <c r="AG155">
        <v>136546.90000000084</v>
      </c>
      <c r="AH155">
        <v>24469.969999999623</v>
      </c>
      <c r="AI155">
        <v>-11963.780000000019</v>
      </c>
      <c r="AJ155">
        <v>0</v>
      </c>
      <c r="AK155">
        <v>11963.780000000019</v>
      </c>
      <c r="AL155">
        <v>124040.71000000081</v>
      </c>
      <c r="AM155">
        <v>136546.90000000084</v>
      </c>
      <c r="AN155">
        <v>12506.190000000015</v>
      </c>
      <c r="AO155">
        <v>2341</v>
      </c>
    </row>
    <row r="156" spans="1:41" x14ac:dyDescent="0.35">
      <c r="A156">
        <v>2024</v>
      </c>
      <c r="B156">
        <v>7</v>
      </c>
      <c r="C156">
        <v>30</v>
      </c>
      <c r="D156" s="14">
        <v>45494</v>
      </c>
      <c r="E156" t="s">
        <v>44</v>
      </c>
      <c r="F156" t="s">
        <v>42</v>
      </c>
      <c r="G156" t="s">
        <v>46</v>
      </c>
      <c r="H156">
        <v>52952.61</v>
      </c>
      <c r="I156">
        <v>52952.61</v>
      </c>
      <c r="J156">
        <v>0</v>
      </c>
      <c r="K156">
        <v>338.39999999999947</v>
      </c>
      <c r="L156">
        <v>338.39999999999947</v>
      </c>
      <c r="M156">
        <v>0</v>
      </c>
      <c r="N156">
        <v>1440.1000000000006</v>
      </c>
      <c r="O156">
        <v>1440.1000000000006</v>
      </c>
      <c r="P156">
        <v>0</v>
      </c>
      <c r="Q156">
        <v>-17927.699999999997</v>
      </c>
      <c r="R156">
        <v>-17569.699999999997</v>
      </c>
      <c r="S156">
        <v>358</v>
      </c>
      <c r="T156">
        <v>0</v>
      </c>
      <c r="U156">
        <v>0</v>
      </c>
      <c r="V156">
        <v>0</v>
      </c>
      <c r="W156">
        <v>-20</v>
      </c>
      <c r="X156">
        <v>-20</v>
      </c>
      <c r="Y156">
        <v>0</v>
      </c>
      <c r="Z156">
        <v>36783.409999999989</v>
      </c>
      <c r="AA156">
        <v>37141.409999999982</v>
      </c>
      <c r="AB156">
        <v>358</v>
      </c>
      <c r="AC156">
        <v>9683.3200000000088</v>
      </c>
      <c r="AD156">
        <v>5400.3100000000049</v>
      </c>
      <c r="AE156">
        <v>-4283.0100000000075</v>
      </c>
      <c r="AF156">
        <v>27100.09000000008</v>
      </c>
      <c r="AG156">
        <v>31741.100000000049</v>
      </c>
      <c r="AH156">
        <v>4641.0100000000084</v>
      </c>
      <c r="AI156">
        <v>-1662.9399999999991</v>
      </c>
      <c r="AJ156">
        <v>0</v>
      </c>
      <c r="AK156">
        <v>1662.9399999999991</v>
      </c>
      <c r="AL156">
        <v>28763.030000000039</v>
      </c>
      <c r="AM156">
        <v>31741.100000000049</v>
      </c>
      <c r="AN156">
        <v>2978.0700000000056</v>
      </c>
      <c r="AO156">
        <v>601</v>
      </c>
    </row>
    <row r="157" spans="1:41" x14ac:dyDescent="0.35">
      <c r="A157">
        <v>2024</v>
      </c>
      <c r="B157">
        <v>7</v>
      </c>
      <c r="C157">
        <v>30</v>
      </c>
      <c r="D157" s="14">
        <v>45495</v>
      </c>
      <c r="E157" t="s">
        <v>44</v>
      </c>
      <c r="F157" t="s">
        <v>42</v>
      </c>
      <c r="G157" t="s">
        <v>46</v>
      </c>
      <c r="H157">
        <v>51669.72</v>
      </c>
      <c r="I157">
        <v>51669.72</v>
      </c>
      <c r="J157">
        <v>0</v>
      </c>
      <c r="K157">
        <v>260.11999999999989</v>
      </c>
      <c r="L157">
        <v>250.11999999999995</v>
      </c>
      <c r="M157">
        <v>-10</v>
      </c>
      <c r="N157">
        <v>1171.2600000000004</v>
      </c>
      <c r="O157">
        <v>1171.2600000000004</v>
      </c>
      <c r="P157">
        <v>0</v>
      </c>
      <c r="Q157">
        <v>-17721.310000000005</v>
      </c>
      <c r="R157">
        <v>-17320.310000000005</v>
      </c>
      <c r="S157">
        <v>401</v>
      </c>
      <c r="T157">
        <v>0</v>
      </c>
      <c r="U157">
        <v>0</v>
      </c>
      <c r="V157">
        <v>0</v>
      </c>
      <c r="W157">
        <v>-10</v>
      </c>
      <c r="X157">
        <v>-10</v>
      </c>
      <c r="Y157">
        <v>0</v>
      </c>
      <c r="Z157">
        <v>35369.789999999979</v>
      </c>
      <c r="AA157">
        <v>35760.789999999979</v>
      </c>
      <c r="AB157">
        <v>391</v>
      </c>
      <c r="AC157">
        <v>12020.1</v>
      </c>
      <c r="AD157">
        <v>6734.3800000000138</v>
      </c>
      <c r="AE157">
        <v>-5285.7200000000066</v>
      </c>
      <c r="AF157">
        <v>23349.69000000009</v>
      </c>
      <c r="AG157">
        <v>29026.410000000091</v>
      </c>
      <c r="AH157">
        <v>5676.7200000000066</v>
      </c>
      <c r="AI157">
        <v>-2716.6499999999978</v>
      </c>
      <c r="AJ157">
        <v>0</v>
      </c>
      <c r="AK157">
        <v>2716.6499999999978</v>
      </c>
      <c r="AL157">
        <v>26066.340000000018</v>
      </c>
      <c r="AM157">
        <v>29026.410000000091</v>
      </c>
      <c r="AN157">
        <v>2960.0700000000047</v>
      </c>
      <c r="AO157">
        <v>567</v>
      </c>
    </row>
    <row r="158" spans="1:41" x14ac:dyDescent="0.35">
      <c r="A158">
        <v>2024</v>
      </c>
      <c r="B158">
        <v>7</v>
      </c>
      <c r="C158">
        <v>30</v>
      </c>
      <c r="D158" s="14">
        <v>45496</v>
      </c>
      <c r="E158" t="s">
        <v>44</v>
      </c>
      <c r="F158" t="s">
        <v>42</v>
      </c>
      <c r="G158" t="s">
        <v>46</v>
      </c>
      <c r="H158">
        <v>44596.72</v>
      </c>
      <c r="I158">
        <v>44596.72</v>
      </c>
      <c r="J158">
        <v>0</v>
      </c>
      <c r="K158">
        <v>175.72000000000006</v>
      </c>
      <c r="L158">
        <v>175.72000000000006</v>
      </c>
      <c r="M158">
        <v>0</v>
      </c>
      <c r="N158">
        <v>1108.3100000000004</v>
      </c>
      <c r="O158">
        <v>1095.3200000000004</v>
      </c>
      <c r="P158">
        <v>-12.99</v>
      </c>
      <c r="Q158">
        <v>-15404.720000000001</v>
      </c>
      <c r="R158">
        <v>-15083.720000000001</v>
      </c>
      <c r="S158">
        <v>321</v>
      </c>
      <c r="T158">
        <v>0</v>
      </c>
      <c r="U158">
        <v>0</v>
      </c>
      <c r="V158">
        <v>0</v>
      </c>
      <c r="W158">
        <v>-10</v>
      </c>
      <c r="X158">
        <v>-10</v>
      </c>
      <c r="Y158">
        <v>0</v>
      </c>
      <c r="Z158">
        <v>30466.030000000024</v>
      </c>
      <c r="AA158">
        <v>30774.040000000026</v>
      </c>
      <c r="AB158">
        <v>308.01</v>
      </c>
      <c r="AC158">
        <v>11526.54000000001</v>
      </c>
      <c r="AD158">
        <v>5236.1900000000114</v>
      </c>
      <c r="AE158">
        <v>-6290.3500000000122</v>
      </c>
      <c r="AF158">
        <v>18939.490000000053</v>
      </c>
      <c r="AG158">
        <v>25537.850000000064</v>
      </c>
      <c r="AH158">
        <v>6598.3600000000124</v>
      </c>
      <c r="AI158">
        <v>-2216.29</v>
      </c>
      <c r="AJ158">
        <v>0</v>
      </c>
      <c r="AK158">
        <v>2216.29</v>
      </c>
      <c r="AL158">
        <v>21155.780000000053</v>
      </c>
      <c r="AM158">
        <v>25537.850000000064</v>
      </c>
      <c r="AN158">
        <v>4382.0700000000106</v>
      </c>
      <c r="AO158">
        <v>490</v>
      </c>
    </row>
    <row r="159" spans="1:41" x14ac:dyDescent="0.35">
      <c r="A159">
        <v>2024</v>
      </c>
      <c r="B159">
        <v>7</v>
      </c>
      <c r="C159">
        <v>30</v>
      </c>
      <c r="D159" s="14">
        <v>45497</v>
      </c>
      <c r="E159" t="s">
        <v>44</v>
      </c>
      <c r="F159" t="s">
        <v>42</v>
      </c>
      <c r="G159" t="s">
        <v>46</v>
      </c>
      <c r="H159">
        <v>65628.42</v>
      </c>
      <c r="I159">
        <v>65628.42</v>
      </c>
      <c r="J159">
        <v>0</v>
      </c>
      <c r="K159">
        <v>309.51999999999953</v>
      </c>
      <c r="L159">
        <v>309.51999999999953</v>
      </c>
      <c r="M159">
        <v>0</v>
      </c>
      <c r="N159">
        <v>1599.0100000000007</v>
      </c>
      <c r="O159">
        <v>1583.0200000000007</v>
      </c>
      <c r="P159">
        <v>-15.99</v>
      </c>
      <c r="Q159">
        <v>-22049.379999999997</v>
      </c>
      <c r="R159">
        <v>-21479.379999999997</v>
      </c>
      <c r="S159">
        <v>570</v>
      </c>
      <c r="T159">
        <v>-0.48</v>
      </c>
      <c r="U159">
        <v>-0.48</v>
      </c>
      <c r="V159">
        <v>0</v>
      </c>
      <c r="W159">
        <v>-24.8</v>
      </c>
      <c r="X159">
        <v>-24.8</v>
      </c>
      <c r="Y159">
        <v>0</v>
      </c>
      <c r="Z159">
        <v>45462.289999999877</v>
      </c>
      <c r="AA159">
        <v>46016.299999999879</v>
      </c>
      <c r="AB159">
        <v>554.01</v>
      </c>
      <c r="AC159">
        <v>16338.110000000006</v>
      </c>
      <c r="AD159">
        <v>11302.400000000012</v>
      </c>
      <c r="AE159">
        <v>-5035.71000000001</v>
      </c>
      <c r="AF159">
        <v>29124.180000000273</v>
      </c>
      <c r="AG159">
        <v>34713.900000000183</v>
      </c>
      <c r="AH159">
        <v>5589.7200000000103</v>
      </c>
      <c r="AI159">
        <v>-4267.5399999999963</v>
      </c>
      <c r="AJ159">
        <v>0</v>
      </c>
      <c r="AK159">
        <v>4267.5399999999963</v>
      </c>
      <c r="AL159">
        <v>33391.720000000096</v>
      </c>
      <c r="AM159">
        <v>34713.900000000183</v>
      </c>
      <c r="AN159">
        <v>1322.1800000000012</v>
      </c>
      <c r="AO159">
        <v>748</v>
      </c>
    </row>
    <row r="160" spans="1:41" x14ac:dyDescent="0.35">
      <c r="A160">
        <v>2024</v>
      </c>
      <c r="B160">
        <v>7</v>
      </c>
      <c r="C160">
        <v>30</v>
      </c>
      <c r="D160" s="14">
        <v>45498</v>
      </c>
      <c r="E160" t="s">
        <v>44</v>
      </c>
      <c r="F160" t="s">
        <v>42</v>
      </c>
      <c r="G160" t="s">
        <v>46</v>
      </c>
      <c r="H160">
        <v>82670.709999999992</v>
      </c>
      <c r="I160">
        <v>82670.709999999992</v>
      </c>
      <c r="J160">
        <v>0</v>
      </c>
      <c r="K160">
        <v>463.61999999999915</v>
      </c>
      <c r="L160">
        <v>463.61999999999915</v>
      </c>
      <c r="M160">
        <v>0</v>
      </c>
      <c r="N160">
        <v>1733.9200000000008</v>
      </c>
      <c r="O160">
        <v>1733.9200000000008</v>
      </c>
      <c r="P160">
        <v>0</v>
      </c>
      <c r="Q160">
        <v>-28287.62</v>
      </c>
      <c r="R160">
        <v>-27474.62</v>
      </c>
      <c r="S160">
        <v>813</v>
      </c>
      <c r="T160">
        <v>-0.48</v>
      </c>
      <c r="U160">
        <v>-0.48</v>
      </c>
      <c r="V160">
        <v>0</v>
      </c>
      <c r="W160">
        <v>-29.8</v>
      </c>
      <c r="X160">
        <v>-29.8</v>
      </c>
      <c r="Y160">
        <v>0</v>
      </c>
      <c r="Z160">
        <v>56550.349999999831</v>
      </c>
      <c r="AA160">
        <v>57363.349999999817</v>
      </c>
      <c r="AB160">
        <v>813</v>
      </c>
      <c r="AC160">
        <v>22024.179999999757</v>
      </c>
      <c r="AD160">
        <v>10976.140000000009</v>
      </c>
      <c r="AE160">
        <v>-11048.04000000001</v>
      </c>
      <c r="AF160">
        <v>34526.170000000362</v>
      </c>
      <c r="AG160">
        <v>46387.210000000152</v>
      </c>
      <c r="AH160">
        <v>11861.040000000005</v>
      </c>
      <c r="AI160">
        <v>-4163.989999999998</v>
      </c>
      <c r="AJ160">
        <v>0</v>
      </c>
      <c r="AK160">
        <v>4163.989999999998</v>
      </c>
      <c r="AL160">
        <v>38690.160000000273</v>
      </c>
      <c r="AM160">
        <v>46387.210000000152</v>
      </c>
      <c r="AN160">
        <v>7697.0500000000284</v>
      </c>
      <c r="AO160">
        <v>930</v>
      </c>
    </row>
    <row r="161" spans="1:41" x14ac:dyDescent="0.35">
      <c r="A161">
        <v>2024</v>
      </c>
      <c r="B161">
        <v>7</v>
      </c>
      <c r="C161">
        <v>30</v>
      </c>
      <c r="D161" s="14">
        <v>45499</v>
      </c>
      <c r="E161" t="s">
        <v>44</v>
      </c>
      <c r="F161" t="s">
        <v>42</v>
      </c>
      <c r="G161" t="s">
        <v>46</v>
      </c>
      <c r="H161">
        <v>84018.079999999973</v>
      </c>
      <c r="I161">
        <v>84018.079999999973</v>
      </c>
      <c r="J161">
        <v>0</v>
      </c>
      <c r="K161">
        <v>413.47999999999826</v>
      </c>
      <c r="L161">
        <v>383.4799999999986</v>
      </c>
      <c r="M161">
        <v>-30</v>
      </c>
      <c r="N161">
        <v>1858.8500000000008</v>
      </c>
      <c r="O161">
        <v>1845.8600000000008</v>
      </c>
      <c r="P161">
        <v>-12.99</v>
      </c>
      <c r="Q161">
        <v>-28954.82</v>
      </c>
      <c r="R161">
        <v>-28194.82</v>
      </c>
      <c r="S161">
        <v>760</v>
      </c>
      <c r="T161">
        <v>-0.46</v>
      </c>
      <c r="U161">
        <v>-0.46</v>
      </c>
      <c r="V161">
        <v>0</v>
      </c>
      <c r="W161">
        <v>-10</v>
      </c>
      <c r="X161">
        <v>-10</v>
      </c>
      <c r="Y161">
        <v>0</v>
      </c>
      <c r="Z161">
        <v>57325.129999999801</v>
      </c>
      <c r="AA161">
        <v>58042.139999999803</v>
      </c>
      <c r="AB161">
        <v>717.01</v>
      </c>
      <c r="AC161">
        <v>22324.549999999726</v>
      </c>
      <c r="AD161">
        <v>12074.55000000001</v>
      </c>
      <c r="AE161">
        <v>-10250.000000000015</v>
      </c>
      <c r="AF161">
        <v>35000.580000000358</v>
      </c>
      <c r="AG161">
        <v>45967.590000000164</v>
      </c>
      <c r="AH161">
        <v>10967.010000000011</v>
      </c>
      <c r="AI161">
        <v>-3996.9499999999985</v>
      </c>
      <c r="AJ161">
        <v>0</v>
      </c>
      <c r="AK161">
        <v>3996.9499999999985</v>
      </c>
      <c r="AL161">
        <v>38997.530000000203</v>
      </c>
      <c r="AM161">
        <v>45967.590000000164</v>
      </c>
      <c r="AN161">
        <v>6970.0600000000231</v>
      </c>
      <c r="AO161">
        <v>945</v>
      </c>
    </row>
    <row r="162" spans="1:41" x14ac:dyDescent="0.35">
      <c r="A162">
        <v>2024</v>
      </c>
      <c r="B162">
        <v>7</v>
      </c>
      <c r="C162">
        <v>30</v>
      </c>
      <c r="D162" s="14">
        <v>45500</v>
      </c>
      <c r="E162" t="s">
        <v>44</v>
      </c>
      <c r="F162" t="s">
        <v>42</v>
      </c>
      <c r="G162" t="s">
        <v>46</v>
      </c>
      <c r="H162">
        <v>95713.72</v>
      </c>
      <c r="I162">
        <v>95713.72</v>
      </c>
      <c r="J162">
        <v>0</v>
      </c>
      <c r="K162">
        <v>448.22999999999877</v>
      </c>
      <c r="L162">
        <v>448.22999999999877</v>
      </c>
      <c r="M162">
        <v>0</v>
      </c>
      <c r="N162">
        <v>2528.4499999999944</v>
      </c>
      <c r="O162">
        <v>2512.4599999999946</v>
      </c>
      <c r="P162">
        <v>-15.99</v>
      </c>
      <c r="Q162">
        <v>-33022.61</v>
      </c>
      <c r="R162">
        <v>-32248.609999999997</v>
      </c>
      <c r="S162">
        <v>774</v>
      </c>
      <c r="T162">
        <v>-5.46</v>
      </c>
      <c r="U162">
        <v>-5.46</v>
      </c>
      <c r="V162">
        <v>0</v>
      </c>
      <c r="W162">
        <v>-10</v>
      </c>
      <c r="X162">
        <v>-10</v>
      </c>
      <c r="Y162">
        <v>0</v>
      </c>
      <c r="Z162">
        <v>65652.329999999754</v>
      </c>
      <c r="AA162">
        <v>66410.339999999778</v>
      </c>
      <c r="AB162">
        <v>758.01</v>
      </c>
      <c r="AC162">
        <v>25252.029999999624</v>
      </c>
      <c r="AD162">
        <v>13401.150000000005</v>
      </c>
      <c r="AE162">
        <v>-11850.88000000001</v>
      </c>
      <c r="AF162">
        <v>40400.300000000425</v>
      </c>
      <c r="AG162">
        <v>53009.190000000148</v>
      </c>
      <c r="AH162">
        <v>12608.890000000009</v>
      </c>
      <c r="AI162">
        <v>-5010.9699999999957</v>
      </c>
      <c r="AJ162">
        <v>0</v>
      </c>
      <c r="AK162">
        <v>5010.9699999999957</v>
      </c>
      <c r="AL162">
        <v>45411.270000000281</v>
      </c>
      <c r="AM162">
        <v>53009.190000000148</v>
      </c>
      <c r="AN162">
        <v>7597.9200000000274</v>
      </c>
      <c r="AO162">
        <v>1069</v>
      </c>
    </row>
    <row r="163" spans="1:41" x14ac:dyDescent="0.35">
      <c r="A163">
        <v>2024</v>
      </c>
      <c r="B163">
        <v>7</v>
      </c>
      <c r="C163">
        <v>30</v>
      </c>
      <c r="D163" s="14">
        <v>45494</v>
      </c>
      <c r="E163" t="s">
        <v>44</v>
      </c>
      <c r="F163" t="s">
        <v>47</v>
      </c>
      <c r="G163" t="s">
        <v>48</v>
      </c>
      <c r="H163">
        <v>9509.5</v>
      </c>
      <c r="I163">
        <v>9509.5</v>
      </c>
      <c r="J163">
        <v>0</v>
      </c>
      <c r="K163">
        <v>585.29999999999995</v>
      </c>
      <c r="L163">
        <v>585.29999999999995</v>
      </c>
      <c r="M163">
        <v>0</v>
      </c>
      <c r="N163">
        <v>134.91</v>
      </c>
      <c r="O163">
        <v>134.91</v>
      </c>
      <c r="P163">
        <v>0</v>
      </c>
      <c r="Q163">
        <v>-1398.75</v>
      </c>
      <c r="R163">
        <v>-1398.75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8830.9600000000028</v>
      </c>
      <c r="AA163">
        <v>8830.9600000000028</v>
      </c>
      <c r="AB163">
        <v>0</v>
      </c>
      <c r="AC163">
        <v>17.420000000000002</v>
      </c>
      <c r="AD163">
        <v>16.670000000000002</v>
      </c>
      <c r="AE163">
        <v>-0.75</v>
      </c>
      <c r="AF163">
        <v>8813.5400000000009</v>
      </c>
      <c r="AG163">
        <v>8814.2900000000009</v>
      </c>
      <c r="AH163">
        <v>0.75</v>
      </c>
      <c r="AI163">
        <v>2552.1199999999972</v>
      </c>
      <c r="AJ163">
        <v>0</v>
      </c>
      <c r="AK163">
        <v>-2552.1199999999972</v>
      </c>
      <c r="AL163">
        <v>6261.4199999999992</v>
      </c>
      <c r="AM163">
        <v>8814.2900000000009</v>
      </c>
      <c r="AN163">
        <v>2552.8699999999972</v>
      </c>
      <c r="AO163">
        <v>287</v>
      </c>
    </row>
    <row r="164" spans="1:41" x14ac:dyDescent="0.35">
      <c r="A164">
        <v>2024</v>
      </c>
      <c r="B164">
        <v>7</v>
      </c>
      <c r="C164">
        <v>30</v>
      </c>
      <c r="D164" s="14">
        <v>45495</v>
      </c>
      <c r="E164" t="s">
        <v>44</v>
      </c>
      <c r="F164" t="s">
        <v>47</v>
      </c>
      <c r="G164" t="s">
        <v>48</v>
      </c>
      <c r="H164">
        <v>6026.0500000000047</v>
      </c>
      <c r="I164">
        <v>6026.0500000000047</v>
      </c>
      <c r="J164">
        <v>0</v>
      </c>
      <c r="K164">
        <v>89.7</v>
      </c>
      <c r="L164">
        <v>89.7</v>
      </c>
      <c r="M164">
        <v>0</v>
      </c>
      <c r="N164">
        <v>0</v>
      </c>
      <c r="O164">
        <v>0</v>
      </c>
      <c r="P164">
        <v>0</v>
      </c>
      <c r="Q164">
        <v>-1408.15</v>
      </c>
      <c r="R164">
        <v>-1408.15</v>
      </c>
      <c r="S164">
        <v>0</v>
      </c>
      <c r="T164">
        <v>-5</v>
      </c>
      <c r="U164">
        <v>-5</v>
      </c>
      <c r="V164">
        <v>0</v>
      </c>
      <c r="W164">
        <v>0</v>
      </c>
      <c r="X164">
        <v>0</v>
      </c>
      <c r="Y164">
        <v>0</v>
      </c>
      <c r="Z164">
        <v>4702.600000000004</v>
      </c>
      <c r="AA164">
        <v>4702.600000000004</v>
      </c>
      <c r="AB164">
        <v>0</v>
      </c>
      <c r="AC164">
        <v>53.63</v>
      </c>
      <c r="AD164">
        <v>33.340000000000003</v>
      </c>
      <c r="AE164">
        <v>-20.29</v>
      </c>
      <c r="AF164">
        <v>4648.9700000000039</v>
      </c>
      <c r="AG164">
        <v>4669.2600000000039</v>
      </c>
      <c r="AH164">
        <v>20.290000000000006</v>
      </c>
      <c r="AI164">
        <v>1275.8299999999992</v>
      </c>
      <c r="AJ164">
        <v>11.18</v>
      </c>
      <c r="AK164">
        <v>-1264.6499999999992</v>
      </c>
      <c r="AL164">
        <v>3373.1399999999985</v>
      </c>
      <c r="AM164">
        <v>4658.0800000000045</v>
      </c>
      <c r="AN164">
        <v>1284.9399999999989</v>
      </c>
      <c r="AO164">
        <v>114</v>
      </c>
    </row>
    <row r="165" spans="1:41" x14ac:dyDescent="0.35">
      <c r="A165">
        <v>2024</v>
      </c>
      <c r="B165">
        <v>7</v>
      </c>
      <c r="C165">
        <v>30</v>
      </c>
      <c r="D165" s="14">
        <v>45496</v>
      </c>
      <c r="E165" t="s">
        <v>44</v>
      </c>
      <c r="F165" t="s">
        <v>47</v>
      </c>
      <c r="G165" t="s">
        <v>48</v>
      </c>
      <c r="H165">
        <v>361</v>
      </c>
      <c r="I165">
        <v>361</v>
      </c>
      <c r="J165">
        <v>0</v>
      </c>
      <c r="K165">
        <v>37</v>
      </c>
      <c r="L165">
        <v>37</v>
      </c>
      <c r="M165">
        <v>0</v>
      </c>
      <c r="N165">
        <v>0</v>
      </c>
      <c r="O165">
        <v>0</v>
      </c>
      <c r="P165">
        <v>0</v>
      </c>
      <c r="Q165">
        <v>-110.5</v>
      </c>
      <c r="R165">
        <v>-110.5</v>
      </c>
      <c r="S165">
        <v>0</v>
      </c>
      <c r="T165">
        <v>-5</v>
      </c>
      <c r="U165">
        <v>-5</v>
      </c>
      <c r="V165">
        <v>0</v>
      </c>
      <c r="W165">
        <v>0</v>
      </c>
      <c r="X165">
        <v>0</v>
      </c>
      <c r="Y165">
        <v>0</v>
      </c>
      <c r="Z165">
        <v>282.5</v>
      </c>
      <c r="AA165">
        <v>282.5</v>
      </c>
      <c r="AB165">
        <v>0</v>
      </c>
      <c r="AC165">
        <v>55.010000000000005</v>
      </c>
      <c r="AD165">
        <v>21.67</v>
      </c>
      <c r="AE165">
        <v>-33.340000000000003</v>
      </c>
      <c r="AF165">
        <v>227.49</v>
      </c>
      <c r="AG165">
        <v>260.83</v>
      </c>
      <c r="AH165">
        <v>33.340000000000003</v>
      </c>
      <c r="AI165">
        <v>6.08</v>
      </c>
      <c r="AJ165">
        <v>0</v>
      </c>
      <c r="AK165">
        <v>-6.08</v>
      </c>
      <c r="AL165">
        <v>221.41</v>
      </c>
      <c r="AM165">
        <v>260.83</v>
      </c>
      <c r="AN165">
        <v>39.419999999999995</v>
      </c>
      <c r="AO165">
        <v>4</v>
      </c>
    </row>
    <row r="166" spans="1:41" x14ac:dyDescent="0.35">
      <c r="A166">
        <v>2024</v>
      </c>
      <c r="B166">
        <v>7</v>
      </c>
      <c r="C166">
        <v>30</v>
      </c>
      <c r="D166" s="14">
        <v>45497</v>
      </c>
      <c r="E166" t="s">
        <v>44</v>
      </c>
      <c r="F166" t="s">
        <v>47</v>
      </c>
      <c r="G166" t="s">
        <v>48</v>
      </c>
      <c r="H166">
        <v>2912.48</v>
      </c>
      <c r="I166">
        <v>2912.48</v>
      </c>
      <c r="J166">
        <v>0</v>
      </c>
      <c r="K166">
        <v>596.25</v>
      </c>
      <c r="L166">
        <v>596.25</v>
      </c>
      <c r="M166">
        <v>0</v>
      </c>
      <c r="N166">
        <v>38.96</v>
      </c>
      <c r="O166">
        <v>38.96</v>
      </c>
      <c r="P166">
        <v>0</v>
      </c>
      <c r="Q166">
        <v>-254.4</v>
      </c>
      <c r="R166">
        <v>-254.4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3293.2900000000013</v>
      </c>
      <c r="AA166">
        <v>3293.2900000000013</v>
      </c>
      <c r="AB166">
        <v>0</v>
      </c>
      <c r="AC166">
        <v>58.84</v>
      </c>
      <c r="AD166">
        <v>37.17</v>
      </c>
      <c r="AE166">
        <v>-21.67</v>
      </c>
      <c r="AF166">
        <v>3234.4500000000016</v>
      </c>
      <c r="AG166">
        <v>3256.1200000000017</v>
      </c>
      <c r="AH166">
        <v>21.67</v>
      </c>
      <c r="AI166">
        <v>1067.6100000000004</v>
      </c>
      <c r="AJ166">
        <v>0</v>
      </c>
      <c r="AK166">
        <v>-1067.6100000000004</v>
      </c>
      <c r="AL166">
        <v>2166.8399999999988</v>
      </c>
      <c r="AM166">
        <v>3256.1200000000017</v>
      </c>
      <c r="AN166">
        <v>1089.2800000000007</v>
      </c>
      <c r="AO166">
        <v>125</v>
      </c>
    </row>
    <row r="167" spans="1:41" x14ac:dyDescent="0.35">
      <c r="A167">
        <v>2024</v>
      </c>
      <c r="B167">
        <v>7</v>
      </c>
      <c r="C167">
        <v>30</v>
      </c>
      <c r="D167" s="14">
        <v>45498</v>
      </c>
      <c r="E167" t="s">
        <v>44</v>
      </c>
      <c r="F167" t="s">
        <v>47</v>
      </c>
      <c r="G167" t="s">
        <v>48</v>
      </c>
      <c r="H167">
        <v>24768.59999999994</v>
      </c>
      <c r="I167">
        <v>24768.59999999994</v>
      </c>
      <c r="J167">
        <v>0</v>
      </c>
      <c r="K167">
        <v>914.26000000000079</v>
      </c>
      <c r="L167">
        <v>901.76000000000079</v>
      </c>
      <c r="M167">
        <v>-12.5</v>
      </c>
      <c r="N167">
        <v>655.59000000000026</v>
      </c>
      <c r="O167">
        <v>655.59000000000026</v>
      </c>
      <c r="P167">
        <v>0</v>
      </c>
      <c r="Q167">
        <v>-6158.1999999999889</v>
      </c>
      <c r="R167">
        <v>-6091.1999999999889</v>
      </c>
      <c r="S167">
        <v>67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20180.249999999949</v>
      </c>
      <c r="AA167">
        <v>20234.749999999949</v>
      </c>
      <c r="AB167">
        <v>54.5</v>
      </c>
      <c r="AC167">
        <v>251.95000000000007</v>
      </c>
      <c r="AD167">
        <v>213.11</v>
      </c>
      <c r="AE167">
        <v>-38.840000000000003</v>
      </c>
      <c r="AF167">
        <v>19928.299999999956</v>
      </c>
      <c r="AG167">
        <v>20021.639999999956</v>
      </c>
      <c r="AH167">
        <v>93.339999999999961</v>
      </c>
      <c r="AI167">
        <v>8135.1100000000151</v>
      </c>
      <c r="AJ167">
        <v>20.57</v>
      </c>
      <c r="AK167">
        <v>-8114.5400000000154</v>
      </c>
      <c r="AL167">
        <v>11793.190000000033</v>
      </c>
      <c r="AM167">
        <v>20001.069999999956</v>
      </c>
      <c r="AN167">
        <v>8207.8800000000156</v>
      </c>
      <c r="AO167">
        <v>474</v>
      </c>
    </row>
    <row r="168" spans="1:41" x14ac:dyDescent="0.35">
      <c r="A168">
        <v>2024</v>
      </c>
      <c r="B168">
        <v>7</v>
      </c>
      <c r="C168">
        <v>30</v>
      </c>
      <c r="D168" s="14">
        <v>45499</v>
      </c>
      <c r="E168" t="s">
        <v>44</v>
      </c>
      <c r="F168" t="s">
        <v>47</v>
      </c>
      <c r="G168" t="s">
        <v>48</v>
      </c>
      <c r="H168">
        <v>11745.999999999965</v>
      </c>
      <c r="I168">
        <v>11745.999999999965</v>
      </c>
      <c r="J168">
        <v>0</v>
      </c>
      <c r="K168">
        <v>480.35999999999996</v>
      </c>
      <c r="L168">
        <v>480.35999999999996</v>
      </c>
      <c r="M168">
        <v>0</v>
      </c>
      <c r="N168">
        <v>152.9</v>
      </c>
      <c r="O168">
        <v>152.9</v>
      </c>
      <c r="P168">
        <v>0</v>
      </c>
      <c r="Q168">
        <v>-3768.1500000000005</v>
      </c>
      <c r="R168">
        <v>-3768.1500000000005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8611.110000000006</v>
      </c>
      <c r="AA168">
        <v>8611.110000000006</v>
      </c>
      <c r="AB168">
        <v>0</v>
      </c>
      <c r="AC168">
        <v>225.33000000000004</v>
      </c>
      <c r="AD168">
        <v>12.22</v>
      </c>
      <c r="AE168">
        <v>-213.11</v>
      </c>
      <c r="AF168">
        <v>8385.7800000000097</v>
      </c>
      <c r="AG168">
        <v>8598.8900000000085</v>
      </c>
      <c r="AH168">
        <v>213.11000000000007</v>
      </c>
      <c r="AI168">
        <v>2062.8599999999992</v>
      </c>
      <c r="AJ168">
        <v>0</v>
      </c>
      <c r="AK168">
        <v>-2062.8599999999992</v>
      </c>
      <c r="AL168">
        <v>6322.9200000000073</v>
      </c>
      <c r="AM168">
        <v>8598.8900000000085</v>
      </c>
      <c r="AN168">
        <v>2275.9699999999989</v>
      </c>
      <c r="AO168">
        <v>269</v>
      </c>
    </row>
    <row r="169" spans="1:41" x14ac:dyDescent="0.35">
      <c r="A169">
        <v>2024</v>
      </c>
      <c r="B169">
        <v>7</v>
      </c>
      <c r="C169">
        <v>30</v>
      </c>
      <c r="D169" s="14">
        <v>45500</v>
      </c>
      <c r="E169" t="s">
        <v>44</v>
      </c>
      <c r="F169" t="s">
        <v>47</v>
      </c>
      <c r="G169" t="s">
        <v>48</v>
      </c>
      <c r="H169">
        <v>6077.8000000000084</v>
      </c>
      <c r="I169">
        <v>6077.8000000000084</v>
      </c>
      <c r="J169">
        <v>0</v>
      </c>
      <c r="K169">
        <v>712.10000000000014</v>
      </c>
      <c r="L169">
        <v>712.10000000000014</v>
      </c>
      <c r="M169">
        <v>0</v>
      </c>
      <c r="N169">
        <v>66.960000000000008</v>
      </c>
      <c r="O169">
        <v>66.960000000000008</v>
      </c>
      <c r="P169">
        <v>0</v>
      </c>
      <c r="Q169">
        <v>-1236.8</v>
      </c>
      <c r="R169">
        <v>-1236.8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5620.0600000000077</v>
      </c>
      <c r="AA169">
        <v>5620.0600000000077</v>
      </c>
      <c r="AB169">
        <v>0</v>
      </c>
      <c r="AC169">
        <v>43.89</v>
      </c>
      <c r="AD169">
        <v>31.67</v>
      </c>
      <c r="AE169">
        <v>-12.22</v>
      </c>
      <c r="AF169">
        <v>5576.1700000000083</v>
      </c>
      <c r="AG169">
        <v>5588.3900000000076</v>
      </c>
      <c r="AH169">
        <v>12.219999999999999</v>
      </c>
      <c r="AI169">
        <v>1787.1100000000001</v>
      </c>
      <c r="AJ169">
        <v>0</v>
      </c>
      <c r="AK169">
        <v>-1787.1100000000001</v>
      </c>
      <c r="AL169">
        <v>3789.0600000000004</v>
      </c>
      <c r="AM169">
        <v>5588.3900000000076</v>
      </c>
      <c r="AN169">
        <v>1799.33</v>
      </c>
      <c r="AO169">
        <v>169</v>
      </c>
    </row>
    <row r="170" spans="1:41" x14ac:dyDescent="0.35">
      <c r="A170">
        <v>2024</v>
      </c>
      <c r="B170">
        <v>7</v>
      </c>
      <c r="C170">
        <v>30</v>
      </c>
      <c r="D170" s="14">
        <v>45494</v>
      </c>
      <c r="E170" t="s">
        <v>44</v>
      </c>
      <c r="F170" t="s">
        <v>47</v>
      </c>
      <c r="G170" t="s">
        <v>49</v>
      </c>
      <c r="H170">
        <v>11395.500000000002</v>
      </c>
      <c r="I170">
        <v>11395.500000000002</v>
      </c>
      <c r="J170">
        <v>0</v>
      </c>
      <c r="K170">
        <v>461.60999999999984</v>
      </c>
      <c r="L170">
        <v>461.60999999999984</v>
      </c>
      <c r="M170">
        <v>0</v>
      </c>
      <c r="N170">
        <v>179.89000000000004</v>
      </c>
      <c r="O170">
        <v>179.89000000000004</v>
      </c>
      <c r="P170">
        <v>0</v>
      </c>
      <c r="Q170">
        <v>-3982.3499999999985</v>
      </c>
      <c r="R170">
        <v>-3971.3499999999985</v>
      </c>
      <c r="S170">
        <v>11</v>
      </c>
      <c r="T170">
        <v>-80.2</v>
      </c>
      <c r="U170">
        <v>-80.2</v>
      </c>
      <c r="V170">
        <v>0</v>
      </c>
      <c r="W170">
        <v>-10</v>
      </c>
      <c r="X170">
        <v>-10</v>
      </c>
      <c r="Y170">
        <v>0</v>
      </c>
      <c r="Z170">
        <v>7964.4500000000016</v>
      </c>
      <c r="AA170">
        <v>7975.4500000000016</v>
      </c>
      <c r="AB170">
        <v>11</v>
      </c>
      <c r="AC170">
        <v>495.69000000000005</v>
      </c>
      <c r="AD170">
        <v>423.47</v>
      </c>
      <c r="AE170">
        <v>-72.22</v>
      </c>
      <c r="AF170">
        <v>7468.760000000002</v>
      </c>
      <c r="AG170">
        <v>7551.9800000000023</v>
      </c>
      <c r="AH170">
        <v>83.220000000000013</v>
      </c>
      <c r="AI170">
        <v>1303.7899999999991</v>
      </c>
      <c r="AJ170">
        <v>0</v>
      </c>
      <c r="AK170">
        <v>-1303.7899999999991</v>
      </c>
      <c r="AL170">
        <v>6164.9700000000039</v>
      </c>
      <c r="AM170">
        <v>7551.9800000000023</v>
      </c>
      <c r="AN170">
        <v>1387.0099999999993</v>
      </c>
      <c r="AO170">
        <v>149</v>
      </c>
    </row>
    <row r="171" spans="1:41" x14ac:dyDescent="0.35">
      <c r="A171">
        <v>2024</v>
      </c>
      <c r="B171">
        <v>7</v>
      </c>
      <c r="C171">
        <v>30</v>
      </c>
      <c r="D171" s="14">
        <v>45495</v>
      </c>
      <c r="E171" t="s">
        <v>44</v>
      </c>
      <c r="F171" t="s">
        <v>47</v>
      </c>
      <c r="G171" t="s">
        <v>49</v>
      </c>
      <c r="H171">
        <v>11355</v>
      </c>
      <c r="I171">
        <v>11355</v>
      </c>
      <c r="J171">
        <v>0</v>
      </c>
      <c r="K171">
        <v>148.53000000000003</v>
      </c>
      <c r="L171">
        <v>148.53000000000003</v>
      </c>
      <c r="M171">
        <v>0</v>
      </c>
      <c r="N171">
        <v>236.86000000000007</v>
      </c>
      <c r="O171">
        <v>236.86000000000007</v>
      </c>
      <c r="P171">
        <v>0</v>
      </c>
      <c r="Q171">
        <v>-3480.2600000000011</v>
      </c>
      <c r="R171">
        <v>-3449.2600000000011</v>
      </c>
      <c r="S171">
        <v>31</v>
      </c>
      <c r="T171">
        <v>-5</v>
      </c>
      <c r="U171">
        <v>-5</v>
      </c>
      <c r="V171">
        <v>0</v>
      </c>
      <c r="W171">
        <v>-66.97</v>
      </c>
      <c r="X171">
        <v>-66.97</v>
      </c>
      <c r="Y171">
        <v>0</v>
      </c>
      <c r="Z171">
        <v>8188.1600000000035</v>
      </c>
      <c r="AA171">
        <v>8219.1600000000035</v>
      </c>
      <c r="AB171">
        <v>31</v>
      </c>
      <c r="AC171">
        <v>790.04</v>
      </c>
      <c r="AD171">
        <v>366.57000000000005</v>
      </c>
      <c r="AE171">
        <v>-423.46999999999997</v>
      </c>
      <c r="AF171">
        <v>7398.1200000000008</v>
      </c>
      <c r="AG171">
        <v>7852.59</v>
      </c>
      <c r="AH171">
        <v>454.46999999999997</v>
      </c>
      <c r="AI171">
        <v>1402.6600000000003</v>
      </c>
      <c r="AJ171">
        <v>0</v>
      </c>
      <c r="AK171">
        <v>-1402.6600000000003</v>
      </c>
      <c r="AL171">
        <v>5995.4600000000028</v>
      </c>
      <c r="AM171">
        <v>7852.59</v>
      </c>
      <c r="AN171">
        <v>1857.1299999999994</v>
      </c>
      <c r="AO171">
        <v>156</v>
      </c>
    </row>
    <row r="172" spans="1:41" x14ac:dyDescent="0.35">
      <c r="A172">
        <v>2024</v>
      </c>
      <c r="B172">
        <v>7</v>
      </c>
      <c r="C172">
        <v>30</v>
      </c>
      <c r="D172" s="14">
        <v>45496</v>
      </c>
      <c r="E172" t="s">
        <v>44</v>
      </c>
      <c r="F172" t="s">
        <v>47</v>
      </c>
      <c r="G172" t="s">
        <v>49</v>
      </c>
      <c r="H172">
        <v>2299.0500000000002</v>
      </c>
      <c r="I172">
        <v>2299.0500000000002</v>
      </c>
      <c r="J172">
        <v>0</v>
      </c>
      <c r="K172">
        <v>64.84</v>
      </c>
      <c r="L172">
        <v>64.84</v>
      </c>
      <c r="M172">
        <v>0</v>
      </c>
      <c r="N172">
        <v>107.94</v>
      </c>
      <c r="O172">
        <v>107.94</v>
      </c>
      <c r="P172">
        <v>0</v>
      </c>
      <c r="Q172">
        <v>-713.55</v>
      </c>
      <c r="R172">
        <v>-713.55</v>
      </c>
      <c r="S172">
        <v>0</v>
      </c>
      <c r="T172">
        <v>0</v>
      </c>
      <c r="U172">
        <v>0</v>
      </c>
      <c r="V172">
        <v>0</v>
      </c>
      <c r="W172">
        <v>-56.970000000000006</v>
      </c>
      <c r="X172">
        <v>-56.970000000000006</v>
      </c>
      <c r="Y172">
        <v>0</v>
      </c>
      <c r="Z172">
        <v>1701.31</v>
      </c>
      <c r="AA172">
        <v>1701.31</v>
      </c>
      <c r="AB172">
        <v>0</v>
      </c>
      <c r="AC172">
        <v>534.97000000000014</v>
      </c>
      <c r="AD172">
        <v>168.40000000000003</v>
      </c>
      <c r="AE172">
        <v>-366.57000000000016</v>
      </c>
      <c r="AF172">
        <v>1166.3399999999999</v>
      </c>
      <c r="AG172">
        <v>1532.9099999999999</v>
      </c>
      <c r="AH172">
        <v>366.57000000000011</v>
      </c>
      <c r="AI172">
        <v>-60.84</v>
      </c>
      <c r="AJ172">
        <v>0</v>
      </c>
      <c r="AK172">
        <v>60.84</v>
      </c>
      <c r="AL172">
        <v>1227.18</v>
      </c>
      <c r="AM172">
        <v>1532.9099999999999</v>
      </c>
      <c r="AN172">
        <v>305.73000000000008</v>
      </c>
      <c r="AO172">
        <v>28</v>
      </c>
    </row>
    <row r="173" spans="1:41" x14ac:dyDescent="0.35">
      <c r="A173">
        <v>2024</v>
      </c>
      <c r="B173">
        <v>7</v>
      </c>
      <c r="C173">
        <v>30</v>
      </c>
      <c r="D173" s="14">
        <v>45497</v>
      </c>
      <c r="E173" t="s">
        <v>44</v>
      </c>
      <c r="F173" t="s">
        <v>47</v>
      </c>
      <c r="G173" t="s">
        <v>49</v>
      </c>
      <c r="H173">
        <v>4621.3000000000011</v>
      </c>
      <c r="I173">
        <v>4621.3000000000011</v>
      </c>
      <c r="J173">
        <v>0</v>
      </c>
      <c r="K173">
        <v>132.63999999999999</v>
      </c>
      <c r="L173">
        <v>132.63999999999999</v>
      </c>
      <c r="M173">
        <v>0</v>
      </c>
      <c r="N173">
        <v>114.93000000000002</v>
      </c>
      <c r="O173">
        <v>114.93000000000002</v>
      </c>
      <c r="P173">
        <v>0</v>
      </c>
      <c r="Q173">
        <v>-1610.7000000000003</v>
      </c>
      <c r="R173">
        <v>-1610.7000000000003</v>
      </c>
      <c r="S173">
        <v>0</v>
      </c>
      <c r="T173">
        <v>-15</v>
      </c>
      <c r="U173">
        <v>-15</v>
      </c>
      <c r="V173">
        <v>0</v>
      </c>
      <c r="W173">
        <v>-10</v>
      </c>
      <c r="X173">
        <v>-10</v>
      </c>
      <c r="Y173">
        <v>0</v>
      </c>
      <c r="Z173">
        <v>3233.1700000000023</v>
      </c>
      <c r="AA173">
        <v>3233.1700000000023</v>
      </c>
      <c r="AB173">
        <v>0</v>
      </c>
      <c r="AC173">
        <v>504.99000000000018</v>
      </c>
      <c r="AD173">
        <v>336.59000000000009</v>
      </c>
      <c r="AE173">
        <v>-168.40000000000003</v>
      </c>
      <c r="AF173">
        <v>2728.1800000000021</v>
      </c>
      <c r="AG173">
        <v>2896.5800000000027</v>
      </c>
      <c r="AH173">
        <v>168.40000000000003</v>
      </c>
      <c r="AI173">
        <v>164.60000000000005</v>
      </c>
      <c r="AJ173">
        <v>0</v>
      </c>
      <c r="AK173">
        <v>-164.60000000000005</v>
      </c>
      <c r="AL173">
        <v>2563.58</v>
      </c>
      <c r="AM173">
        <v>2896.5800000000027</v>
      </c>
      <c r="AN173">
        <v>333.00000000000011</v>
      </c>
      <c r="AO173">
        <v>55</v>
      </c>
    </row>
    <row r="174" spans="1:41" x14ac:dyDescent="0.35">
      <c r="A174">
        <v>2024</v>
      </c>
      <c r="B174">
        <v>7</v>
      </c>
      <c r="C174">
        <v>30</v>
      </c>
      <c r="D174" s="14">
        <v>45498</v>
      </c>
      <c r="E174" t="s">
        <v>44</v>
      </c>
      <c r="F174" t="s">
        <v>47</v>
      </c>
      <c r="G174" t="s">
        <v>49</v>
      </c>
      <c r="H174">
        <v>12780.05</v>
      </c>
      <c r="I174">
        <v>12780.05</v>
      </c>
      <c r="J174">
        <v>0</v>
      </c>
      <c r="K174">
        <v>215.04000000000002</v>
      </c>
      <c r="L174">
        <v>215.04000000000002</v>
      </c>
      <c r="M174">
        <v>0</v>
      </c>
      <c r="N174">
        <v>326.80000000000007</v>
      </c>
      <c r="O174">
        <v>326.80000000000007</v>
      </c>
      <c r="P174">
        <v>0</v>
      </c>
      <c r="Q174">
        <v>-4359.2299999999959</v>
      </c>
      <c r="R174">
        <v>-4354.2299999999959</v>
      </c>
      <c r="S174">
        <v>5</v>
      </c>
      <c r="T174">
        <v>-20</v>
      </c>
      <c r="U174">
        <v>-20</v>
      </c>
      <c r="V174">
        <v>0</v>
      </c>
      <c r="W174">
        <v>-15</v>
      </c>
      <c r="X174">
        <v>-15</v>
      </c>
      <c r="Y174">
        <v>0</v>
      </c>
      <c r="Z174">
        <v>8927.6599999999871</v>
      </c>
      <c r="AA174">
        <v>8932.6599999999871</v>
      </c>
      <c r="AB174">
        <v>5</v>
      </c>
      <c r="AC174">
        <v>761.94999999999993</v>
      </c>
      <c r="AD174">
        <v>425.36000000000018</v>
      </c>
      <c r="AE174">
        <v>-336.59000000000009</v>
      </c>
      <c r="AF174">
        <v>8165.70999999999</v>
      </c>
      <c r="AG174">
        <v>8507.2999999999902</v>
      </c>
      <c r="AH174">
        <v>341.59000000000009</v>
      </c>
      <c r="AI174">
        <v>1333.6599999999996</v>
      </c>
      <c r="AJ174">
        <v>0</v>
      </c>
      <c r="AK174">
        <v>-1333.6599999999996</v>
      </c>
      <c r="AL174">
        <v>6832.0499999999984</v>
      </c>
      <c r="AM174">
        <v>8507.2999999999902</v>
      </c>
      <c r="AN174">
        <v>1675.2500000000002</v>
      </c>
      <c r="AO174">
        <v>152</v>
      </c>
    </row>
    <row r="175" spans="1:41" x14ac:dyDescent="0.35">
      <c r="A175">
        <v>2024</v>
      </c>
      <c r="B175">
        <v>7</v>
      </c>
      <c r="C175">
        <v>30</v>
      </c>
      <c r="D175" s="14">
        <v>45499</v>
      </c>
      <c r="E175" t="s">
        <v>44</v>
      </c>
      <c r="F175" t="s">
        <v>47</v>
      </c>
      <c r="G175" t="s">
        <v>49</v>
      </c>
      <c r="H175">
        <v>13053.299999999997</v>
      </c>
      <c r="I175">
        <v>13053.299999999997</v>
      </c>
      <c r="J175">
        <v>0</v>
      </c>
      <c r="K175">
        <v>220.20999999999998</v>
      </c>
      <c r="L175">
        <v>220.20999999999998</v>
      </c>
      <c r="M175">
        <v>0</v>
      </c>
      <c r="N175">
        <v>249.83000000000007</v>
      </c>
      <c r="O175">
        <v>249.83000000000007</v>
      </c>
      <c r="P175">
        <v>0</v>
      </c>
      <c r="Q175">
        <v>-5557.5799999999954</v>
      </c>
      <c r="R175">
        <v>-5557.5799999999954</v>
      </c>
      <c r="S175">
        <v>0</v>
      </c>
      <c r="T175">
        <v>-20.5</v>
      </c>
      <c r="U175">
        <v>-20.5</v>
      </c>
      <c r="V175">
        <v>0</v>
      </c>
      <c r="W175">
        <v>-10</v>
      </c>
      <c r="X175">
        <v>-10</v>
      </c>
      <c r="Y175">
        <v>0</v>
      </c>
      <c r="Z175">
        <v>7935.2600000000057</v>
      </c>
      <c r="AA175">
        <v>7935.2600000000057</v>
      </c>
      <c r="AB175">
        <v>0</v>
      </c>
      <c r="AC175">
        <v>860.56</v>
      </c>
      <c r="AD175">
        <v>435.2000000000001</v>
      </c>
      <c r="AE175">
        <v>-425.36000000000007</v>
      </c>
      <c r="AF175">
        <v>7074.7000000000053</v>
      </c>
      <c r="AG175">
        <v>7500.0600000000059</v>
      </c>
      <c r="AH175">
        <v>425.36000000000007</v>
      </c>
      <c r="AI175">
        <v>1350.3900000000008</v>
      </c>
      <c r="AJ175">
        <v>0</v>
      </c>
      <c r="AK175">
        <v>-1350.3900000000008</v>
      </c>
      <c r="AL175">
        <v>5724.3099999999986</v>
      </c>
      <c r="AM175">
        <v>7500.0600000000059</v>
      </c>
      <c r="AN175">
        <v>1775.7500000000007</v>
      </c>
      <c r="AO175">
        <v>150</v>
      </c>
    </row>
    <row r="176" spans="1:41" x14ac:dyDescent="0.35">
      <c r="A176">
        <v>2024</v>
      </c>
      <c r="B176">
        <v>7</v>
      </c>
      <c r="C176">
        <v>30</v>
      </c>
      <c r="D176" s="14">
        <v>45500</v>
      </c>
      <c r="E176" t="s">
        <v>44</v>
      </c>
      <c r="F176" t="s">
        <v>47</v>
      </c>
      <c r="G176" t="s">
        <v>49</v>
      </c>
      <c r="H176">
        <v>13507.300000000001</v>
      </c>
      <c r="I176">
        <v>13507.300000000001</v>
      </c>
      <c r="J176">
        <v>0</v>
      </c>
      <c r="K176">
        <v>237.00000000000003</v>
      </c>
      <c r="L176">
        <v>237.00000000000003</v>
      </c>
      <c r="M176">
        <v>0</v>
      </c>
      <c r="N176">
        <v>227.86000000000007</v>
      </c>
      <c r="O176">
        <v>227.86000000000007</v>
      </c>
      <c r="P176">
        <v>0</v>
      </c>
      <c r="Q176">
        <v>-4600.699999999998</v>
      </c>
      <c r="R176">
        <v>-4567.6999999999989</v>
      </c>
      <c r="S176">
        <v>33</v>
      </c>
      <c r="T176">
        <v>-25</v>
      </c>
      <c r="U176">
        <v>-25</v>
      </c>
      <c r="V176">
        <v>0</v>
      </c>
      <c r="W176">
        <v>-30.990000000000002</v>
      </c>
      <c r="X176">
        <v>-30.990000000000002</v>
      </c>
      <c r="Y176">
        <v>0</v>
      </c>
      <c r="Z176">
        <v>9315.4699999999903</v>
      </c>
      <c r="AA176">
        <v>9348.4699999999903</v>
      </c>
      <c r="AB176">
        <v>33</v>
      </c>
      <c r="AC176">
        <v>980.01999999999975</v>
      </c>
      <c r="AD176">
        <v>544.82000000000005</v>
      </c>
      <c r="AE176">
        <v>-435.20000000000022</v>
      </c>
      <c r="AF176">
        <v>8335.4499999999971</v>
      </c>
      <c r="AG176">
        <v>8803.6499999999942</v>
      </c>
      <c r="AH176">
        <v>468.20000000000022</v>
      </c>
      <c r="AI176">
        <v>1181.9700000000007</v>
      </c>
      <c r="AJ176">
        <v>0</v>
      </c>
      <c r="AK176">
        <v>-1181.9700000000007</v>
      </c>
      <c r="AL176">
        <v>7153.4800000000005</v>
      </c>
      <c r="AM176">
        <v>8803.6499999999942</v>
      </c>
      <c r="AN176">
        <v>1650.1700000000019</v>
      </c>
      <c r="AO176">
        <v>168</v>
      </c>
    </row>
    <row r="177" spans="1:41" x14ac:dyDescent="0.35">
      <c r="A177">
        <v>2024</v>
      </c>
      <c r="B177">
        <v>7</v>
      </c>
      <c r="C177">
        <v>30</v>
      </c>
      <c r="D177" s="14">
        <v>45494</v>
      </c>
      <c r="E177" t="s">
        <v>44</v>
      </c>
      <c r="F177" t="s">
        <v>47</v>
      </c>
      <c r="G177" t="s">
        <v>50</v>
      </c>
      <c r="H177">
        <v>22961.149999999998</v>
      </c>
      <c r="I177">
        <v>22961.149999999998</v>
      </c>
      <c r="J177">
        <v>0</v>
      </c>
      <c r="K177">
        <v>449.40999999999929</v>
      </c>
      <c r="L177">
        <v>449.40999999999929</v>
      </c>
      <c r="M177">
        <v>0</v>
      </c>
      <c r="N177">
        <v>1111.3400000000004</v>
      </c>
      <c r="O177">
        <v>1111.3400000000004</v>
      </c>
      <c r="P177">
        <v>0</v>
      </c>
      <c r="Q177">
        <v>-6461.6500000000005</v>
      </c>
      <c r="R177">
        <v>-6209.6500000000005</v>
      </c>
      <c r="S177">
        <v>252</v>
      </c>
      <c r="T177">
        <v>-25</v>
      </c>
      <c r="U177">
        <v>-25</v>
      </c>
      <c r="V177">
        <v>0</v>
      </c>
      <c r="W177">
        <v>-15</v>
      </c>
      <c r="X177">
        <v>-15</v>
      </c>
      <c r="Y177">
        <v>0</v>
      </c>
      <c r="Z177">
        <v>18020.249999999989</v>
      </c>
      <c r="AA177">
        <v>18272.249999999993</v>
      </c>
      <c r="AB177">
        <v>252</v>
      </c>
      <c r="AC177">
        <v>3527.0300000000034</v>
      </c>
      <c r="AD177">
        <v>2314.3200000000015</v>
      </c>
      <c r="AE177">
        <v>-1212.7099999999998</v>
      </c>
      <c r="AF177">
        <v>14493.219999999996</v>
      </c>
      <c r="AG177">
        <v>15957.929999999991</v>
      </c>
      <c r="AH177">
        <v>1464.7099999999998</v>
      </c>
      <c r="AI177">
        <v>-1129.3599999999994</v>
      </c>
      <c r="AJ177">
        <v>0</v>
      </c>
      <c r="AK177">
        <v>1129.3599999999994</v>
      </c>
      <c r="AL177">
        <v>15622.579999999993</v>
      </c>
      <c r="AM177">
        <v>15957.929999999991</v>
      </c>
      <c r="AN177">
        <v>335.34999999999968</v>
      </c>
      <c r="AO177">
        <v>270</v>
      </c>
    </row>
    <row r="178" spans="1:41" x14ac:dyDescent="0.35">
      <c r="A178">
        <v>2024</v>
      </c>
      <c r="B178">
        <v>7</v>
      </c>
      <c r="C178">
        <v>30</v>
      </c>
      <c r="D178" s="14">
        <v>45495</v>
      </c>
      <c r="E178" t="s">
        <v>44</v>
      </c>
      <c r="F178" t="s">
        <v>47</v>
      </c>
      <c r="G178" t="s">
        <v>50</v>
      </c>
      <c r="H178">
        <v>28395</v>
      </c>
      <c r="I178">
        <v>28395</v>
      </c>
      <c r="J178">
        <v>0</v>
      </c>
      <c r="K178">
        <v>437.31999999999954</v>
      </c>
      <c r="L178">
        <v>437.31999999999954</v>
      </c>
      <c r="M178">
        <v>0</v>
      </c>
      <c r="N178">
        <v>1384.1800000000005</v>
      </c>
      <c r="O178">
        <v>1384.1800000000005</v>
      </c>
      <c r="P178">
        <v>0</v>
      </c>
      <c r="Q178">
        <v>-7695.25</v>
      </c>
      <c r="R178">
        <v>-7398.25</v>
      </c>
      <c r="S178">
        <v>297</v>
      </c>
      <c r="T178">
        <v>-35</v>
      </c>
      <c r="U178">
        <v>-35</v>
      </c>
      <c r="V178">
        <v>0</v>
      </c>
      <c r="W178">
        <v>-15</v>
      </c>
      <c r="X178">
        <v>-15</v>
      </c>
      <c r="Y178">
        <v>0</v>
      </c>
      <c r="Z178">
        <v>22471.250000000018</v>
      </c>
      <c r="AA178">
        <v>22768.250000000018</v>
      </c>
      <c r="AB178">
        <v>297</v>
      </c>
      <c r="AC178">
        <v>5974.7900000000118</v>
      </c>
      <c r="AD178">
        <v>3703.3000000000065</v>
      </c>
      <c r="AE178">
        <v>-2271.4900000000021</v>
      </c>
      <c r="AF178">
        <v>16496.460000000006</v>
      </c>
      <c r="AG178">
        <v>19064.950000000015</v>
      </c>
      <c r="AH178">
        <v>2568.4900000000016</v>
      </c>
      <c r="AI178">
        <v>-1870.69</v>
      </c>
      <c r="AJ178">
        <v>0</v>
      </c>
      <c r="AK178">
        <v>1870.69</v>
      </c>
      <c r="AL178">
        <v>18367.150000000012</v>
      </c>
      <c r="AM178">
        <v>19064.950000000015</v>
      </c>
      <c r="AN178">
        <v>697.80000000000018</v>
      </c>
      <c r="AO178">
        <v>324</v>
      </c>
    </row>
    <row r="179" spans="1:41" x14ac:dyDescent="0.35">
      <c r="A179">
        <v>2024</v>
      </c>
      <c r="B179">
        <v>7</v>
      </c>
      <c r="C179">
        <v>30</v>
      </c>
      <c r="D179" s="14">
        <v>45496</v>
      </c>
      <c r="E179" t="s">
        <v>44</v>
      </c>
      <c r="F179" t="s">
        <v>47</v>
      </c>
      <c r="G179" t="s">
        <v>50</v>
      </c>
      <c r="H179">
        <v>28157</v>
      </c>
      <c r="I179">
        <v>28157</v>
      </c>
      <c r="J179">
        <v>0</v>
      </c>
      <c r="K179">
        <v>255.60999999999993</v>
      </c>
      <c r="L179">
        <v>255.60999999999993</v>
      </c>
      <c r="M179">
        <v>0</v>
      </c>
      <c r="N179">
        <v>1129.3300000000004</v>
      </c>
      <c r="O179">
        <v>1129.3300000000004</v>
      </c>
      <c r="P179">
        <v>0</v>
      </c>
      <c r="Q179">
        <v>-7719.7300000000005</v>
      </c>
      <c r="R179">
        <v>-7418.7300000000005</v>
      </c>
      <c r="S179">
        <v>301</v>
      </c>
      <c r="T179">
        <v>-5</v>
      </c>
      <c r="U179">
        <v>-5</v>
      </c>
      <c r="V179">
        <v>0</v>
      </c>
      <c r="W179">
        <v>-6.9</v>
      </c>
      <c r="X179">
        <v>-6.9</v>
      </c>
      <c r="Y179">
        <v>0</v>
      </c>
      <c r="Z179">
        <v>21810.310000000005</v>
      </c>
      <c r="AA179">
        <v>22111.310000000005</v>
      </c>
      <c r="AB179">
        <v>301</v>
      </c>
      <c r="AC179">
        <v>6721.0500000000156</v>
      </c>
      <c r="AD179">
        <v>3160.2300000000064</v>
      </c>
      <c r="AE179">
        <v>-3560.8200000000061</v>
      </c>
      <c r="AF179">
        <v>15089.260000000011</v>
      </c>
      <c r="AG179">
        <v>18951.08000000002</v>
      </c>
      <c r="AH179">
        <v>3861.8200000000061</v>
      </c>
      <c r="AI179">
        <v>-1626.26</v>
      </c>
      <c r="AJ179">
        <v>0</v>
      </c>
      <c r="AK179">
        <v>1626.26</v>
      </c>
      <c r="AL179">
        <v>16715.520000000008</v>
      </c>
      <c r="AM179">
        <v>18951.08000000002</v>
      </c>
      <c r="AN179">
        <v>2235.5600000000049</v>
      </c>
      <c r="AO179">
        <v>315</v>
      </c>
    </row>
    <row r="180" spans="1:41" x14ac:dyDescent="0.35">
      <c r="A180">
        <v>2024</v>
      </c>
      <c r="B180">
        <v>7</v>
      </c>
      <c r="C180">
        <v>30</v>
      </c>
      <c r="D180" s="14">
        <v>45497</v>
      </c>
      <c r="E180" t="s">
        <v>44</v>
      </c>
      <c r="F180" t="s">
        <v>47</v>
      </c>
      <c r="G180" t="s">
        <v>50</v>
      </c>
      <c r="H180">
        <v>40044</v>
      </c>
      <c r="I180">
        <v>40044</v>
      </c>
      <c r="J180">
        <v>0</v>
      </c>
      <c r="K180">
        <v>558.8599999999999</v>
      </c>
      <c r="L180">
        <v>558.8599999999999</v>
      </c>
      <c r="M180">
        <v>0</v>
      </c>
      <c r="N180">
        <v>1491.1200000000006</v>
      </c>
      <c r="O180">
        <v>1472.1300000000006</v>
      </c>
      <c r="P180">
        <v>-18.990000000000002</v>
      </c>
      <c r="Q180">
        <v>-11758.3</v>
      </c>
      <c r="R180">
        <v>-11311.3</v>
      </c>
      <c r="S180">
        <v>447</v>
      </c>
      <c r="T180">
        <v>-20</v>
      </c>
      <c r="U180">
        <v>-20</v>
      </c>
      <c r="V180">
        <v>0</v>
      </c>
      <c r="W180">
        <v>-93.87</v>
      </c>
      <c r="X180">
        <v>-93.87</v>
      </c>
      <c r="Y180">
        <v>0</v>
      </c>
      <c r="Z180">
        <v>30221.810000000045</v>
      </c>
      <c r="AA180">
        <v>30649.820000000047</v>
      </c>
      <c r="AB180">
        <v>428.01</v>
      </c>
      <c r="AC180">
        <v>8815.660000000018</v>
      </c>
      <c r="AD180">
        <v>5726.4000000000133</v>
      </c>
      <c r="AE180">
        <v>-3089.2600000000061</v>
      </c>
      <c r="AF180">
        <v>21406.150000000071</v>
      </c>
      <c r="AG180">
        <v>24923.420000000067</v>
      </c>
      <c r="AH180">
        <v>3517.2700000000063</v>
      </c>
      <c r="AI180">
        <v>-3028.9099999999989</v>
      </c>
      <c r="AJ180">
        <v>0</v>
      </c>
      <c r="AK180">
        <v>3028.9099999999989</v>
      </c>
      <c r="AL180">
        <v>24435.060000000023</v>
      </c>
      <c r="AM180">
        <v>24923.420000000067</v>
      </c>
      <c r="AN180">
        <v>488.35999999999996</v>
      </c>
      <c r="AO180">
        <v>454</v>
      </c>
    </row>
    <row r="181" spans="1:41" x14ac:dyDescent="0.35">
      <c r="A181">
        <v>2024</v>
      </c>
      <c r="B181">
        <v>7</v>
      </c>
      <c r="C181">
        <v>30</v>
      </c>
      <c r="D181" s="14">
        <v>45498</v>
      </c>
      <c r="E181" t="s">
        <v>44</v>
      </c>
      <c r="F181" t="s">
        <v>47</v>
      </c>
      <c r="G181" t="s">
        <v>50</v>
      </c>
      <c r="H181">
        <v>42469.100000000006</v>
      </c>
      <c r="I181">
        <v>42469.100000000006</v>
      </c>
      <c r="J181">
        <v>0</v>
      </c>
      <c r="K181">
        <v>612.14000000000044</v>
      </c>
      <c r="L181">
        <v>612.14000000000044</v>
      </c>
      <c r="M181">
        <v>0</v>
      </c>
      <c r="N181">
        <v>1723.9500000000007</v>
      </c>
      <c r="O181">
        <v>1742.9400000000007</v>
      </c>
      <c r="P181">
        <v>18.990000000000002</v>
      </c>
      <c r="Q181">
        <v>-11486.32</v>
      </c>
      <c r="R181">
        <v>-11155.119999999999</v>
      </c>
      <c r="S181">
        <v>331.2</v>
      </c>
      <c r="T181">
        <v>-20</v>
      </c>
      <c r="U181">
        <v>-20</v>
      </c>
      <c r="V181">
        <v>0</v>
      </c>
      <c r="W181">
        <v>-107.96000000000001</v>
      </c>
      <c r="X181">
        <v>-107.96000000000001</v>
      </c>
      <c r="Y181">
        <v>0</v>
      </c>
      <c r="Z181">
        <v>33190.909999999996</v>
      </c>
      <c r="AA181">
        <v>33541.1</v>
      </c>
      <c r="AB181">
        <v>350.19</v>
      </c>
      <c r="AC181">
        <v>9539.6300000000138</v>
      </c>
      <c r="AD181">
        <v>3992.8000000000079</v>
      </c>
      <c r="AE181">
        <v>-5546.8300000000154</v>
      </c>
      <c r="AF181">
        <v>23651.280000000112</v>
      </c>
      <c r="AG181">
        <v>29548.300000000057</v>
      </c>
      <c r="AH181">
        <v>5897.020000000015</v>
      </c>
      <c r="AI181">
        <v>-2071.42</v>
      </c>
      <c r="AJ181">
        <v>0</v>
      </c>
      <c r="AK181">
        <v>2071.42</v>
      </c>
      <c r="AL181">
        <v>25722.700000000084</v>
      </c>
      <c r="AM181">
        <v>29548.300000000057</v>
      </c>
      <c r="AN181">
        <v>3825.6000000000158</v>
      </c>
      <c r="AO181">
        <v>493</v>
      </c>
    </row>
    <row r="182" spans="1:41" x14ac:dyDescent="0.35">
      <c r="A182">
        <v>2024</v>
      </c>
      <c r="B182">
        <v>7</v>
      </c>
      <c r="C182">
        <v>30</v>
      </c>
      <c r="D182" s="14">
        <v>45499</v>
      </c>
      <c r="E182" t="s">
        <v>44</v>
      </c>
      <c r="F182" t="s">
        <v>47</v>
      </c>
      <c r="G182" t="s">
        <v>50</v>
      </c>
      <c r="H182">
        <v>37108.94999999999</v>
      </c>
      <c r="I182">
        <v>37108.94999999999</v>
      </c>
      <c r="J182">
        <v>0</v>
      </c>
      <c r="K182">
        <v>569.25999999999976</v>
      </c>
      <c r="L182">
        <v>569.25999999999976</v>
      </c>
      <c r="M182">
        <v>0</v>
      </c>
      <c r="N182">
        <v>1721.9300000000007</v>
      </c>
      <c r="O182">
        <v>1721.9300000000007</v>
      </c>
      <c r="P182">
        <v>0</v>
      </c>
      <c r="Q182">
        <v>-9919.7200000000012</v>
      </c>
      <c r="R182">
        <v>-9550.4700000000012</v>
      </c>
      <c r="S182">
        <v>369.25</v>
      </c>
      <c r="T182">
        <v>-30</v>
      </c>
      <c r="U182">
        <v>-30</v>
      </c>
      <c r="V182">
        <v>0</v>
      </c>
      <c r="W182">
        <v>-56.980000000000004</v>
      </c>
      <c r="X182">
        <v>-56.980000000000004</v>
      </c>
      <c r="Y182">
        <v>0</v>
      </c>
      <c r="Z182">
        <v>29393.440000000046</v>
      </c>
      <c r="AA182">
        <v>29762.690000000046</v>
      </c>
      <c r="AB182">
        <v>369.25</v>
      </c>
      <c r="AC182">
        <v>8330.9100000000199</v>
      </c>
      <c r="AD182">
        <v>4392.4100000000099</v>
      </c>
      <c r="AE182">
        <v>-3938.5000000000077</v>
      </c>
      <c r="AF182">
        <v>21062.530000000024</v>
      </c>
      <c r="AG182">
        <v>25370.280000000053</v>
      </c>
      <c r="AH182">
        <v>4307.7500000000082</v>
      </c>
      <c r="AI182">
        <v>-2150.5200000000009</v>
      </c>
      <c r="AJ182">
        <v>0</v>
      </c>
      <c r="AK182">
        <v>2150.5200000000009</v>
      </c>
      <c r="AL182">
        <v>23213.050000000036</v>
      </c>
      <c r="AM182">
        <v>25370.280000000053</v>
      </c>
      <c r="AN182">
        <v>2157.2300000000037</v>
      </c>
      <c r="AO182">
        <v>439</v>
      </c>
    </row>
    <row r="183" spans="1:41" x14ac:dyDescent="0.35">
      <c r="A183">
        <v>2024</v>
      </c>
      <c r="B183">
        <v>7</v>
      </c>
      <c r="C183">
        <v>30</v>
      </c>
      <c r="D183" s="14">
        <v>45500</v>
      </c>
      <c r="E183" t="s">
        <v>44</v>
      </c>
      <c r="F183" t="s">
        <v>47</v>
      </c>
      <c r="G183" t="s">
        <v>50</v>
      </c>
      <c r="H183">
        <v>41671.049999999996</v>
      </c>
      <c r="I183">
        <v>41671.049999999996</v>
      </c>
      <c r="J183">
        <v>0</v>
      </c>
      <c r="K183">
        <v>728.08000000000175</v>
      </c>
      <c r="L183">
        <v>728.08000000000175</v>
      </c>
      <c r="M183">
        <v>0</v>
      </c>
      <c r="N183">
        <v>1668.9800000000007</v>
      </c>
      <c r="O183">
        <v>1668.9800000000007</v>
      </c>
      <c r="P183">
        <v>0</v>
      </c>
      <c r="Q183">
        <v>-12196.500000000002</v>
      </c>
      <c r="R183">
        <v>-11853.500000000002</v>
      </c>
      <c r="S183">
        <v>343</v>
      </c>
      <c r="T183">
        <v>-45</v>
      </c>
      <c r="U183">
        <v>-45</v>
      </c>
      <c r="V183">
        <v>0</v>
      </c>
      <c r="W183">
        <v>-67.97</v>
      </c>
      <c r="X183">
        <v>-67.97</v>
      </c>
      <c r="Y183">
        <v>0</v>
      </c>
      <c r="Z183">
        <v>31758.640000000021</v>
      </c>
      <c r="AA183">
        <v>32101.640000000025</v>
      </c>
      <c r="AB183">
        <v>343</v>
      </c>
      <c r="AC183">
        <v>9751.6400000000176</v>
      </c>
      <c r="AD183">
        <v>5375.9000000000106</v>
      </c>
      <c r="AE183">
        <v>-4375.740000000008</v>
      </c>
      <c r="AF183">
        <v>22007.000000000102</v>
      </c>
      <c r="AG183">
        <v>26725.740000000074</v>
      </c>
      <c r="AH183">
        <v>4718.740000000008</v>
      </c>
      <c r="AI183">
        <v>-2572.4899999999957</v>
      </c>
      <c r="AJ183">
        <v>0</v>
      </c>
      <c r="AK183">
        <v>2572.4899999999957</v>
      </c>
      <c r="AL183">
        <v>24579.490000000063</v>
      </c>
      <c r="AM183">
        <v>26725.740000000074</v>
      </c>
      <c r="AN183">
        <v>2146.2500000000064</v>
      </c>
      <c r="AO183">
        <v>485</v>
      </c>
    </row>
    <row r="184" spans="1:41" x14ac:dyDescent="0.35">
      <c r="A184">
        <v>2024</v>
      </c>
      <c r="B184">
        <v>7</v>
      </c>
      <c r="C184">
        <v>30</v>
      </c>
      <c r="D184" s="14">
        <v>45494</v>
      </c>
      <c r="E184" t="s">
        <v>44</v>
      </c>
      <c r="F184" t="s">
        <v>47</v>
      </c>
      <c r="G184" t="s">
        <v>51</v>
      </c>
      <c r="H184">
        <v>3724.7</v>
      </c>
      <c r="I184">
        <v>3724.7</v>
      </c>
      <c r="J184">
        <v>0</v>
      </c>
      <c r="K184">
        <v>10.95</v>
      </c>
      <c r="L184">
        <v>10.95</v>
      </c>
      <c r="M184">
        <v>0</v>
      </c>
      <c r="N184">
        <v>0</v>
      </c>
      <c r="O184">
        <v>0</v>
      </c>
      <c r="P184">
        <v>0</v>
      </c>
      <c r="Q184">
        <v>-1045.0499999999997</v>
      </c>
      <c r="R184">
        <v>-1045.0499999999997</v>
      </c>
      <c r="S184">
        <v>0</v>
      </c>
      <c r="T184">
        <v>-4</v>
      </c>
      <c r="U184">
        <v>-4</v>
      </c>
      <c r="V184">
        <v>0</v>
      </c>
      <c r="W184">
        <v>0</v>
      </c>
      <c r="X184">
        <v>0</v>
      </c>
      <c r="Y184">
        <v>0</v>
      </c>
      <c r="Z184">
        <v>2686.5999999999985</v>
      </c>
      <c r="AA184">
        <v>2686.5999999999985</v>
      </c>
      <c r="AB184">
        <v>0</v>
      </c>
      <c r="AC184">
        <v>135.17000000000002</v>
      </c>
      <c r="AD184">
        <v>65</v>
      </c>
      <c r="AE184">
        <v>-70.17</v>
      </c>
      <c r="AF184">
        <v>2551.4299999999985</v>
      </c>
      <c r="AG184">
        <v>2621.5999999999985</v>
      </c>
      <c r="AH184">
        <v>70.17</v>
      </c>
      <c r="AI184">
        <v>539.6099999999999</v>
      </c>
      <c r="AJ184">
        <v>0</v>
      </c>
      <c r="AK184">
        <v>-539.6099999999999</v>
      </c>
      <c r="AL184">
        <v>2011.8200000000002</v>
      </c>
      <c r="AM184">
        <v>2621.5999999999985</v>
      </c>
      <c r="AN184">
        <v>609.78000000000009</v>
      </c>
      <c r="AO184">
        <v>60</v>
      </c>
    </row>
    <row r="185" spans="1:41" x14ac:dyDescent="0.35">
      <c r="A185">
        <v>2024</v>
      </c>
      <c r="B185">
        <v>7</v>
      </c>
      <c r="C185">
        <v>30</v>
      </c>
      <c r="D185" s="14">
        <v>45495</v>
      </c>
      <c r="E185" t="s">
        <v>44</v>
      </c>
      <c r="F185" t="s">
        <v>47</v>
      </c>
      <c r="G185" t="s">
        <v>51</v>
      </c>
      <c r="H185">
        <v>7215.5000000000018</v>
      </c>
      <c r="I185">
        <v>7215.5000000000018</v>
      </c>
      <c r="J185">
        <v>0</v>
      </c>
      <c r="K185">
        <v>97.36999999999999</v>
      </c>
      <c r="L185">
        <v>97.36999999999999</v>
      </c>
      <c r="M185">
        <v>0</v>
      </c>
      <c r="N185">
        <v>0</v>
      </c>
      <c r="O185">
        <v>0</v>
      </c>
      <c r="P185">
        <v>0</v>
      </c>
      <c r="Q185">
        <v>-1250.4499999999994</v>
      </c>
      <c r="R185">
        <v>-1250.4499999999994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6062.420000000001</v>
      </c>
      <c r="AA185">
        <v>6062.420000000001</v>
      </c>
      <c r="AB185">
        <v>0</v>
      </c>
      <c r="AC185">
        <v>65</v>
      </c>
      <c r="AE185">
        <v>-65</v>
      </c>
      <c r="AF185">
        <v>5997.420000000001</v>
      </c>
      <c r="AG185">
        <v>6062.420000000001</v>
      </c>
      <c r="AH185">
        <v>65</v>
      </c>
      <c r="AI185">
        <v>895.74000000000046</v>
      </c>
      <c r="AJ185">
        <v>0</v>
      </c>
      <c r="AK185">
        <v>-895.74000000000046</v>
      </c>
      <c r="AL185">
        <v>5101.680000000003</v>
      </c>
      <c r="AM185">
        <v>6062.420000000001</v>
      </c>
      <c r="AN185">
        <v>960.74000000000024</v>
      </c>
      <c r="AO185">
        <v>112</v>
      </c>
    </row>
    <row r="186" spans="1:41" x14ac:dyDescent="0.35">
      <c r="A186">
        <v>2024</v>
      </c>
      <c r="B186">
        <v>7</v>
      </c>
      <c r="C186">
        <v>30</v>
      </c>
      <c r="D186" s="14">
        <v>45496</v>
      </c>
      <c r="E186" t="s">
        <v>44</v>
      </c>
      <c r="F186" t="s">
        <v>47</v>
      </c>
      <c r="G186" t="s">
        <v>51</v>
      </c>
      <c r="H186">
        <v>75</v>
      </c>
      <c r="I186">
        <v>75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-32.25</v>
      </c>
      <c r="R186">
        <v>-32.25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42.75</v>
      </c>
      <c r="AA186">
        <v>42.75</v>
      </c>
      <c r="AB186">
        <v>0</v>
      </c>
      <c r="AE186">
        <v>0</v>
      </c>
      <c r="AF186">
        <v>42.75</v>
      </c>
      <c r="AG186">
        <v>42.75</v>
      </c>
      <c r="AH186">
        <v>0</v>
      </c>
      <c r="AI186">
        <v>15.57</v>
      </c>
      <c r="AJ186">
        <v>0</v>
      </c>
      <c r="AK186">
        <v>-15.57</v>
      </c>
      <c r="AL186">
        <v>27.18</v>
      </c>
      <c r="AM186">
        <v>42.75</v>
      </c>
      <c r="AN186">
        <v>15.57</v>
      </c>
      <c r="AO186">
        <v>1</v>
      </c>
    </row>
    <row r="187" spans="1:41" x14ac:dyDescent="0.35">
      <c r="A187">
        <v>2024</v>
      </c>
      <c r="B187">
        <v>7</v>
      </c>
      <c r="C187">
        <v>30</v>
      </c>
      <c r="D187" s="14">
        <v>45497</v>
      </c>
      <c r="E187" t="s">
        <v>44</v>
      </c>
      <c r="F187" t="s">
        <v>47</v>
      </c>
      <c r="G187" t="s">
        <v>51</v>
      </c>
      <c r="H187">
        <v>1365.0999999999997</v>
      </c>
      <c r="I187">
        <v>1365.0999999999997</v>
      </c>
      <c r="J187">
        <v>0</v>
      </c>
      <c r="K187">
        <v>20</v>
      </c>
      <c r="L187">
        <v>20</v>
      </c>
      <c r="M187">
        <v>0</v>
      </c>
      <c r="N187">
        <v>0</v>
      </c>
      <c r="O187">
        <v>0</v>
      </c>
      <c r="P187">
        <v>0</v>
      </c>
      <c r="Q187">
        <v>-309.35000000000002</v>
      </c>
      <c r="R187">
        <v>-309.35000000000002</v>
      </c>
      <c r="S187">
        <v>0</v>
      </c>
      <c r="T187">
        <v>-8</v>
      </c>
      <c r="U187">
        <v>-8</v>
      </c>
      <c r="V187">
        <v>0</v>
      </c>
      <c r="W187">
        <v>0</v>
      </c>
      <c r="X187">
        <v>0</v>
      </c>
      <c r="Y187">
        <v>0</v>
      </c>
      <c r="Z187">
        <v>1067.7499999999998</v>
      </c>
      <c r="AA187">
        <v>1067.7499999999998</v>
      </c>
      <c r="AB187">
        <v>0</v>
      </c>
      <c r="AC187">
        <v>41.67</v>
      </c>
      <c r="AD187">
        <v>41.67</v>
      </c>
      <c r="AE187">
        <v>0</v>
      </c>
      <c r="AF187">
        <v>1026.08</v>
      </c>
      <c r="AG187">
        <v>1026.08</v>
      </c>
      <c r="AH187">
        <v>0</v>
      </c>
      <c r="AI187">
        <v>253.27999999999997</v>
      </c>
      <c r="AJ187">
        <v>0</v>
      </c>
      <c r="AK187">
        <v>-253.27999999999997</v>
      </c>
      <c r="AL187">
        <v>772.79999999999984</v>
      </c>
      <c r="AM187">
        <v>1026.08</v>
      </c>
      <c r="AN187">
        <v>253.27999999999997</v>
      </c>
      <c r="AO187">
        <v>26</v>
      </c>
    </row>
    <row r="188" spans="1:41" x14ac:dyDescent="0.35">
      <c r="A188">
        <v>2024</v>
      </c>
      <c r="B188">
        <v>7</v>
      </c>
      <c r="C188">
        <v>30</v>
      </c>
      <c r="D188" s="14">
        <v>45498</v>
      </c>
      <c r="E188" t="s">
        <v>44</v>
      </c>
      <c r="F188" t="s">
        <v>47</v>
      </c>
      <c r="G188" t="s">
        <v>51</v>
      </c>
      <c r="H188">
        <v>4302.6000000000004</v>
      </c>
      <c r="I188">
        <v>4302.6000000000004</v>
      </c>
      <c r="J188">
        <v>0</v>
      </c>
      <c r="K188">
        <v>20.950000000000003</v>
      </c>
      <c r="L188">
        <v>20.950000000000003</v>
      </c>
      <c r="M188">
        <v>0</v>
      </c>
      <c r="N188">
        <v>0</v>
      </c>
      <c r="O188">
        <v>0</v>
      </c>
      <c r="P188">
        <v>0</v>
      </c>
      <c r="Q188">
        <v>-1042.3999999999999</v>
      </c>
      <c r="R188">
        <v>-1042.3999999999999</v>
      </c>
      <c r="S188">
        <v>0</v>
      </c>
      <c r="T188">
        <v>-4</v>
      </c>
      <c r="U188">
        <v>-4</v>
      </c>
      <c r="V188">
        <v>0</v>
      </c>
      <c r="W188">
        <v>0</v>
      </c>
      <c r="X188">
        <v>0</v>
      </c>
      <c r="Y188">
        <v>0</v>
      </c>
      <c r="Z188">
        <v>3277.1499999999996</v>
      </c>
      <c r="AA188">
        <v>3277.1499999999996</v>
      </c>
      <c r="AB188">
        <v>0</v>
      </c>
      <c r="AC188">
        <v>128.88</v>
      </c>
      <c r="AD188">
        <v>87.210000000000008</v>
      </c>
      <c r="AE188">
        <v>-41.67</v>
      </c>
      <c r="AF188">
        <v>3148.27</v>
      </c>
      <c r="AG188">
        <v>3189.94</v>
      </c>
      <c r="AH188">
        <v>41.67</v>
      </c>
      <c r="AI188">
        <v>720.64</v>
      </c>
      <c r="AJ188">
        <v>0</v>
      </c>
      <c r="AK188">
        <v>-720.64</v>
      </c>
      <c r="AL188">
        <v>2427.6299999999992</v>
      </c>
      <c r="AM188">
        <v>3189.94</v>
      </c>
      <c r="AN188">
        <v>762.31000000000017</v>
      </c>
      <c r="AO188">
        <v>74</v>
      </c>
    </row>
    <row r="189" spans="1:41" x14ac:dyDescent="0.35">
      <c r="A189">
        <v>2024</v>
      </c>
      <c r="B189">
        <v>7</v>
      </c>
      <c r="C189">
        <v>30</v>
      </c>
      <c r="D189" s="14">
        <v>45499</v>
      </c>
      <c r="E189" t="s">
        <v>44</v>
      </c>
      <c r="F189" t="s">
        <v>47</v>
      </c>
      <c r="G189" t="s">
        <v>51</v>
      </c>
      <c r="H189">
        <v>5127.7</v>
      </c>
      <c r="I189">
        <v>5127.7</v>
      </c>
      <c r="J189">
        <v>0</v>
      </c>
      <c r="K189">
        <v>155.94999999999999</v>
      </c>
      <c r="L189">
        <v>155.94999999999999</v>
      </c>
      <c r="M189">
        <v>0</v>
      </c>
      <c r="N189">
        <v>0</v>
      </c>
      <c r="O189">
        <v>0</v>
      </c>
      <c r="P189">
        <v>0</v>
      </c>
      <c r="Q189">
        <v>-1426.1799999999998</v>
      </c>
      <c r="R189">
        <v>-1426.1799999999998</v>
      </c>
      <c r="S189">
        <v>0</v>
      </c>
      <c r="T189">
        <v>-32</v>
      </c>
      <c r="U189">
        <v>-32</v>
      </c>
      <c r="V189">
        <v>0</v>
      </c>
      <c r="W189">
        <v>0</v>
      </c>
      <c r="X189">
        <v>0</v>
      </c>
      <c r="Y189">
        <v>0</v>
      </c>
      <c r="Z189">
        <v>3825.4699999999993</v>
      </c>
      <c r="AA189">
        <v>3825.4699999999993</v>
      </c>
      <c r="AB189">
        <v>0</v>
      </c>
      <c r="AC189">
        <v>205.20000000000002</v>
      </c>
      <c r="AD189">
        <v>117.99</v>
      </c>
      <c r="AE189">
        <v>-87.210000000000008</v>
      </c>
      <c r="AF189">
        <v>3620.2699999999995</v>
      </c>
      <c r="AG189">
        <v>3707.4799999999991</v>
      </c>
      <c r="AH189">
        <v>87.210000000000008</v>
      </c>
      <c r="AI189">
        <v>869.33999999999992</v>
      </c>
      <c r="AJ189">
        <v>0</v>
      </c>
      <c r="AK189">
        <v>-869.33999999999992</v>
      </c>
      <c r="AL189">
        <v>2750.9299999999989</v>
      </c>
      <c r="AM189">
        <v>3707.4799999999991</v>
      </c>
      <c r="AN189">
        <v>956.54999999999973</v>
      </c>
      <c r="AO189">
        <v>93</v>
      </c>
    </row>
    <row r="190" spans="1:41" x14ac:dyDescent="0.35">
      <c r="A190">
        <v>2024</v>
      </c>
      <c r="B190">
        <v>7</v>
      </c>
      <c r="C190">
        <v>30</v>
      </c>
      <c r="D190" s="14">
        <v>45500</v>
      </c>
      <c r="E190" t="s">
        <v>44</v>
      </c>
      <c r="F190" t="s">
        <v>47</v>
      </c>
      <c r="G190" t="s">
        <v>51</v>
      </c>
      <c r="H190">
        <v>4794.25</v>
      </c>
      <c r="I190">
        <v>4794.25</v>
      </c>
      <c r="J190">
        <v>0</v>
      </c>
      <c r="K190">
        <v>30</v>
      </c>
      <c r="L190">
        <v>30</v>
      </c>
      <c r="M190">
        <v>0</v>
      </c>
      <c r="N190">
        <v>0</v>
      </c>
      <c r="O190">
        <v>0</v>
      </c>
      <c r="P190">
        <v>0</v>
      </c>
      <c r="Q190">
        <v>-1284.1999999999989</v>
      </c>
      <c r="R190">
        <v>-1284.1999999999989</v>
      </c>
      <c r="S190">
        <v>0</v>
      </c>
      <c r="T190">
        <v>-8</v>
      </c>
      <c r="U190">
        <v>-8</v>
      </c>
      <c r="V190">
        <v>0</v>
      </c>
      <c r="W190">
        <v>0</v>
      </c>
      <c r="X190">
        <v>0</v>
      </c>
      <c r="Y190">
        <v>0</v>
      </c>
      <c r="Z190">
        <v>3532.0499999999988</v>
      </c>
      <c r="AA190">
        <v>3532.0499999999988</v>
      </c>
      <c r="AB190">
        <v>0</v>
      </c>
      <c r="AC190">
        <v>137.99</v>
      </c>
      <c r="AD190">
        <v>20</v>
      </c>
      <c r="AE190">
        <v>-117.99000000000001</v>
      </c>
      <c r="AF190">
        <v>3394.059999999999</v>
      </c>
      <c r="AG190">
        <v>3512.0499999999988</v>
      </c>
      <c r="AH190">
        <v>117.99000000000001</v>
      </c>
      <c r="AI190">
        <v>843.41999999999985</v>
      </c>
      <c r="AJ190">
        <v>0</v>
      </c>
      <c r="AK190">
        <v>-843.41999999999985</v>
      </c>
      <c r="AL190">
        <v>2550.6400000000021</v>
      </c>
      <c r="AM190">
        <v>3512.0499999999988</v>
      </c>
      <c r="AN190">
        <v>961.4100000000002</v>
      </c>
      <c r="AO190">
        <v>78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Samples - EOP with EOC</vt:lpstr>
      <vt:lpstr>Sheet2</vt:lpstr>
      <vt:lpstr>Jul Summary</vt:lpstr>
      <vt:lpstr>06</vt:lpstr>
      <vt:lpstr>05</vt:lpstr>
      <vt:lpstr>04</vt:lpstr>
      <vt:lpstr>03</vt:lpstr>
      <vt:lpstr>02</vt:lpstr>
      <vt:lpstr>01</vt:lpstr>
      <vt:lpstr>07</vt:lpstr>
      <vt:lpstr>_01</vt:lpstr>
      <vt:lpstr>_02</vt:lpstr>
      <vt:lpstr>_03</vt:lpstr>
      <vt:lpstr>_04</vt:lpstr>
      <vt:lpstr>_05</vt:lpstr>
      <vt:lpstr>_07</vt:lpstr>
    </vt:vector>
  </TitlesOfParts>
  <Company>Rogers Communications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Wang</dc:creator>
  <cp:lastModifiedBy>Wendy Wang</cp:lastModifiedBy>
  <dcterms:created xsi:type="dcterms:W3CDTF">2024-07-22T15:54:57Z</dcterms:created>
  <dcterms:modified xsi:type="dcterms:W3CDTF">2024-07-29T13:55:24Z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